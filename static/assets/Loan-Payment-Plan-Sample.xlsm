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 defaultThemeVersion="124226"/>
  <bookViews>
    <workbookView xWindow="135" yWindow="-120" windowWidth="15480" windowHeight="9120"/>
  </bookViews>
  <sheets>
    <sheet name="Loan Payment Plan" sheetId="2" r:id="rId1"/>
    <sheet name="Variables" sheetId="3" r:id="rId2"/>
  </sheets>
  <functionGroups builtInGroupCount="17"/>
  <definedNames>
    <definedName name="_xlnm.Print_Area" localSheetId="0">'Loan Payment Plan'!$A$1:$O$20</definedName>
  </definedNames>
  <calcPr calcId="144525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D12" i="2" l="1"/>
  <c r="I5" i="2" l="1"/>
  <c r="J6" i="2"/>
  <c r="E1503" i="2" l="1"/>
  <c r="E1504" i="2"/>
  <c r="E1505" i="2"/>
  <c r="E1506" i="2"/>
  <c r="E1507" i="2"/>
  <c r="E1508" i="2"/>
  <c r="E1509" i="2"/>
  <c r="E1510" i="2"/>
  <c r="E1511" i="2"/>
  <c r="E1512" i="2"/>
  <c r="E1513" i="2"/>
  <c r="E1514" i="2"/>
  <c r="E9" i="2" l="1"/>
  <c r="B12" i="2" s="1"/>
  <c r="K7" i="2" l="1"/>
  <c r="C12" i="2" l="1"/>
  <c r="E12" i="2"/>
  <c r="F12" i="2" l="1"/>
  <c r="I12" i="2" s="1"/>
  <c r="K12" i="2" s="1"/>
  <c r="H7" i="2"/>
  <c r="L7" i="2" l="1"/>
  <c r="G12" i="2" l="1"/>
  <c r="J12" i="2"/>
  <c r="L12" i="2" l="1"/>
  <c r="H12" i="2"/>
  <c r="C13" i="2" s="1"/>
  <c r="B13" i="2" l="1"/>
  <c r="D13" i="2"/>
  <c r="E13" i="2"/>
  <c r="F13" i="2" l="1"/>
  <c r="I13" i="2" s="1"/>
  <c r="K13" i="2" s="1"/>
  <c r="G13" i="2" l="1"/>
  <c r="J13" i="2"/>
  <c r="L13" i="2" l="1"/>
  <c r="H13" i="2"/>
  <c r="C14" i="2" s="1"/>
  <c r="B14" i="2" l="1"/>
  <c r="D14" i="2"/>
  <c r="E14" i="2"/>
  <c r="F14" i="2" l="1"/>
  <c r="I14" i="2" s="1"/>
  <c r="K14" i="2" s="1"/>
  <c r="G14" i="2" l="1"/>
  <c r="H14" i="2" s="1"/>
  <c r="C15" i="2" s="1"/>
  <c r="J14" i="2"/>
  <c r="B15" i="2" l="1"/>
  <c r="D15" i="2"/>
  <c r="L14" i="2"/>
  <c r="E15" i="2"/>
  <c r="F15" i="2" l="1"/>
  <c r="I15" i="2" s="1"/>
  <c r="K15" i="2" s="1"/>
  <c r="G15" i="2" l="1"/>
  <c r="H15" i="2" s="1"/>
  <c r="C16" i="2" s="1"/>
  <c r="J15" i="2"/>
  <c r="L15" i="2" l="1"/>
  <c r="B16" i="2"/>
  <c r="D16" i="2"/>
  <c r="E16" i="2"/>
  <c r="F16" i="2" l="1"/>
  <c r="I16" i="2" s="1"/>
  <c r="K16" i="2" s="1"/>
  <c r="G16" i="2" l="1"/>
  <c r="J16" i="2"/>
  <c r="L16" i="2" l="1"/>
  <c r="H16" i="2"/>
  <c r="C17" i="2" s="1"/>
  <c r="B17" i="2" l="1"/>
  <c r="D17" i="2"/>
  <c r="E17" i="2"/>
  <c r="F17" i="2" l="1"/>
  <c r="I17" i="2" l="1"/>
  <c r="J17" i="2" l="1"/>
  <c r="K17" i="2" s="1"/>
  <c r="G17" i="2"/>
  <c r="H17" i="2" s="1"/>
  <c r="C18" i="2" s="1"/>
  <c r="B18" i="2" l="1"/>
  <c r="L17" i="2"/>
  <c r="D18" i="2" s="1"/>
  <c r="E18" i="2"/>
  <c r="F18" i="2" l="1"/>
  <c r="I18" i="2" s="1"/>
  <c r="K18" i="2" s="1"/>
  <c r="G18" i="2" l="1"/>
  <c r="H18" i="2" s="1"/>
  <c r="C19" i="2" s="1"/>
  <c r="J18" i="2"/>
  <c r="L18" i="2" l="1"/>
  <c r="B19" i="2"/>
  <c r="D19" i="2"/>
  <c r="E19" i="2"/>
  <c r="F19" i="2" l="1"/>
  <c r="I19" i="2" s="1"/>
  <c r="K19" i="2" s="1"/>
  <c r="J19" i="2" l="1"/>
  <c r="G19" i="2"/>
  <c r="H19" i="2" s="1"/>
  <c r="C20" i="2" s="1"/>
  <c r="L19" i="2" l="1"/>
  <c r="B20" i="2"/>
  <c r="D20" i="2"/>
  <c r="E20" i="2"/>
  <c r="F20" i="2" l="1"/>
  <c r="I20" i="2" s="1"/>
  <c r="K20" i="2" s="1"/>
  <c r="G20" i="2" l="1"/>
  <c r="J20" i="2"/>
  <c r="L20" i="2" l="1"/>
  <c r="H20" i="2"/>
  <c r="C21" i="2" s="1"/>
  <c r="B21" i="2" l="1"/>
  <c r="D21" i="2"/>
  <c r="E21" i="2"/>
  <c r="F21" i="2" l="1"/>
  <c r="I21" i="2" s="1"/>
  <c r="K21" i="2" s="1"/>
  <c r="J21" i="2" l="1"/>
  <c r="G21" i="2"/>
  <c r="H21" i="2" s="1"/>
  <c r="C22" i="2" s="1"/>
  <c r="L21" i="2" l="1"/>
  <c r="D22" i="2"/>
  <c r="B22" i="2"/>
  <c r="E22" i="2"/>
  <c r="F22" i="2" l="1"/>
  <c r="I22" i="2" s="1"/>
  <c r="K22" i="2" s="1"/>
  <c r="J22" i="2" l="1"/>
  <c r="G22" i="2"/>
  <c r="L22" i="2" l="1"/>
  <c r="H22" i="2"/>
  <c r="C23" i="2" s="1"/>
  <c r="B23" i="2" l="1"/>
  <c r="D23" i="2"/>
  <c r="E23" i="2"/>
  <c r="F23" i="2" l="1"/>
  <c r="I23" i="2" s="1"/>
  <c r="K23" i="2" s="1"/>
  <c r="G23" i="2" l="1"/>
  <c r="J23" i="2"/>
  <c r="L23" i="2" l="1"/>
  <c r="H23" i="2"/>
  <c r="C24" i="2" s="1"/>
  <c r="B24" i="2" l="1"/>
  <c r="D24" i="2"/>
  <c r="E24" i="2"/>
  <c r="F24" i="2" l="1"/>
  <c r="I24" i="2" s="1"/>
  <c r="K24" i="2" s="1"/>
  <c r="G24" i="2" l="1"/>
  <c r="J24" i="2"/>
  <c r="L24" i="2" l="1"/>
  <c r="H24" i="2"/>
  <c r="C25" i="2" s="1"/>
  <c r="D25" i="2" l="1"/>
  <c r="B25" i="2"/>
  <c r="E25" i="2"/>
  <c r="F25" i="2" l="1"/>
  <c r="I25" i="2" s="1"/>
  <c r="K25" i="2" s="1"/>
  <c r="J25" i="2" l="1"/>
  <c r="G25" i="2"/>
  <c r="L25" i="2" l="1"/>
  <c r="H25" i="2"/>
  <c r="C26" i="2" s="1"/>
  <c r="B26" i="2" l="1"/>
  <c r="D26" i="2"/>
  <c r="E26" i="2"/>
  <c r="F26" i="2" l="1"/>
  <c r="I26" i="2" s="1"/>
  <c r="K26" i="2" s="1"/>
  <c r="J26" i="2" l="1"/>
  <c r="G26" i="2"/>
  <c r="H26" i="2" s="1"/>
  <c r="C27" i="2" s="1"/>
  <c r="B27" i="2" l="1"/>
  <c r="L26" i="2"/>
  <c r="D27" i="2" s="1"/>
  <c r="E27" i="2"/>
  <c r="F27" i="2" l="1"/>
  <c r="I27" i="2" s="1"/>
  <c r="J27" i="2" l="1"/>
  <c r="K27" i="2" s="1"/>
  <c r="G27" i="2"/>
  <c r="H27" i="2" s="1"/>
  <c r="C28" i="2" s="1"/>
  <c r="L27" i="2" l="1"/>
  <c r="D28" i="2" s="1"/>
  <c r="B28" i="2"/>
  <c r="E28" i="2"/>
  <c r="F28" i="2" l="1"/>
  <c r="I28" i="2" s="1"/>
  <c r="K28" i="2" s="1"/>
  <c r="G28" i="2" l="1"/>
  <c r="H28" i="2" s="1"/>
  <c r="C29" i="2" s="1"/>
  <c r="J28" i="2"/>
  <c r="L28" i="2" l="1"/>
  <c r="D29" i="2"/>
  <c r="B29" i="2"/>
  <c r="E29" i="2"/>
  <c r="F29" i="2" l="1"/>
  <c r="I29" i="2" s="1"/>
  <c r="K29" i="2" s="1"/>
  <c r="J29" i="2" l="1"/>
  <c r="G29" i="2"/>
  <c r="L29" i="2" l="1"/>
  <c r="H29" i="2"/>
  <c r="C30" i="2" s="1"/>
  <c r="B30" i="2" l="1"/>
  <c r="D30" i="2"/>
  <c r="E30" i="2"/>
  <c r="F30" i="2" l="1"/>
  <c r="I30" i="2" s="1"/>
  <c r="K30" i="2" s="1"/>
  <c r="J30" i="2" l="1"/>
  <c r="G30" i="2"/>
  <c r="L30" i="2" l="1"/>
  <c r="H30" i="2"/>
  <c r="C31" i="2" s="1"/>
  <c r="D31" i="2" l="1"/>
  <c r="B31" i="2"/>
  <c r="E31" i="2"/>
  <c r="F31" i="2" l="1"/>
  <c r="I31" i="2" s="1"/>
  <c r="K31" i="2" s="1"/>
  <c r="G31" i="2" l="1"/>
  <c r="J31" i="2"/>
  <c r="H31" i="2"/>
  <c r="C32" i="2" s="1"/>
  <c r="L31" i="2" l="1"/>
  <c r="D32" i="2"/>
  <c r="B32" i="2"/>
  <c r="E32" i="2"/>
  <c r="F32" i="2" l="1"/>
  <c r="I32" i="2" s="1"/>
  <c r="K32" i="2" s="1"/>
  <c r="G32" i="2" l="1"/>
  <c r="J32" i="2"/>
  <c r="L32" i="2" l="1"/>
  <c r="H32" i="2"/>
  <c r="C33" i="2" s="1"/>
  <c r="B33" i="2" l="1"/>
  <c r="D33" i="2"/>
  <c r="E33" i="2"/>
  <c r="F33" i="2" l="1"/>
  <c r="I33" i="2" s="1"/>
  <c r="K33" i="2" s="1"/>
  <c r="G33" i="2" l="1"/>
  <c r="H33" i="2" s="1"/>
  <c r="C34" i="2" s="1"/>
  <c r="J33" i="2"/>
  <c r="L33" i="2" l="1"/>
  <c r="D34" i="2"/>
  <c r="B34" i="2"/>
  <c r="E34" i="2"/>
  <c r="F34" i="2" l="1"/>
  <c r="I34" i="2" s="1"/>
  <c r="K34" i="2" s="1"/>
  <c r="J34" i="2" l="1"/>
  <c r="G34" i="2"/>
  <c r="H34" i="2" l="1"/>
  <c r="C35" i="2" s="1"/>
  <c r="L34" i="2"/>
  <c r="B35" i="2" l="1"/>
  <c r="D35" i="2"/>
  <c r="E35" i="2"/>
  <c r="F35" i="2" l="1"/>
  <c r="I35" i="2" s="1"/>
  <c r="K35" i="2" s="1"/>
  <c r="J35" i="2" l="1"/>
  <c r="G35" i="2"/>
  <c r="H35" i="2" l="1"/>
  <c r="C36" i="2" s="1"/>
  <c r="L35" i="2"/>
  <c r="B36" i="2" l="1"/>
  <c r="D36" i="2"/>
  <c r="E36" i="2"/>
  <c r="F36" i="2" l="1"/>
  <c r="I36" i="2" s="1"/>
  <c r="K36" i="2" s="1"/>
  <c r="G36" i="2" l="1"/>
  <c r="J36" i="2"/>
  <c r="L36" i="2" l="1"/>
  <c r="H36" i="2"/>
  <c r="C37" i="2" s="1"/>
  <c r="D37" i="2" l="1"/>
  <c r="B37" i="2"/>
  <c r="E37" i="2"/>
  <c r="F37" i="2" l="1"/>
  <c r="I37" i="2" s="1"/>
  <c r="K37" i="2" s="1"/>
  <c r="J37" i="2" l="1"/>
  <c r="G37" i="2"/>
  <c r="H37" i="2" l="1"/>
  <c r="C38" i="2" s="1"/>
  <c r="L37" i="2"/>
  <c r="B38" i="2" l="1"/>
  <c r="D38" i="2"/>
  <c r="E38" i="2"/>
  <c r="F38" i="2" l="1"/>
  <c r="I38" i="2" s="1"/>
  <c r="K38" i="2" s="1"/>
  <c r="G38" i="2" l="1"/>
  <c r="J38" i="2"/>
  <c r="L38" i="2" l="1"/>
  <c r="H38" i="2"/>
  <c r="C39" i="2" s="1"/>
  <c r="D39" i="2" l="1"/>
  <c r="B39" i="2"/>
  <c r="E39" i="2"/>
  <c r="F39" i="2" l="1"/>
  <c r="I39" i="2" s="1"/>
  <c r="K39" i="2" s="1"/>
  <c r="G39" i="2" l="1"/>
  <c r="J39" i="2"/>
  <c r="L39" i="2" l="1"/>
  <c r="H39" i="2"/>
  <c r="C40" i="2" s="1"/>
  <c r="B40" i="2" l="1"/>
  <c r="D40" i="2"/>
  <c r="E40" i="2"/>
  <c r="F40" i="2" l="1"/>
  <c r="I40" i="2" l="1"/>
  <c r="K40" i="2" s="1"/>
  <c r="J40" i="2" l="1"/>
  <c r="G40" i="2"/>
  <c r="H40" i="2" s="1"/>
  <c r="C41" i="2" s="1"/>
  <c r="B41" i="2" l="1"/>
  <c r="L40" i="2"/>
  <c r="D41" i="2"/>
  <c r="F41" i="2" s="1"/>
  <c r="E41" i="2"/>
  <c r="I41" i="2" l="1"/>
  <c r="K41" i="2" s="1"/>
  <c r="G41" i="2" l="1"/>
  <c r="H41" i="2" s="1"/>
  <c r="C42" i="2" s="1"/>
  <c r="J41" i="2"/>
  <c r="L41" i="2" l="1"/>
  <c r="D42" i="2"/>
  <c r="B42" i="2"/>
  <c r="E42" i="2"/>
  <c r="F42" i="2" l="1"/>
  <c r="I42" i="2" s="1"/>
  <c r="K42" i="2" s="1"/>
  <c r="G42" i="2" l="1"/>
  <c r="L42" i="2" s="1"/>
  <c r="J42" i="2"/>
  <c r="H42" i="2" l="1"/>
  <c r="C43" i="2" s="1"/>
  <c r="B43" i="2" s="1"/>
  <c r="D43" i="2" l="1"/>
  <c r="F43" i="2" s="1"/>
  <c r="E43" i="2"/>
  <c r="I43" i="2" l="1"/>
  <c r="K43" i="2" s="1"/>
  <c r="G43" i="2" l="1"/>
  <c r="H43" i="2" s="1"/>
  <c r="C44" i="2" s="1"/>
  <c r="J43" i="2"/>
  <c r="L43" i="2"/>
  <c r="D44" i="2" l="1"/>
  <c r="B44" i="2"/>
  <c r="E44" i="2"/>
  <c r="F44" i="2" l="1"/>
  <c r="I44" i="2" s="1"/>
  <c r="K44" i="2" s="1"/>
  <c r="J44" i="2" l="1"/>
  <c r="G44" i="2"/>
  <c r="H44" i="2" l="1"/>
  <c r="C45" i="2" s="1"/>
  <c r="L44" i="2"/>
  <c r="D45" i="2" l="1"/>
  <c r="B45" i="2"/>
  <c r="E45" i="2"/>
  <c r="F45" i="2" l="1"/>
  <c r="I45" i="2" s="1"/>
  <c r="K45" i="2" s="1"/>
  <c r="J45" i="2" l="1"/>
  <c r="G45" i="2"/>
  <c r="L45" i="2" l="1"/>
  <c r="H45" i="2"/>
  <c r="C46" i="2" s="1"/>
  <c r="D46" i="2" l="1"/>
  <c r="B46" i="2"/>
  <c r="E46" i="2"/>
  <c r="F46" i="2" l="1"/>
  <c r="I46" i="2" s="1"/>
  <c r="K46" i="2" s="1"/>
  <c r="G46" i="2" l="1"/>
  <c r="J46" i="2"/>
  <c r="L46" i="2" l="1"/>
  <c r="H46" i="2"/>
  <c r="C47" i="2" s="1"/>
  <c r="D47" i="2" l="1"/>
  <c r="B47" i="2"/>
  <c r="E47" i="2"/>
  <c r="F47" i="2" l="1"/>
  <c r="I47" i="2" s="1"/>
  <c r="G47" i="2" l="1"/>
  <c r="J47" i="2"/>
  <c r="K47" i="2" s="1"/>
  <c r="H47" i="2" l="1"/>
  <c r="C48" i="2" s="1"/>
  <c r="L47" i="2"/>
  <c r="B48" i="2" l="1"/>
  <c r="D48" i="2"/>
  <c r="E48" i="2"/>
  <c r="F48" i="2" l="1"/>
  <c r="I48" i="2" s="1"/>
  <c r="K48" i="2" s="1"/>
  <c r="J48" i="2" l="1"/>
  <c r="G48" i="2"/>
  <c r="L48" i="2" l="1"/>
  <c r="H48" i="2"/>
  <c r="C49" i="2" s="1"/>
  <c r="D49" i="2" l="1"/>
  <c r="B49" i="2"/>
  <c r="E49" i="2"/>
  <c r="F49" i="2" l="1"/>
  <c r="I49" i="2" s="1"/>
  <c r="K49" i="2" s="1"/>
  <c r="J49" i="2" l="1"/>
  <c r="G49" i="2"/>
  <c r="H49" i="2" l="1"/>
  <c r="C50" i="2" s="1"/>
  <c r="L49" i="2"/>
  <c r="D50" i="2" l="1"/>
  <c r="B50" i="2"/>
  <c r="E50" i="2"/>
  <c r="F50" i="2" l="1"/>
  <c r="I50" i="2" s="1"/>
  <c r="K50" i="2" s="1"/>
  <c r="G50" i="2" l="1"/>
  <c r="J50" i="2"/>
  <c r="H50" i="2" l="1"/>
  <c r="C51" i="2" s="1"/>
  <c r="L50" i="2"/>
  <c r="B51" i="2" l="1"/>
  <c r="D51" i="2"/>
  <c r="E51" i="2"/>
  <c r="F51" i="2" l="1"/>
  <c r="I51" i="2" s="1"/>
  <c r="K51" i="2" s="1"/>
  <c r="G51" i="2" l="1"/>
  <c r="J51" i="2"/>
  <c r="H51" i="2" l="1"/>
  <c r="C52" i="2" s="1"/>
  <c r="L51" i="2"/>
  <c r="D52" i="2" l="1"/>
  <c r="B52" i="2"/>
  <c r="E52" i="2"/>
  <c r="F52" i="2" l="1"/>
  <c r="I52" i="2" s="1"/>
  <c r="K52" i="2" s="1"/>
  <c r="J52" i="2" l="1"/>
  <c r="G52" i="2"/>
  <c r="H52" i="2" l="1"/>
  <c r="C53" i="2" s="1"/>
  <c r="L52" i="2"/>
  <c r="D53" i="2" l="1"/>
  <c r="B53" i="2"/>
  <c r="E53" i="2"/>
  <c r="F53" i="2" l="1"/>
  <c r="I53" i="2" s="1"/>
  <c r="K53" i="2" s="1"/>
  <c r="G53" i="2" l="1"/>
  <c r="J53" i="2"/>
  <c r="L53" i="2" l="1"/>
  <c r="H53" i="2"/>
  <c r="C54" i="2" s="1"/>
  <c r="B54" i="2" l="1"/>
  <c r="D54" i="2"/>
  <c r="E54" i="2"/>
  <c r="F54" i="2" l="1"/>
  <c r="I54" i="2" s="1"/>
  <c r="K54" i="2" s="1"/>
  <c r="G54" i="2" l="1"/>
  <c r="J54" i="2"/>
  <c r="H54" i="2" l="1"/>
  <c r="C55" i="2" s="1"/>
  <c r="L54" i="2"/>
  <c r="B55" i="2" l="1"/>
  <c r="D55" i="2"/>
  <c r="E55" i="2"/>
  <c r="F55" i="2" l="1"/>
  <c r="I55" i="2" s="1"/>
  <c r="K55" i="2" s="1"/>
  <c r="J55" i="2" l="1"/>
  <c r="G55" i="2"/>
  <c r="L55" i="2" l="1"/>
  <c r="H55" i="2"/>
  <c r="C56" i="2" s="1"/>
  <c r="D56" i="2" l="1"/>
  <c r="B56" i="2"/>
  <c r="E56" i="2"/>
  <c r="F56" i="2" l="1"/>
  <c r="I56" i="2" s="1"/>
  <c r="K56" i="2" s="1"/>
  <c r="J56" i="2" l="1"/>
  <c r="G56" i="2"/>
  <c r="L56" i="2" l="1"/>
  <c r="H56" i="2"/>
  <c r="C57" i="2" s="1"/>
  <c r="D57" i="2" l="1"/>
  <c r="B57" i="2"/>
  <c r="E57" i="2"/>
  <c r="F57" i="2" l="1"/>
  <c r="I57" i="2" s="1"/>
  <c r="K57" i="2" s="1"/>
  <c r="J57" i="2" l="1"/>
  <c r="G57" i="2"/>
  <c r="H57" i="2" l="1"/>
  <c r="C58" i="2" s="1"/>
  <c r="L57" i="2"/>
  <c r="B58" i="2" l="1"/>
  <c r="D58" i="2"/>
  <c r="E58" i="2"/>
  <c r="F58" i="2" l="1"/>
  <c r="I58" i="2" s="1"/>
  <c r="K58" i="2" s="1"/>
  <c r="J58" i="2" l="1"/>
  <c r="G58" i="2"/>
  <c r="L58" i="2" l="1"/>
  <c r="H58" i="2"/>
  <c r="C59" i="2" s="1"/>
  <c r="K59" i="2" s="1"/>
  <c r="B59" i="2" l="1"/>
  <c r="F59" i="2" s="1"/>
  <c r="D59" i="2"/>
  <c r="E59" i="2"/>
  <c r="I59" i="2" l="1"/>
  <c r="G59" i="2" l="1"/>
  <c r="J59" i="2"/>
  <c r="L59" i="2" l="1"/>
  <c r="H59" i="2"/>
  <c r="C60" i="2" s="1"/>
  <c r="K60" i="2" s="1"/>
  <c r="D60" i="2" l="1"/>
  <c r="B60" i="2"/>
  <c r="E60" i="2"/>
  <c r="F60" i="2" l="1"/>
  <c r="I60" i="2" s="1"/>
  <c r="J60" i="2" l="1"/>
  <c r="G60" i="2"/>
  <c r="H60" i="2" l="1"/>
  <c r="C61" i="2" s="1"/>
  <c r="K61" i="2" s="1"/>
  <c r="L60" i="2"/>
  <c r="B61" i="2" l="1"/>
  <c r="D61" i="2"/>
  <c r="E61" i="2"/>
  <c r="F61" i="2" l="1"/>
  <c r="I61" i="2" s="1"/>
  <c r="G61" i="2" l="1"/>
  <c r="J61" i="2"/>
  <c r="L61" i="2" l="1"/>
  <c r="H61" i="2"/>
  <c r="C62" i="2" s="1"/>
  <c r="K62" i="2" s="1"/>
  <c r="B62" i="2" l="1"/>
  <c r="D62" i="2"/>
  <c r="E62" i="2"/>
  <c r="F62" i="2" l="1"/>
  <c r="I62" i="2" s="1"/>
  <c r="G62" i="2" l="1"/>
  <c r="J62" i="2"/>
  <c r="L62" i="2" l="1"/>
  <c r="H62" i="2"/>
  <c r="C63" i="2" s="1"/>
  <c r="K63" i="2" s="1"/>
  <c r="B63" i="2" l="1"/>
  <c r="D63" i="2"/>
  <c r="E63" i="2"/>
  <c r="F63" i="2" l="1"/>
  <c r="I63" i="2" s="1"/>
  <c r="G63" i="2" l="1"/>
  <c r="J63" i="2"/>
  <c r="H63" i="2" l="1"/>
  <c r="C64" i="2" s="1"/>
  <c r="K64" i="2" s="1"/>
  <c r="L63" i="2"/>
  <c r="D64" i="2" l="1"/>
  <c r="B64" i="2"/>
  <c r="E64" i="2"/>
  <c r="F64" i="2" l="1"/>
  <c r="I64" i="2" s="1"/>
  <c r="G64" i="2" l="1"/>
  <c r="H64" i="2" s="1"/>
  <c r="C65" i="2" s="1"/>
  <c r="K65" i="2" s="1"/>
  <c r="L64" i="2"/>
  <c r="J64" i="2"/>
  <c r="I65" i="2" l="1"/>
  <c r="J65" i="2" s="1"/>
  <c r="D65" i="2"/>
  <c r="E65" i="2"/>
  <c r="B65" i="2"/>
  <c r="F65" i="2" s="1"/>
  <c r="G65" i="2"/>
  <c r="H65" i="2" l="1"/>
  <c r="C66" i="2" s="1"/>
  <c r="K66" i="2" s="1"/>
  <c r="L65" i="2"/>
  <c r="D66" i="2" l="1"/>
  <c r="B66" i="2"/>
  <c r="E66" i="2"/>
  <c r="F66" i="2" l="1"/>
  <c r="I66" i="2" s="1"/>
  <c r="G66" i="2" l="1"/>
  <c r="J66" i="2"/>
  <c r="H66" i="2" l="1"/>
  <c r="C67" i="2" s="1"/>
  <c r="K67" i="2" s="1"/>
  <c r="L66" i="2"/>
  <c r="D67" i="2" l="1"/>
  <c r="B67" i="2"/>
  <c r="E67" i="2"/>
  <c r="F67" i="2" l="1"/>
  <c r="I67" i="2" s="1"/>
  <c r="G67" i="2" l="1"/>
  <c r="J67" i="2"/>
  <c r="L67" i="2" l="1"/>
  <c r="H67" i="2"/>
  <c r="C68" i="2" s="1"/>
  <c r="K68" i="2" s="1"/>
  <c r="D68" i="2" l="1"/>
  <c r="B68" i="2"/>
  <c r="F68" i="2" s="1"/>
  <c r="E68" i="2"/>
  <c r="I68" i="2" l="1"/>
  <c r="G68" i="2" l="1"/>
  <c r="J68" i="2"/>
  <c r="L68" i="2" l="1"/>
  <c r="H68" i="2"/>
  <c r="C69" i="2" s="1"/>
  <c r="K69" i="2" s="1"/>
  <c r="D69" i="2" l="1"/>
  <c r="B69" i="2"/>
  <c r="F69" i="2"/>
  <c r="E69" i="2"/>
  <c r="I69" i="2" l="1"/>
  <c r="G69" i="2" l="1"/>
  <c r="J69" i="2"/>
  <c r="H69" i="2" l="1"/>
  <c r="C70" i="2" s="1"/>
  <c r="K70" i="2" s="1"/>
  <c r="L69" i="2"/>
  <c r="E70" i="2" l="1"/>
  <c r="I70" i="2"/>
  <c r="F70" i="2"/>
  <c r="D70" i="2"/>
  <c r="H70" i="2"/>
  <c r="B70" i="2"/>
  <c r="L70" i="2"/>
  <c r="G70" i="2" l="1"/>
  <c r="J70" i="2"/>
  <c r="C71" i="2"/>
  <c r="K71" i="2" s="1"/>
  <c r="E71" i="2" l="1"/>
  <c r="L71" i="2"/>
  <c r="F71" i="2"/>
  <c r="I71" i="2"/>
  <c r="B71" i="2"/>
  <c r="H71" i="2"/>
  <c r="D71" i="2"/>
  <c r="J71" i="2" l="1"/>
  <c r="G71" i="2"/>
  <c r="C72" i="2"/>
  <c r="K72" i="2" s="1"/>
  <c r="E72" i="2" l="1"/>
  <c r="D72" i="2"/>
  <c r="L72" i="2"/>
  <c r="I72" i="2"/>
  <c r="F72" i="2"/>
  <c r="H72" i="2"/>
  <c r="C73" i="2" s="1"/>
  <c r="K73" i="2" s="1"/>
  <c r="B72" i="2"/>
  <c r="E73" i="2" l="1"/>
  <c r="J72" i="2"/>
  <c r="G72" i="2"/>
  <c r="F73" i="2"/>
  <c r="B73" i="2"/>
  <c r="I73" i="2"/>
  <c r="D73" i="2"/>
  <c r="H73" i="2"/>
  <c r="C74" i="2" s="1"/>
  <c r="K74" i="2" s="1"/>
  <c r="L73" i="2"/>
  <c r="E74" i="2" l="1"/>
  <c r="F74" i="2"/>
  <c r="I74" i="2"/>
  <c r="J74" i="2" s="1"/>
  <c r="B74" i="2"/>
  <c r="D74" i="2"/>
  <c r="G73" i="2"/>
  <c r="J73" i="2"/>
  <c r="G74" i="2" l="1"/>
  <c r="L74" i="2"/>
  <c r="H74" i="2"/>
  <c r="C75" i="2" s="1"/>
  <c r="K75" i="2" s="1"/>
  <c r="I75" i="2" l="1"/>
  <c r="B75" i="2"/>
  <c r="F75" i="2"/>
  <c r="D75" i="2"/>
  <c r="E75" i="2"/>
  <c r="G75" i="2" l="1"/>
  <c r="J75" i="2"/>
  <c r="H75" i="2" l="1"/>
  <c r="C76" i="2" s="1"/>
  <c r="K76" i="2" s="1"/>
  <c r="L75" i="2"/>
  <c r="I76" i="2" l="1"/>
  <c r="B76" i="2"/>
  <c r="D76" i="2"/>
  <c r="E76" i="2"/>
  <c r="F76" i="2" l="1"/>
  <c r="J76" i="2" l="1"/>
  <c r="G76" i="2"/>
  <c r="L76" i="2" l="1"/>
  <c r="H76" i="2"/>
  <c r="C77" i="2" s="1"/>
  <c r="K77" i="2" s="1"/>
  <c r="I77" i="2" l="1"/>
  <c r="D77" i="2"/>
  <c r="B77" i="2"/>
  <c r="F77" i="2" s="1"/>
  <c r="E77" i="2"/>
  <c r="G77" i="2" l="1"/>
  <c r="J77" i="2"/>
  <c r="H77" i="2" l="1"/>
  <c r="C78" i="2" s="1"/>
  <c r="K78" i="2" s="1"/>
  <c r="L77" i="2"/>
  <c r="I78" i="2" l="1"/>
  <c r="D78" i="2"/>
  <c r="B78" i="2"/>
  <c r="E78" i="2"/>
  <c r="F78" i="2" l="1"/>
  <c r="G78" i="2" l="1"/>
  <c r="J78" i="2"/>
  <c r="L78" i="2" l="1"/>
  <c r="H78" i="2"/>
  <c r="C79" i="2" s="1"/>
  <c r="K79" i="2" s="1"/>
  <c r="I79" i="2" l="1"/>
  <c r="D79" i="2"/>
  <c r="B79" i="2"/>
  <c r="E79" i="2"/>
  <c r="F79" i="2" l="1"/>
  <c r="J79" i="2" l="1"/>
  <c r="G79" i="2"/>
  <c r="H79" i="2" l="1"/>
  <c r="C80" i="2" s="1"/>
  <c r="K80" i="2" s="1"/>
  <c r="L79" i="2"/>
  <c r="I80" i="2" l="1"/>
  <c r="B80" i="2"/>
  <c r="D80" i="2"/>
  <c r="F80" i="2"/>
  <c r="E80" i="2"/>
  <c r="G80" i="2" l="1"/>
  <c r="J80" i="2"/>
  <c r="H80" i="2" l="1"/>
  <c r="C81" i="2" s="1"/>
  <c r="K81" i="2" s="1"/>
  <c r="L80" i="2"/>
  <c r="I81" i="2" l="1"/>
  <c r="B81" i="2"/>
  <c r="D81" i="2"/>
  <c r="E81" i="2"/>
  <c r="F81" i="2" l="1"/>
  <c r="G81" i="2" l="1"/>
  <c r="J81" i="2"/>
  <c r="H81" i="2" l="1"/>
  <c r="C82" i="2" s="1"/>
  <c r="K82" i="2" s="1"/>
  <c r="L81" i="2"/>
  <c r="I82" i="2" l="1"/>
  <c r="D82" i="2"/>
  <c r="B82" i="2"/>
  <c r="E82" i="2"/>
  <c r="F82" i="2" l="1"/>
  <c r="G82" i="2" l="1"/>
  <c r="J82" i="2"/>
  <c r="H82" i="2" l="1"/>
  <c r="C83" i="2" s="1"/>
  <c r="K83" i="2" s="1"/>
  <c r="L82" i="2"/>
  <c r="I83" i="2" l="1"/>
  <c r="D83" i="2"/>
  <c r="B83" i="2"/>
  <c r="E83" i="2"/>
  <c r="F83" i="2" l="1"/>
  <c r="G83" i="2" l="1"/>
  <c r="J83" i="2"/>
  <c r="L83" i="2" l="1"/>
  <c r="H83" i="2"/>
  <c r="C84" i="2" s="1"/>
  <c r="K84" i="2" s="1"/>
  <c r="I84" i="2" l="1"/>
  <c r="B84" i="2"/>
  <c r="D84" i="2"/>
  <c r="E84" i="2"/>
  <c r="F84" i="2" l="1"/>
  <c r="G84" i="2" l="1"/>
  <c r="J84" i="2"/>
  <c r="L84" i="2" l="1"/>
  <c r="H84" i="2"/>
  <c r="C85" i="2" s="1"/>
  <c r="K85" i="2" s="1"/>
  <c r="I85" i="2" l="1"/>
  <c r="D85" i="2"/>
  <c r="B85" i="2"/>
  <c r="E85" i="2"/>
  <c r="F85" i="2" l="1"/>
  <c r="J85" i="2" l="1"/>
  <c r="G85" i="2"/>
  <c r="L85" i="2" l="1"/>
  <c r="H85" i="2"/>
  <c r="C86" i="2" s="1"/>
  <c r="K86" i="2" s="1"/>
  <c r="I86" i="2" l="1"/>
  <c r="B86" i="2"/>
  <c r="D86" i="2"/>
  <c r="E86" i="2"/>
  <c r="F86" i="2" l="1"/>
  <c r="G86" i="2" l="1"/>
  <c r="J86" i="2"/>
  <c r="L86" i="2" l="1"/>
  <c r="H86" i="2"/>
  <c r="C87" i="2" s="1"/>
  <c r="K87" i="2" s="1"/>
  <c r="I87" i="2" l="1"/>
  <c r="B87" i="2"/>
  <c r="D87" i="2"/>
  <c r="F87" i="2"/>
  <c r="E87" i="2"/>
  <c r="G87" i="2" l="1"/>
  <c r="J87" i="2"/>
  <c r="H87" i="2" l="1"/>
  <c r="C88" i="2" s="1"/>
  <c r="K88" i="2" s="1"/>
  <c r="L87" i="2"/>
  <c r="I88" i="2" l="1"/>
  <c r="B88" i="2"/>
  <c r="D88" i="2"/>
  <c r="E88" i="2"/>
  <c r="F88" i="2" l="1"/>
  <c r="J88" i="2" l="1"/>
  <c r="G88" i="2"/>
  <c r="H88" i="2" l="1"/>
  <c r="C89" i="2" s="1"/>
  <c r="K89" i="2" s="1"/>
  <c r="L88" i="2"/>
  <c r="I89" i="2" l="1"/>
  <c r="D89" i="2"/>
  <c r="B89" i="2"/>
  <c r="E89" i="2"/>
  <c r="F89" i="2" l="1"/>
  <c r="J89" i="2" l="1"/>
  <c r="G89" i="2"/>
  <c r="L89" i="2" l="1"/>
  <c r="H89" i="2"/>
  <c r="C90" i="2" s="1"/>
  <c r="K90" i="2" s="1"/>
  <c r="I90" i="2" l="1"/>
  <c r="D90" i="2"/>
  <c r="B90" i="2"/>
  <c r="E90" i="2"/>
  <c r="F90" i="2" l="1"/>
  <c r="G90" i="2" l="1"/>
  <c r="J90" i="2"/>
  <c r="H90" i="2" l="1"/>
  <c r="C91" i="2" s="1"/>
  <c r="K91" i="2" s="1"/>
  <c r="L90" i="2"/>
  <c r="I91" i="2" l="1"/>
  <c r="D91" i="2"/>
  <c r="B91" i="2"/>
  <c r="E91" i="2"/>
  <c r="F91" i="2" l="1"/>
  <c r="J91" i="2" l="1"/>
  <c r="G91" i="2"/>
  <c r="H91" i="2" l="1"/>
  <c r="C92" i="2" s="1"/>
  <c r="K92" i="2" s="1"/>
  <c r="L91" i="2"/>
  <c r="I92" i="2" l="1"/>
  <c r="D92" i="2"/>
  <c r="B92" i="2"/>
  <c r="E92" i="2"/>
  <c r="F92" i="2" l="1"/>
  <c r="G92" i="2" l="1"/>
  <c r="J92" i="2"/>
  <c r="H92" i="2" l="1"/>
  <c r="C93" i="2" s="1"/>
  <c r="K93" i="2" s="1"/>
  <c r="L92" i="2"/>
  <c r="I93" i="2" l="1"/>
  <c r="B93" i="2"/>
  <c r="D93" i="2"/>
  <c r="E93" i="2"/>
  <c r="F93" i="2" l="1"/>
  <c r="J93" i="2" l="1"/>
  <c r="G93" i="2"/>
  <c r="L93" i="2" l="1"/>
  <c r="H93" i="2"/>
  <c r="C94" i="2" s="1"/>
  <c r="K94" i="2" s="1"/>
  <c r="I94" i="2" l="1"/>
  <c r="D94" i="2"/>
  <c r="B94" i="2"/>
  <c r="E94" i="2"/>
  <c r="F94" i="2" l="1"/>
  <c r="J94" i="2" l="1"/>
  <c r="G94" i="2"/>
  <c r="L94" i="2" l="1"/>
  <c r="H94" i="2"/>
  <c r="C95" i="2" s="1"/>
  <c r="K95" i="2" s="1"/>
  <c r="I95" i="2" l="1"/>
  <c r="B95" i="2"/>
  <c r="D95" i="2"/>
  <c r="E95" i="2"/>
  <c r="F95" i="2" l="1"/>
  <c r="G95" i="2" l="1"/>
  <c r="H95" i="2" s="1"/>
  <c r="C96" i="2" s="1"/>
  <c r="K96" i="2" s="1"/>
  <c r="J95" i="2"/>
  <c r="I96" i="2" l="1"/>
  <c r="L95" i="2"/>
  <c r="B96" i="2"/>
  <c r="D96" i="2"/>
  <c r="F96" i="2" s="1"/>
  <c r="E96" i="2"/>
  <c r="J96" i="2" l="1"/>
  <c r="G96" i="2"/>
  <c r="L96" i="2" s="1"/>
  <c r="H96" i="2"/>
  <c r="C97" i="2" s="1"/>
  <c r="K97" i="2" s="1"/>
  <c r="I97" i="2" l="1"/>
  <c r="B97" i="2"/>
  <c r="D97" i="2"/>
  <c r="E97" i="2"/>
  <c r="F97" i="2" l="1"/>
  <c r="J97" i="2" l="1"/>
  <c r="G97" i="2"/>
  <c r="H97" i="2" l="1"/>
  <c r="C98" i="2" s="1"/>
  <c r="K98" i="2" s="1"/>
  <c r="L97" i="2"/>
  <c r="I98" i="2" l="1"/>
  <c r="B98" i="2"/>
  <c r="D98" i="2"/>
  <c r="F98" i="2"/>
  <c r="E98" i="2"/>
  <c r="G98" i="2" l="1"/>
  <c r="J98" i="2"/>
  <c r="H98" i="2" l="1"/>
  <c r="C99" i="2" s="1"/>
  <c r="K99" i="2" s="1"/>
  <c r="L98" i="2"/>
  <c r="I99" i="2" l="1"/>
  <c r="D99" i="2"/>
  <c r="B99" i="2"/>
  <c r="E99" i="2"/>
  <c r="F99" i="2" l="1"/>
  <c r="G99" i="2" l="1"/>
  <c r="J99" i="2"/>
  <c r="H99" i="2" l="1"/>
  <c r="C100" i="2" s="1"/>
  <c r="K100" i="2" s="1"/>
  <c r="L99" i="2"/>
  <c r="I100" i="2" l="1"/>
  <c r="B100" i="2"/>
  <c r="D100" i="2"/>
  <c r="F100" i="2"/>
  <c r="E100" i="2"/>
  <c r="G100" i="2" l="1"/>
  <c r="J100" i="2"/>
  <c r="L100" i="2" l="1"/>
  <c r="H100" i="2"/>
  <c r="C101" i="2" s="1"/>
  <c r="K101" i="2" s="1"/>
  <c r="I101" i="2" l="1"/>
  <c r="D101" i="2"/>
  <c r="B101" i="2"/>
  <c r="E101" i="2"/>
  <c r="F101" i="2" l="1"/>
  <c r="G101" i="2" l="1"/>
  <c r="J101" i="2"/>
  <c r="H101" i="2" l="1"/>
  <c r="C102" i="2" s="1"/>
  <c r="K102" i="2" s="1"/>
  <c r="L101" i="2"/>
  <c r="I102" i="2" l="1"/>
  <c r="B102" i="2"/>
  <c r="D102" i="2"/>
  <c r="E102" i="2"/>
  <c r="F102" i="2" l="1"/>
  <c r="J102" i="2" l="1"/>
  <c r="G102" i="2"/>
  <c r="L102" i="2" l="1"/>
  <c r="H102" i="2"/>
  <c r="C103" i="2" s="1"/>
  <c r="K103" i="2" s="1"/>
  <c r="I103" i="2" l="1"/>
  <c r="D103" i="2"/>
  <c r="B103" i="2"/>
  <c r="E103" i="2"/>
  <c r="F103" i="2" l="1"/>
  <c r="G103" i="2" l="1"/>
  <c r="J103" i="2"/>
  <c r="L103" i="2" l="1"/>
  <c r="H103" i="2"/>
  <c r="C104" i="2" s="1"/>
  <c r="K104" i="2" s="1"/>
  <c r="I104" i="2" l="1"/>
  <c r="B104" i="2"/>
  <c r="D104" i="2"/>
  <c r="E104" i="2"/>
  <c r="F104" i="2" l="1"/>
  <c r="J104" i="2" l="1"/>
  <c r="G104" i="2"/>
  <c r="L104" i="2" l="1"/>
  <c r="H104" i="2"/>
  <c r="C105" i="2" s="1"/>
  <c r="K105" i="2" s="1"/>
  <c r="I105" i="2" l="1"/>
  <c r="B105" i="2"/>
  <c r="D105" i="2"/>
  <c r="E105" i="2"/>
  <c r="F105" i="2" l="1"/>
  <c r="G105" i="2" l="1"/>
  <c r="J105" i="2"/>
  <c r="L105" i="2" l="1"/>
  <c r="H105" i="2"/>
  <c r="C106" i="2" s="1"/>
  <c r="K106" i="2" s="1"/>
  <c r="I106" i="2" l="1"/>
  <c r="B106" i="2"/>
  <c r="D106" i="2"/>
  <c r="E106" i="2"/>
  <c r="F106" i="2" l="1"/>
  <c r="J106" i="2" l="1"/>
  <c r="G106" i="2"/>
  <c r="H106" i="2" l="1"/>
  <c r="C107" i="2" s="1"/>
  <c r="K107" i="2" s="1"/>
  <c r="L106" i="2"/>
  <c r="I107" i="2" l="1"/>
  <c r="B107" i="2"/>
  <c r="D107" i="2"/>
  <c r="E107" i="2"/>
  <c r="F107" i="2" l="1"/>
  <c r="G107" i="2" l="1"/>
  <c r="J107" i="2"/>
  <c r="H107" i="2" l="1"/>
  <c r="C108" i="2" s="1"/>
  <c r="K108" i="2" s="1"/>
  <c r="L107" i="2"/>
  <c r="I108" i="2" l="1"/>
  <c r="D108" i="2"/>
  <c r="B108" i="2"/>
  <c r="E108" i="2"/>
  <c r="F108" i="2" l="1"/>
  <c r="J108" i="2" l="1"/>
  <c r="G108" i="2"/>
  <c r="H108" i="2" l="1"/>
  <c r="C109" i="2" s="1"/>
  <c r="K109" i="2" s="1"/>
  <c r="L108" i="2"/>
  <c r="I109" i="2" l="1"/>
  <c r="B109" i="2"/>
  <c r="D109" i="2"/>
  <c r="E109" i="2"/>
  <c r="F109" i="2" l="1"/>
  <c r="J109" i="2" l="1"/>
  <c r="G109" i="2"/>
  <c r="L109" i="2" l="1"/>
  <c r="H109" i="2"/>
  <c r="C110" i="2" s="1"/>
  <c r="K110" i="2" s="1"/>
  <c r="I110" i="2" l="1"/>
  <c r="B110" i="2"/>
  <c r="D110" i="2"/>
  <c r="F110" i="2"/>
  <c r="E110" i="2"/>
  <c r="G110" i="2" l="1"/>
  <c r="J110" i="2"/>
  <c r="H110" i="2" l="1"/>
  <c r="C111" i="2" s="1"/>
  <c r="K111" i="2" s="1"/>
  <c r="L110" i="2"/>
  <c r="I111" i="2" l="1"/>
  <c r="B111" i="2"/>
  <c r="D111" i="2"/>
  <c r="F111" i="2"/>
  <c r="E111" i="2"/>
  <c r="G111" i="2" l="1"/>
  <c r="J111" i="2"/>
  <c r="L111" i="2" l="1"/>
  <c r="H111" i="2"/>
  <c r="C112" i="2" s="1"/>
  <c r="K112" i="2" s="1"/>
  <c r="I112" i="2" l="1"/>
  <c r="D112" i="2"/>
  <c r="B112" i="2"/>
  <c r="E112" i="2"/>
  <c r="F112" i="2" l="1"/>
  <c r="J112" i="2" l="1"/>
  <c r="G112" i="2"/>
  <c r="L112" i="2" l="1"/>
  <c r="H112" i="2"/>
  <c r="C113" i="2" s="1"/>
  <c r="K113" i="2" s="1"/>
  <c r="I113" i="2" l="1"/>
  <c r="D113" i="2"/>
  <c r="B113" i="2"/>
  <c r="F113" i="2"/>
  <c r="E113" i="2"/>
  <c r="G113" i="2" l="1"/>
  <c r="J113" i="2"/>
  <c r="L113" i="2" l="1"/>
  <c r="H113" i="2"/>
  <c r="C114" i="2" s="1"/>
  <c r="K114" i="2" s="1"/>
  <c r="I114" i="2" l="1"/>
  <c r="B114" i="2"/>
  <c r="D114" i="2"/>
  <c r="E114" i="2"/>
  <c r="F114" i="2" l="1"/>
  <c r="G114" i="2" l="1"/>
  <c r="J114" i="2"/>
  <c r="L114" i="2" l="1"/>
  <c r="H114" i="2"/>
  <c r="C115" i="2" s="1"/>
  <c r="K115" i="2" s="1"/>
  <c r="I115" i="2" l="1"/>
  <c r="D115" i="2"/>
  <c r="B115" i="2"/>
  <c r="F115" i="2" s="1"/>
  <c r="E115" i="2"/>
  <c r="G115" i="2" l="1"/>
  <c r="J115" i="2"/>
  <c r="H115" i="2" l="1"/>
  <c r="C116" i="2" s="1"/>
  <c r="K116" i="2" s="1"/>
  <c r="L115" i="2"/>
  <c r="I116" i="2" l="1"/>
  <c r="B116" i="2"/>
  <c r="D116" i="2"/>
  <c r="E116" i="2"/>
  <c r="F116" i="2" l="1"/>
  <c r="J116" i="2" l="1"/>
  <c r="G116" i="2"/>
  <c r="L116" i="2" l="1"/>
  <c r="H116" i="2"/>
  <c r="C117" i="2" s="1"/>
  <c r="K117" i="2" s="1"/>
  <c r="I117" i="2" l="1"/>
  <c r="D117" i="2"/>
  <c r="B117" i="2"/>
  <c r="E117" i="2"/>
  <c r="F117" i="2" l="1"/>
  <c r="G117" i="2" l="1"/>
  <c r="J117" i="2"/>
  <c r="H117" i="2" l="1"/>
  <c r="C118" i="2" s="1"/>
  <c r="K118" i="2" s="1"/>
  <c r="L117" i="2"/>
  <c r="I118" i="2" l="1"/>
  <c r="D118" i="2"/>
  <c r="B118" i="2"/>
  <c r="E118" i="2"/>
  <c r="F118" i="2" l="1"/>
  <c r="J118" i="2" l="1"/>
  <c r="G118" i="2"/>
  <c r="L118" i="2" l="1"/>
  <c r="H118" i="2"/>
  <c r="C119" i="2" s="1"/>
  <c r="K119" i="2" s="1"/>
  <c r="I119" i="2" l="1"/>
  <c r="B119" i="2"/>
  <c r="D119" i="2"/>
  <c r="E119" i="2"/>
  <c r="F119" i="2" l="1"/>
  <c r="J119" i="2" l="1"/>
  <c r="G119" i="2"/>
  <c r="L119" i="2" l="1"/>
  <c r="H119" i="2"/>
  <c r="C120" i="2" s="1"/>
  <c r="K120" i="2" s="1"/>
  <c r="I120" i="2" l="1"/>
  <c r="B120" i="2"/>
  <c r="D120" i="2"/>
  <c r="E120" i="2"/>
  <c r="F120" i="2" l="1"/>
  <c r="J120" i="2" l="1"/>
  <c r="G120" i="2"/>
  <c r="L120" i="2" l="1"/>
  <c r="H120" i="2"/>
  <c r="C121" i="2" s="1"/>
  <c r="K121" i="2" s="1"/>
  <c r="I121" i="2" l="1"/>
  <c r="B121" i="2"/>
  <c r="F121" i="2"/>
  <c r="D121" i="2"/>
  <c r="E121" i="2"/>
  <c r="J121" i="2" l="1"/>
  <c r="G121" i="2"/>
  <c r="H121" i="2" l="1"/>
  <c r="C122" i="2" s="1"/>
  <c r="K122" i="2" s="1"/>
  <c r="L121" i="2"/>
  <c r="I122" i="2" l="1"/>
  <c r="D122" i="2"/>
  <c r="B122" i="2"/>
  <c r="E122" i="2"/>
  <c r="F122" i="2" l="1"/>
  <c r="G122" i="2" l="1"/>
  <c r="J122" i="2"/>
  <c r="L122" i="2" l="1"/>
  <c r="H122" i="2"/>
  <c r="C123" i="2" s="1"/>
  <c r="K123" i="2" s="1"/>
  <c r="I123" i="2" l="1"/>
  <c r="D123" i="2"/>
  <c r="B123" i="2"/>
  <c r="E123" i="2"/>
  <c r="F123" i="2" l="1"/>
  <c r="G123" i="2" l="1"/>
  <c r="J123" i="2"/>
  <c r="L123" i="2" l="1"/>
  <c r="H123" i="2"/>
  <c r="C124" i="2" s="1"/>
  <c r="K124" i="2" s="1"/>
  <c r="I124" i="2" l="1"/>
  <c r="B124" i="2"/>
  <c r="D124" i="2"/>
  <c r="F124" i="2"/>
  <c r="E124" i="2"/>
  <c r="J124" i="2" l="1"/>
  <c r="G124" i="2"/>
  <c r="L124" i="2" l="1"/>
  <c r="H124" i="2"/>
  <c r="C125" i="2" s="1"/>
  <c r="K125" i="2" s="1"/>
  <c r="I125" i="2" l="1"/>
  <c r="B125" i="2"/>
  <c r="D125" i="2"/>
  <c r="F125" i="2"/>
  <c r="E125" i="2"/>
  <c r="J125" i="2" l="1"/>
  <c r="G125" i="2"/>
  <c r="H125" i="2" l="1"/>
  <c r="C126" i="2" s="1"/>
  <c r="K126" i="2" s="1"/>
  <c r="L125" i="2"/>
  <c r="I126" i="2" l="1"/>
  <c r="B126" i="2"/>
  <c r="D126" i="2"/>
  <c r="E126" i="2"/>
  <c r="F126" i="2" l="1"/>
  <c r="J126" i="2" l="1"/>
  <c r="G126" i="2"/>
  <c r="L126" i="2" l="1"/>
  <c r="H126" i="2"/>
  <c r="C127" i="2" s="1"/>
  <c r="K127" i="2" s="1"/>
  <c r="I127" i="2" l="1"/>
  <c r="D127" i="2"/>
  <c r="B127" i="2"/>
  <c r="E127" i="2"/>
  <c r="F127" i="2" l="1"/>
  <c r="J127" i="2" l="1"/>
  <c r="G127" i="2"/>
  <c r="L127" i="2" l="1"/>
  <c r="H127" i="2"/>
  <c r="C128" i="2" s="1"/>
  <c r="K128" i="2" s="1"/>
  <c r="I128" i="2" l="1"/>
  <c r="B128" i="2"/>
  <c r="D128" i="2"/>
  <c r="E128" i="2"/>
  <c r="F128" i="2" l="1"/>
  <c r="J128" i="2" l="1"/>
  <c r="G128" i="2"/>
  <c r="L128" i="2" l="1"/>
  <c r="H128" i="2"/>
  <c r="C129" i="2" s="1"/>
  <c r="K129" i="2" s="1"/>
  <c r="I129" i="2" l="1"/>
  <c r="B129" i="2"/>
  <c r="D129" i="2"/>
  <c r="F129" i="2"/>
  <c r="E129" i="2"/>
  <c r="G129" i="2" l="1"/>
  <c r="J129" i="2"/>
  <c r="L129" i="2" l="1"/>
  <c r="H129" i="2"/>
  <c r="C130" i="2" s="1"/>
  <c r="K130" i="2" s="1"/>
  <c r="I130" i="2" l="1"/>
  <c r="D130" i="2"/>
  <c r="B130" i="2"/>
  <c r="E130" i="2"/>
  <c r="F130" i="2" l="1"/>
  <c r="J130" i="2" l="1"/>
  <c r="G130" i="2"/>
  <c r="L130" i="2" l="1"/>
  <c r="H130" i="2"/>
  <c r="C131" i="2" s="1"/>
  <c r="K131" i="2" s="1"/>
  <c r="I131" i="2" l="1"/>
  <c r="B131" i="2"/>
  <c r="D131" i="2"/>
  <c r="F131" i="2"/>
  <c r="E131" i="2"/>
  <c r="J131" i="2" l="1"/>
  <c r="G131" i="2"/>
  <c r="L131" i="2" l="1"/>
  <c r="H131" i="2"/>
  <c r="C132" i="2" s="1"/>
  <c r="K132" i="2" s="1"/>
  <c r="I132" i="2" l="1"/>
  <c r="D132" i="2"/>
  <c r="B132" i="2"/>
  <c r="E132" i="2"/>
  <c r="F132" i="2" l="1"/>
  <c r="J132" i="2" l="1"/>
  <c r="G132" i="2"/>
  <c r="H132" i="2" l="1"/>
  <c r="C133" i="2" s="1"/>
  <c r="K133" i="2" s="1"/>
  <c r="L132" i="2"/>
  <c r="I133" i="2" l="1"/>
  <c r="D133" i="2"/>
  <c r="B133" i="2"/>
  <c r="E133" i="2"/>
  <c r="F133" i="2" l="1"/>
  <c r="G133" i="2" l="1"/>
  <c r="J133" i="2"/>
  <c r="H133" i="2" l="1"/>
  <c r="C134" i="2" s="1"/>
  <c r="K134" i="2" s="1"/>
  <c r="L133" i="2"/>
  <c r="I134" i="2" l="1"/>
  <c r="B134" i="2"/>
  <c r="D134" i="2"/>
  <c r="E134" i="2"/>
  <c r="F134" i="2" l="1"/>
  <c r="J134" i="2" l="1"/>
  <c r="G134" i="2"/>
  <c r="H134" i="2" l="1"/>
  <c r="C135" i="2" s="1"/>
  <c r="K135" i="2" s="1"/>
  <c r="L134" i="2"/>
  <c r="I135" i="2" l="1"/>
  <c r="B135" i="2"/>
  <c r="D135" i="2"/>
  <c r="F135" i="2"/>
  <c r="E135" i="2"/>
  <c r="G135" i="2" l="1"/>
  <c r="J135" i="2"/>
  <c r="L135" i="2" l="1"/>
  <c r="H135" i="2"/>
  <c r="C136" i="2" s="1"/>
  <c r="K136" i="2" s="1"/>
  <c r="I136" i="2" l="1"/>
  <c r="D136" i="2"/>
  <c r="B136" i="2"/>
  <c r="E136" i="2"/>
  <c r="F136" i="2" l="1"/>
  <c r="J136" i="2" l="1"/>
  <c r="G136" i="2"/>
  <c r="L136" i="2" l="1"/>
  <c r="H136" i="2"/>
  <c r="C137" i="2" s="1"/>
  <c r="K137" i="2" s="1"/>
  <c r="I137" i="2" l="1"/>
  <c r="B137" i="2"/>
  <c r="D137" i="2"/>
  <c r="F137" i="2"/>
  <c r="E137" i="2"/>
  <c r="J137" i="2" l="1"/>
  <c r="G137" i="2"/>
  <c r="H137" i="2" l="1"/>
  <c r="C138" i="2" s="1"/>
  <c r="K138" i="2" s="1"/>
  <c r="L137" i="2"/>
  <c r="I138" i="2" l="1"/>
  <c r="B138" i="2"/>
  <c r="D138" i="2"/>
  <c r="F138" i="2"/>
  <c r="E138" i="2"/>
  <c r="G138" i="2" l="1"/>
  <c r="J138" i="2"/>
  <c r="L138" i="2" l="1"/>
  <c r="H138" i="2"/>
  <c r="C139" i="2" s="1"/>
  <c r="K139" i="2" s="1"/>
  <c r="I139" i="2" l="1"/>
  <c r="B139" i="2"/>
  <c r="D139" i="2"/>
  <c r="E139" i="2"/>
  <c r="F139" i="2" l="1"/>
  <c r="G139" i="2" l="1"/>
  <c r="J139" i="2"/>
  <c r="H139" i="2" l="1"/>
  <c r="C140" i="2" s="1"/>
  <c r="K140" i="2" s="1"/>
  <c r="L139" i="2"/>
  <c r="I140" i="2" l="1"/>
  <c r="D140" i="2"/>
  <c r="B140" i="2"/>
  <c r="E140" i="2"/>
  <c r="F140" i="2" l="1"/>
  <c r="G140" i="2" l="1"/>
  <c r="J140" i="2"/>
  <c r="H140" i="2" l="1"/>
  <c r="C141" i="2" s="1"/>
  <c r="K141" i="2" s="1"/>
  <c r="L140" i="2"/>
  <c r="I141" i="2" l="1"/>
  <c r="B141" i="2"/>
  <c r="D141" i="2"/>
  <c r="E141" i="2"/>
  <c r="F141" i="2" l="1"/>
  <c r="J141" i="2" l="1"/>
  <c r="G141" i="2"/>
  <c r="L141" i="2" l="1"/>
  <c r="H141" i="2"/>
  <c r="C142" i="2" s="1"/>
  <c r="K142" i="2" s="1"/>
  <c r="I142" i="2" l="1"/>
  <c r="B142" i="2"/>
  <c r="D142" i="2"/>
  <c r="E142" i="2"/>
  <c r="F142" i="2" l="1"/>
  <c r="J142" i="2" l="1"/>
  <c r="G142" i="2"/>
  <c r="L142" i="2" l="1"/>
  <c r="H142" i="2"/>
  <c r="C143" i="2" s="1"/>
  <c r="K143" i="2" s="1"/>
  <c r="I143" i="2" l="1"/>
  <c r="B143" i="2"/>
  <c r="D143" i="2"/>
  <c r="E143" i="2"/>
  <c r="F143" i="2" l="1"/>
  <c r="J143" i="2" l="1"/>
  <c r="G143" i="2"/>
  <c r="L143" i="2" l="1"/>
  <c r="H143" i="2"/>
  <c r="C144" i="2" s="1"/>
  <c r="K144" i="2" s="1"/>
  <c r="I144" i="2" l="1"/>
  <c r="B144" i="2"/>
  <c r="D144" i="2"/>
  <c r="E144" i="2"/>
  <c r="F144" i="2" l="1"/>
  <c r="G144" i="2" l="1"/>
  <c r="J144" i="2"/>
  <c r="L144" i="2" l="1"/>
  <c r="H144" i="2"/>
  <c r="C145" i="2" s="1"/>
  <c r="K145" i="2" s="1"/>
  <c r="I145" i="2" l="1"/>
  <c r="B145" i="2"/>
  <c r="D145" i="2"/>
  <c r="E145" i="2"/>
  <c r="F145" i="2" l="1"/>
  <c r="J145" i="2" l="1"/>
  <c r="G145" i="2"/>
  <c r="L145" i="2" l="1"/>
  <c r="H145" i="2"/>
  <c r="C146" i="2" s="1"/>
  <c r="K146" i="2" s="1"/>
  <c r="I146" i="2" l="1"/>
  <c r="D146" i="2"/>
  <c r="B146" i="2"/>
  <c r="E146" i="2"/>
  <c r="F146" i="2" l="1"/>
  <c r="J146" i="2" l="1"/>
  <c r="G146" i="2"/>
  <c r="H146" i="2" l="1"/>
  <c r="C147" i="2" s="1"/>
  <c r="K147" i="2" s="1"/>
  <c r="L146" i="2"/>
  <c r="I147" i="2" l="1"/>
  <c r="D147" i="2"/>
  <c r="B147" i="2"/>
  <c r="F147" i="2" s="1"/>
  <c r="E147" i="2"/>
  <c r="J147" i="2" l="1"/>
  <c r="G147" i="2"/>
  <c r="L147" i="2" l="1"/>
  <c r="H147" i="2"/>
  <c r="C148" i="2" s="1"/>
  <c r="K148" i="2" s="1"/>
  <c r="I148" i="2" l="1"/>
  <c r="B148" i="2"/>
  <c r="D148" i="2"/>
  <c r="F148" i="2"/>
  <c r="E148" i="2"/>
  <c r="J148" i="2" l="1"/>
  <c r="G148" i="2"/>
  <c r="L148" i="2" l="1"/>
  <c r="H148" i="2"/>
  <c r="C149" i="2" s="1"/>
  <c r="K149" i="2" s="1"/>
  <c r="I149" i="2" l="1"/>
  <c r="D149" i="2"/>
  <c r="B149" i="2"/>
  <c r="E149" i="2"/>
  <c r="F149" i="2" l="1"/>
  <c r="G149" i="2" l="1"/>
  <c r="J149" i="2"/>
  <c r="H149" i="2" l="1"/>
  <c r="C150" i="2" s="1"/>
  <c r="K150" i="2" s="1"/>
  <c r="L149" i="2"/>
  <c r="I150" i="2" l="1"/>
  <c r="B150" i="2"/>
  <c r="D150" i="2"/>
  <c r="E150" i="2"/>
  <c r="F150" i="2" l="1"/>
  <c r="G150" i="2" l="1"/>
  <c r="J150" i="2"/>
  <c r="L150" i="2" l="1"/>
  <c r="H150" i="2"/>
  <c r="C151" i="2" s="1"/>
  <c r="K151" i="2" s="1"/>
  <c r="I151" i="2" l="1"/>
  <c r="B151" i="2"/>
  <c r="D151" i="2"/>
  <c r="E151" i="2"/>
  <c r="F151" i="2" l="1"/>
  <c r="G151" i="2" l="1"/>
  <c r="J151" i="2"/>
  <c r="H151" i="2" l="1"/>
  <c r="C152" i="2" s="1"/>
  <c r="K152" i="2" s="1"/>
  <c r="L151" i="2"/>
  <c r="I152" i="2" l="1"/>
  <c r="D152" i="2"/>
  <c r="B152" i="2"/>
  <c r="E152" i="2"/>
  <c r="F152" i="2" l="1"/>
  <c r="J152" i="2" l="1"/>
  <c r="G152" i="2"/>
  <c r="L152" i="2" l="1"/>
  <c r="H152" i="2"/>
  <c r="C153" i="2" s="1"/>
  <c r="K153" i="2" s="1"/>
  <c r="I153" i="2" l="1"/>
  <c r="D153" i="2"/>
  <c r="B153" i="2"/>
  <c r="E153" i="2"/>
  <c r="F153" i="2" l="1"/>
  <c r="G153" i="2" l="1"/>
  <c r="J153" i="2"/>
  <c r="L153" i="2" l="1"/>
  <c r="H153" i="2"/>
  <c r="C154" i="2" s="1"/>
  <c r="K154" i="2" s="1"/>
  <c r="I154" i="2" l="1"/>
  <c r="B154" i="2"/>
  <c r="D154" i="2"/>
  <c r="F154" i="2" s="1"/>
  <c r="E154" i="2"/>
  <c r="G154" i="2" l="1"/>
  <c r="J154" i="2"/>
  <c r="L154" i="2" l="1"/>
  <c r="H154" i="2"/>
  <c r="C155" i="2" s="1"/>
  <c r="K155" i="2" s="1"/>
  <c r="I155" i="2" l="1"/>
  <c r="B155" i="2"/>
  <c r="D155" i="2"/>
  <c r="F155" i="2"/>
  <c r="E155" i="2"/>
  <c r="J155" i="2" l="1"/>
  <c r="G155" i="2"/>
  <c r="H155" i="2" l="1"/>
  <c r="C156" i="2" s="1"/>
  <c r="K156" i="2" s="1"/>
  <c r="L155" i="2"/>
  <c r="I156" i="2" l="1"/>
  <c r="B156" i="2"/>
  <c r="D156" i="2"/>
  <c r="F156" i="2"/>
  <c r="E156" i="2"/>
  <c r="J156" i="2" l="1"/>
  <c r="G156" i="2"/>
  <c r="H156" i="2" l="1"/>
  <c r="C157" i="2" s="1"/>
  <c r="K157" i="2" s="1"/>
  <c r="L156" i="2"/>
  <c r="I157" i="2" l="1"/>
  <c r="B157" i="2"/>
  <c r="D157" i="2"/>
  <c r="E157" i="2"/>
  <c r="F157" i="2" l="1"/>
  <c r="G157" i="2" l="1"/>
  <c r="J157" i="2"/>
  <c r="L157" i="2" l="1"/>
  <c r="H157" i="2"/>
  <c r="C158" i="2" s="1"/>
  <c r="K158" i="2" s="1"/>
  <c r="I158" i="2" l="1"/>
  <c r="B158" i="2"/>
  <c r="D158" i="2"/>
  <c r="E158" i="2"/>
  <c r="F158" i="2" l="1"/>
  <c r="J158" i="2" l="1"/>
  <c r="G158" i="2"/>
  <c r="H158" i="2" l="1"/>
  <c r="C159" i="2" s="1"/>
  <c r="K159" i="2" s="1"/>
  <c r="L158" i="2"/>
  <c r="I159" i="2" l="1"/>
  <c r="B159" i="2"/>
  <c r="D159" i="2"/>
  <c r="E159" i="2"/>
  <c r="F159" i="2" l="1"/>
  <c r="J159" i="2" l="1"/>
  <c r="G159" i="2"/>
  <c r="H159" i="2" l="1"/>
  <c r="C160" i="2" s="1"/>
  <c r="K160" i="2" s="1"/>
  <c r="L159" i="2"/>
  <c r="I160" i="2" l="1"/>
  <c r="B160" i="2"/>
  <c r="D160" i="2"/>
  <c r="E160" i="2"/>
  <c r="F160" i="2" l="1"/>
  <c r="J160" i="2" l="1"/>
  <c r="G160" i="2"/>
  <c r="H160" i="2" l="1"/>
  <c r="C161" i="2" s="1"/>
  <c r="K161" i="2" s="1"/>
  <c r="L160" i="2"/>
  <c r="I161" i="2" l="1"/>
  <c r="B161" i="2"/>
  <c r="D161" i="2"/>
  <c r="F161" i="2"/>
  <c r="E161" i="2"/>
  <c r="J161" i="2" l="1"/>
  <c r="G161" i="2"/>
  <c r="H161" i="2" l="1"/>
  <c r="C162" i="2" s="1"/>
  <c r="K162" i="2" s="1"/>
  <c r="L161" i="2"/>
  <c r="I162" i="2" l="1"/>
  <c r="D162" i="2"/>
  <c r="B162" i="2"/>
  <c r="E162" i="2"/>
  <c r="F162" i="2" l="1"/>
  <c r="G162" i="2" l="1"/>
  <c r="J162" i="2"/>
  <c r="L162" i="2" l="1"/>
  <c r="H162" i="2"/>
  <c r="C163" i="2" s="1"/>
  <c r="K163" i="2" s="1"/>
  <c r="I163" i="2" l="1"/>
  <c r="D163" i="2"/>
  <c r="B163" i="2"/>
  <c r="F163" i="2"/>
  <c r="E163" i="2"/>
  <c r="J163" i="2" l="1"/>
  <c r="G163" i="2"/>
  <c r="H163" i="2" s="1"/>
  <c r="C164" i="2" s="1"/>
  <c r="K164" i="2" s="1"/>
  <c r="L163" i="2"/>
  <c r="I164" i="2" l="1"/>
  <c r="B164" i="2"/>
  <c r="D164" i="2"/>
  <c r="F164" i="2"/>
  <c r="E164" i="2"/>
  <c r="G164" i="2" l="1"/>
  <c r="J164" i="2"/>
  <c r="L164" i="2" l="1"/>
  <c r="H164" i="2"/>
  <c r="C165" i="2" s="1"/>
  <c r="K165" i="2" s="1"/>
  <c r="I165" i="2" l="1"/>
  <c r="B165" i="2"/>
  <c r="D165" i="2"/>
  <c r="E165" i="2"/>
  <c r="F165" i="2" l="1"/>
  <c r="G165" i="2" l="1"/>
  <c r="J165" i="2"/>
  <c r="H165" i="2" l="1"/>
  <c r="C166" i="2" s="1"/>
  <c r="K166" i="2" s="1"/>
  <c r="L165" i="2"/>
  <c r="I166" i="2" l="1"/>
  <c r="D166" i="2"/>
  <c r="F166" i="2"/>
  <c r="B166" i="2"/>
  <c r="E166" i="2"/>
  <c r="J166" i="2" l="1"/>
  <c r="G166" i="2"/>
  <c r="L166" i="2" l="1"/>
  <c r="H166" i="2"/>
  <c r="C167" i="2" s="1"/>
  <c r="K167" i="2" s="1"/>
  <c r="I167" i="2" l="1"/>
  <c r="D167" i="2"/>
  <c r="B167" i="2"/>
  <c r="E167" i="2"/>
  <c r="F167" i="2" l="1"/>
  <c r="G167" i="2" l="1"/>
  <c r="J167" i="2"/>
  <c r="L167" i="2" l="1"/>
  <c r="H167" i="2"/>
  <c r="C168" i="2" s="1"/>
  <c r="K168" i="2" s="1"/>
  <c r="I168" i="2" l="1"/>
  <c r="D168" i="2"/>
  <c r="B168" i="2"/>
  <c r="E168" i="2"/>
  <c r="F168" i="2" l="1"/>
  <c r="G168" i="2" l="1"/>
  <c r="J168" i="2"/>
  <c r="H168" i="2" l="1"/>
  <c r="C169" i="2" s="1"/>
  <c r="K169" i="2" s="1"/>
  <c r="L168" i="2"/>
  <c r="I169" i="2" l="1"/>
  <c r="B169" i="2"/>
  <c r="D169" i="2"/>
  <c r="F169" i="2"/>
  <c r="E169" i="2"/>
  <c r="G169" i="2" l="1"/>
  <c r="J169" i="2"/>
  <c r="H169" i="2" l="1"/>
  <c r="C170" i="2" s="1"/>
  <c r="K170" i="2" s="1"/>
  <c r="L169" i="2"/>
  <c r="I170" i="2" l="1"/>
  <c r="D170" i="2"/>
  <c r="B170" i="2"/>
  <c r="E170" i="2"/>
  <c r="F170" i="2" l="1"/>
  <c r="G170" i="2" l="1"/>
  <c r="J170" i="2"/>
  <c r="H170" i="2" l="1"/>
  <c r="C171" i="2" s="1"/>
  <c r="K171" i="2" s="1"/>
  <c r="L170" i="2"/>
  <c r="I171" i="2" l="1"/>
  <c r="B171" i="2"/>
  <c r="D171" i="2"/>
  <c r="E171" i="2"/>
  <c r="F171" i="2" l="1"/>
  <c r="J171" i="2" l="1"/>
  <c r="G171" i="2"/>
  <c r="H171" i="2" l="1"/>
  <c r="C172" i="2" s="1"/>
  <c r="K172" i="2" s="1"/>
  <c r="L171" i="2"/>
  <c r="I172" i="2" l="1"/>
  <c r="D172" i="2"/>
  <c r="B172" i="2"/>
  <c r="E172" i="2"/>
  <c r="F172" i="2" l="1"/>
  <c r="J172" i="2" l="1"/>
  <c r="G172" i="2"/>
  <c r="L172" i="2" l="1"/>
  <c r="H172" i="2"/>
  <c r="C173" i="2" s="1"/>
  <c r="K173" i="2" s="1"/>
  <c r="I173" i="2" l="1"/>
  <c r="D173" i="2"/>
  <c r="B173" i="2"/>
  <c r="E173" i="2"/>
  <c r="F173" i="2" l="1"/>
  <c r="J173" i="2" l="1"/>
  <c r="G173" i="2"/>
  <c r="L173" i="2" l="1"/>
  <c r="H173" i="2"/>
  <c r="C174" i="2" s="1"/>
  <c r="K174" i="2" s="1"/>
  <c r="I174" i="2" l="1"/>
  <c r="B174" i="2"/>
  <c r="D174" i="2"/>
  <c r="E174" i="2"/>
  <c r="F174" i="2" l="1"/>
  <c r="J174" i="2" l="1"/>
  <c r="G174" i="2"/>
  <c r="H174" i="2" l="1"/>
  <c r="C175" i="2" s="1"/>
  <c r="K175" i="2" s="1"/>
  <c r="L174" i="2"/>
  <c r="I175" i="2" l="1"/>
  <c r="D175" i="2"/>
  <c r="B175" i="2"/>
  <c r="E175" i="2"/>
  <c r="F175" i="2" l="1"/>
  <c r="G175" i="2" l="1"/>
  <c r="J175" i="2"/>
  <c r="L175" i="2" l="1"/>
  <c r="H175" i="2"/>
  <c r="C176" i="2" s="1"/>
  <c r="K176" i="2" s="1"/>
  <c r="I176" i="2" l="1"/>
  <c r="B176" i="2"/>
  <c r="D176" i="2"/>
  <c r="F176" i="2" s="1"/>
  <c r="E176" i="2"/>
  <c r="G176" i="2" l="1"/>
  <c r="L176" i="2" s="1"/>
  <c r="J176" i="2"/>
  <c r="H176" i="2"/>
  <c r="C177" i="2" s="1"/>
  <c r="K177" i="2" s="1"/>
  <c r="I177" i="2" l="1"/>
  <c r="B177" i="2"/>
  <c r="D177" i="2"/>
  <c r="F177" i="2" s="1"/>
  <c r="E177" i="2"/>
  <c r="J177" i="2" l="1"/>
  <c r="G177" i="2"/>
  <c r="L177" i="2" l="1"/>
  <c r="H177" i="2"/>
  <c r="C178" i="2" s="1"/>
  <c r="K178" i="2" s="1"/>
  <c r="I178" i="2" l="1"/>
  <c r="B178" i="2"/>
  <c r="D178" i="2"/>
  <c r="E178" i="2"/>
  <c r="F178" i="2" l="1"/>
  <c r="G178" i="2" l="1"/>
  <c r="J178" i="2"/>
  <c r="H178" i="2" l="1"/>
  <c r="C179" i="2" s="1"/>
  <c r="K179" i="2" s="1"/>
  <c r="L178" i="2"/>
  <c r="I179" i="2" l="1"/>
  <c r="E179" i="2"/>
  <c r="D179" i="2"/>
  <c r="B179" i="2"/>
  <c r="F179" i="2" s="1"/>
  <c r="H179" i="2"/>
  <c r="L179" i="2"/>
  <c r="C180" i="2" l="1"/>
  <c r="J179" i="2"/>
  <c r="G179" i="2"/>
  <c r="I180" i="2" l="1"/>
  <c r="J180" i="2" s="1"/>
  <c r="K180" i="2"/>
  <c r="L180" i="2"/>
  <c r="D180" i="2"/>
  <c r="B180" i="2"/>
  <c r="H180" i="2"/>
  <c r="F180" i="2"/>
  <c r="E180" i="2"/>
  <c r="G180" i="2"/>
  <c r="C181" i="2" l="1"/>
  <c r="K181" i="2" s="1"/>
  <c r="B181" i="2" l="1"/>
  <c r="F181" i="2" s="1"/>
  <c r="H181" i="2"/>
  <c r="D181" i="2"/>
  <c r="L181" i="2"/>
  <c r="I181" i="2"/>
  <c r="G181" i="2" s="1"/>
  <c r="E181" i="2"/>
  <c r="J181" i="2" l="1"/>
  <c r="C182" i="2"/>
  <c r="I182" i="2" s="1"/>
  <c r="G182" i="2" s="1"/>
  <c r="H182" i="2" s="1"/>
  <c r="C183" i="2" s="1"/>
  <c r="D182" i="2"/>
  <c r="B182" i="2"/>
  <c r="F182" i="2" s="1"/>
  <c r="L182" i="2" l="1"/>
  <c r="E182" i="2"/>
  <c r="K182" i="2"/>
  <c r="E183" i="2"/>
  <c r="K183" i="2"/>
  <c r="J182" i="2"/>
  <c r="I183" i="2"/>
  <c r="D183" i="2"/>
  <c r="B183" i="2"/>
  <c r="F183" i="2" s="1"/>
  <c r="H183" i="2"/>
  <c r="C184" i="2" l="1"/>
  <c r="K184" i="2" s="1"/>
  <c r="G183" i="2"/>
  <c r="L183" i="2" s="1"/>
  <c r="J183" i="2"/>
  <c r="E184" i="2" l="1"/>
  <c r="B184" i="2"/>
  <c r="I184" i="2"/>
  <c r="J184" i="2" s="1"/>
  <c r="H184" i="2"/>
  <c r="F184" i="2"/>
  <c r="L184" i="2"/>
  <c r="D184" i="2"/>
  <c r="C185" i="2" l="1"/>
  <c r="K185" i="2" s="1"/>
  <c r="G184" i="2"/>
  <c r="E185" i="2" l="1"/>
  <c r="B185" i="2"/>
  <c r="I185" i="2"/>
  <c r="D185" i="2"/>
  <c r="H185" i="2"/>
  <c r="F185" i="2"/>
  <c r="J185" i="2" l="1"/>
  <c r="C186" i="2"/>
  <c r="K186" i="2" s="1"/>
  <c r="G185" i="2"/>
  <c r="L185" i="2" s="1"/>
  <c r="E186" i="2"/>
  <c r="I186" i="2" l="1"/>
  <c r="L186" i="2"/>
  <c r="H186" i="2"/>
  <c r="B186" i="2"/>
  <c r="F186" i="2"/>
  <c r="D186" i="2"/>
  <c r="G186" i="2" l="1"/>
  <c r="C187" i="2"/>
  <c r="K187" i="2" s="1"/>
  <c r="J186" i="2"/>
  <c r="E187" i="2"/>
  <c r="I187" i="2" l="1"/>
  <c r="D187" i="2"/>
  <c r="B187" i="2"/>
  <c r="F187" i="2"/>
  <c r="H187" i="2"/>
  <c r="J187" i="2" l="1"/>
  <c r="G187" i="2"/>
  <c r="L187" i="2" s="1"/>
  <c r="C188" i="2"/>
  <c r="K188" i="2" s="1"/>
  <c r="I188" i="2" l="1"/>
  <c r="E188" i="2"/>
  <c r="B188" i="2"/>
  <c r="F188" i="2"/>
  <c r="D188" i="2"/>
  <c r="L188" i="2"/>
  <c r="H188" i="2"/>
  <c r="C189" i="2" l="1"/>
  <c r="J188" i="2"/>
  <c r="G188" i="2"/>
  <c r="I189" i="2" l="1"/>
  <c r="J189" i="2" s="1"/>
  <c r="K189" i="2"/>
  <c r="L189" i="2"/>
  <c r="D189" i="2"/>
  <c r="B189" i="2"/>
  <c r="F189" i="2" s="1"/>
  <c r="E189" i="2"/>
  <c r="G189" i="2"/>
  <c r="H189" i="2" s="1"/>
  <c r="C190" i="2" s="1"/>
  <c r="K190" i="2" s="1"/>
  <c r="I190" i="2" l="1"/>
  <c r="E190" i="2"/>
  <c r="B190" i="2"/>
  <c r="F190" i="2" s="1"/>
  <c r="D190" i="2"/>
  <c r="L190" i="2"/>
  <c r="J190" i="2" l="1"/>
  <c r="G190" i="2"/>
  <c r="H190" i="2" s="1"/>
  <c r="C191" i="2" s="1"/>
  <c r="K191" i="2" s="1"/>
  <c r="I191" i="2" l="1"/>
  <c r="E191" i="2"/>
  <c r="F191" i="2"/>
  <c r="D191" i="2"/>
  <c r="B191" i="2"/>
  <c r="H191" i="2"/>
  <c r="J191" i="2" l="1"/>
  <c r="G191" i="2"/>
  <c r="L191" i="2" s="1"/>
  <c r="C192" i="2"/>
  <c r="K192" i="2" s="1"/>
  <c r="I192" i="2" l="1"/>
  <c r="E192" i="2"/>
  <c r="L192" i="2"/>
  <c r="B192" i="2"/>
  <c r="F192" i="2" s="1"/>
  <c r="H192" i="2"/>
  <c r="D192" i="2"/>
  <c r="G192" i="2" l="1"/>
  <c r="J192" i="2"/>
  <c r="C193" i="2"/>
  <c r="K193" i="2" s="1"/>
  <c r="I193" i="2" l="1"/>
  <c r="E193" i="2"/>
  <c r="H193" i="2"/>
  <c r="D193" i="2"/>
  <c r="L193" i="2"/>
  <c r="F193" i="2"/>
  <c r="B193" i="2"/>
  <c r="C194" i="2" l="1"/>
  <c r="K194" i="2" s="1"/>
  <c r="G193" i="2"/>
  <c r="J193" i="2"/>
  <c r="I194" i="2" l="1"/>
  <c r="E194" i="2"/>
  <c r="D194" i="2"/>
  <c r="L194" i="2"/>
  <c r="B194" i="2"/>
  <c r="F194" i="2" s="1"/>
  <c r="J194" i="2" l="1"/>
  <c r="G194" i="2"/>
  <c r="H194" i="2" s="1"/>
  <c r="C195" i="2" s="1"/>
  <c r="K195" i="2" s="1"/>
  <c r="I195" i="2" l="1"/>
  <c r="E195" i="2"/>
  <c r="B195" i="2"/>
  <c r="F195" i="2" s="1"/>
  <c r="L195" i="2"/>
  <c r="D195" i="2"/>
  <c r="H195" i="2"/>
  <c r="G195" i="2" l="1"/>
  <c r="J195" i="2"/>
  <c r="C196" i="2"/>
  <c r="K196" i="2" s="1"/>
  <c r="I196" i="2" l="1"/>
  <c r="E196" i="2"/>
  <c r="F196" i="2"/>
  <c r="H196" i="2"/>
  <c r="D196" i="2"/>
  <c r="L196" i="2"/>
  <c r="B196" i="2"/>
  <c r="G196" i="2" l="1"/>
  <c r="J196" i="2"/>
  <c r="C197" i="2"/>
  <c r="K197" i="2" s="1"/>
  <c r="I197" i="2" l="1"/>
  <c r="E197" i="2"/>
  <c r="L197" i="2"/>
  <c r="B197" i="2"/>
  <c r="F197" i="2" s="1"/>
  <c r="D197" i="2"/>
  <c r="G197" i="2" l="1"/>
  <c r="H197" i="2" s="1"/>
  <c r="C198" i="2" s="1"/>
  <c r="K198" i="2" s="1"/>
  <c r="J197" i="2"/>
  <c r="I198" i="2" l="1"/>
  <c r="E198" i="2"/>
  <c r="D198" i="2"/>
  <c r="H198" i="2"/>
  <c r="L198" i="2"/>
  <c r="B198" i="2"/>
  <c r="F198" i="2" s="1"/>
  <c r="C199" i="2" l="1"/>
  <c r="J198" i="2"/>
  <c r="G198" i="2"/>
  <c r="E199" i="2" l="1"/>
  <c r="K199" i="2"/>
  <c r="I199" i="2"/>
  <c r="D199" i="2"/>
  <c r="B199" i="2"/>
  <c r="F199" i="2" s="1"/>
  <c r="H199" i="2"/>
  <c r="L199" i="2"/>
  <c r="G199" i="2" l="1"/>
  <c r="C200" i="2"/>
  <c r="K200" i="2" s="1"/>
  <c r="J199" i="2"/>
  <c r="E200" i="2"/>
  <c r="I200" i="2" l="1"/>
  <c r="B200" i="2"/>
  <c r="L200" i="2"/>
  <c r="F200" i="2"/>
  <c r="D200" i="2"/>
  <c r="H200" i="2"/>
  <c r="G200" i="2" l="1"/>
  <c r="C201" i="2"/>
  <c r="K201" i="2" s="1"/>
  <c r="J200" i="2"/>
  <c r="E201" i="2"/>
  <c r="I201" i="2" l="1"/>
  <c r="H201" i="2"/>
  <c r="F201" i="2"/>
  <c r="L201" i="2"/>
  <c r="D201" i="2"/>
  <c r="B201" i="2"/>
  <c r="C202" i="2" l="1"/>
  <c r="K202" i="2" s="1"/>
  <c r="G201" i="2"/>
  <c r="J201" i="2"/>
  <c r="I202" i="2" l="1"/>
  <c r="E202" i="2"/>
  <c r="L202" i="2"/>
  <c r="F202" i="2"/>
  <c r="B202" i="2"/>
  <c r="H202" i="2"/>
  <c r="D202" i="2"/>
  <c r="C203" i="2" l="1"/>
  <c r="J202" i="2"/>
  <c r="G202" i="2"/>
  <c r="E203" i="2" l="1"/>
  <c r="K203" i="2"/>
  <c r="I203" i="2"/>
  <c r="L203" i="2"/>
  <c r="H203" i="2"/>
  <c r="D203" i="2"/>
  <c r="B203" i="2"/>
  <c r="F203" i="2" s="1"/>
  <c r="J203" i="2" l="1"/>
  <c r="G203" i="2"/>
  <c r="C204" i="2"/>
  <c r="K204" i="2" s="1"/>
  <c r="I204" i="2" l="1"/>
  <c r="E204" i="2"/>
  <c r="L204" i="2"/>
  <c r="H204" i="2"/>
  <c r="B204" i="2"/>
  <c r="F204" i="2" s="1"/>
  <c r="D204" i="2"/>
  <c r="J204" i="2" l="1"/>
  <c r="C205" i="2"/>
  <c r="K205" i="2" s="1"/>
  <c r="G204" i="2"/>
  <c r="E205" i="2"/>
  <c r="I205" i="2" l="1"/>
  <c r="D205" i="2"/>
  <c r="B205" i="2"/>
  <c r="F205" i="2" s="1"/>
  <c r="H205" i="2"/>
  <c r="G205" i="2" l="1"/>
  <c r="L205" i="2" s="1"/>
  <c r="C206" i="2"/>
  <c r="K206" i="2" s="1"/>
  <c r="J205" i="2"/>
  <c r="E206" i="2"/>
  <c r="I206" i="2" l="1"/>
  <c r="H206" i="2"/>
  <c r="B206" i="2"/>
  <c r="F206" i="2"/>
  <c r="L206" i="2"/>
  <c r="D206" i="2"/>
  <c r="G206" i="2" l="1"/>
  <c r="C207" i="2"/>
  <c r="K207" i="2" s="1"/>
  <c r="J206" i="2"/>
  <c r="E207" i="2"/>
  <c r="I207" i="2" l="1"/>
  <c r="H207" i="2"/>
  <c r="L207" i="2"/>
  <c r="B207" i="2"/>
  <c r="D207" i="2"/>
  <c r="F207" i="2"/>
  <c r="G207" i="2" l="1"/>
  <c r="J207" i="2"/>
  <c r="C208" i="2"/>
  <c r="E208" i="2" l="1"/>
  <c r="K208" i="2"/>
  <c r="I208" i="2"/>
  <c r="D208" i="2"/>
  <c r="F208" i="2"/>
  <c r="H208" i="2"/>
  <c r="L208" i="2"/>
  <c r="B208" i="2"/>
  <c r="C209" i="2" l="1"/>
  <c r="J208" i="2"/>
  <c r="G208" i="2"/>
  <c r="E209" i="2" l="1"/>
  <c r="K209" i="2"/>
  <c r="I209" i="2"/>
  <c r="B209" i="2"/>
  <c r="F209" i="2" s="1"/>
  <c r="H209" i="2"/>
  <c r="D209" i="2"/>
  <c r="G209" i="2" l="1"/>
  <c r="L209" i="2" s="1"/>
  <c r="C210" i="2"/>
  <c r="K210" i="2" s="1"/>
  <c r="J209" i="2"/>
  <c r="E210" i="2"/>
  <c r="I210" i="2" l="1"/>
  <c r="D210" i="2"/>
  <c r="L210" i="2"/>
  <c r="B210" i="2"/>
  <c r="F210" i="2"/>
  <c r="J210" i="2" l="1"/>
  <c r="G210" i="2"/>
  <c r="H210" i="2" s="1"/>
  <c r="C211" i="2" s="1"/>
  <c r="K211" i="2" s="1"/>
  <c r="I211" i="2" l="1"/>
  <c r="E211" i="2"/>
  <c r="D211" i="2"/>
  <c r="B211" i="2"/>
  <c r="F211" i="2" s="1"/>
  <c r="H211" i="2"/>
  <c r="L211" i="2"/>
  <c r="G211" i="2" l="1"/>
  <c r="C212" i="2"/>
  <c r="K212" i="2" s="1"/>
  <c r="J211" i="2"/>
  <c r="E212" i="2"/>
  <c r="I212" i="2" l="1"/>
  <c r="B212" i="2"/>
  <c r="F212" i="2" s="1"/>
  <c r="L212" i="2"/>
  <c r="D212" i="2"/>
  <c r="G212" i="2" l="1"/>
  <c r="H212" i="2" s="1"/>
  <c r="C213" i="2" s="1"/>
  <c r="K213" i="2" s="1"/>
  <c r="J212" i="2"/>
  <c r="I213" i="2" l="1"/>
  <c r="E213" i="2"/>
  <c r="B213" i="2"/>
  <c r="D213" i="2"/>
  <c r="F213" i="2"/>
  <c r="H213" i="2"/>
  <c r="J213" i="2" l="1"/>
  <c r="G213" i="2"/>
  <c r="L213" i="2" s="1"/>
  <c r="C214" i="2"/>
  <c r="K214" i="2" s="1"/>
  <c r="I214" i="2" l="1"/>
  <c r="E214" i="2"/>
  <c r="B214" i="2"/>
  <c r="D214" i="2"/>
  <c r="F214" i="2"/>
  <c r="L214" i="2"/>
  <c r="H214" i="2"/>
  <c r="J214" i="2" l="1"/>
  <c r="G214" i="2"/>
  <c r="C215" i="2"/>
  <c r="K215" i="2" s="1"/>
  <c r="I215" i="2" l="1"/>
  <c r="E215" i="2"/>
  <c r="H215" i="2"/>
  <c r="B215" i="2"/>
  <c r="F215" i="2" s="1"/>
  <c r="D215" i="2"/>
  <c r="L215" i="2"/>
  <c r="G215" i="2" l="1"/>
  <c r="J215" i="2"/>
  <c r="C216" i="2"/>
  <c r="K216" i="2" s="1"/>
  <c r="I216" i="2" l="1"/>
  <c r="E216" i="2"/>
  <c r="H216" i="2"/>
  <c r="L216" i="2"/>
  <c r="D216" i="2"/>
  <c r="B216" i="2"/>
  <c r="F216" i="2"/>
  <c r="C217" i="2" l="1"/>
  <c r="K217" i="2" s="1"/>
  <c r="G216" i="2"/>
  <c r="J216" i="2"/>
  <c r="I217" i="2" l="1"/>
  <c r="E217" i="2"/>
  <c r="L217" i="2"/>
  <c r="D217" i="2"/>
  <c r="B217" i="2"/>
  <c r="F217" i="2" s="1"/>
  <c r="H217" i="2"/>
  <c r="C218" i="2" l="1"/>
  <c r="K218" i="2" s="1"/>
  <c r="G217" i="2"/>
  <c r="J217" i="2"/>
  <c r="I218" i="2" l="1"/>
  <c r="E218" i="2"/>
  <c r="F218" i="2"/>
  <c r="B218" i="2"/>
  <c r="L218" i="2"/>
  <c r="H218" i="2"/>
  <c r="D218" i="2"/>
  <c r="G218" i="2" l="1"/>
  <c r="J218" i="2"/>
  <c r="C219" i="2"/>
  <c r="E219" i="2" l="1"/>
  <c r="K219" i="2"/>
  <c r="I219" i="2"/>
  <c r="D219" i="2"/>
  <c r="B219" i="2"/>
  <c r="F219" i="2" s="1"/>
  <c r="L219" i="2"/>
  <c r="G219" i="2" l="1"/>
  <c r="H219" i="2" s="1"/>
  <c r="C220" i="2" s="1"/>
  <c r="K220" i="2" s="1"/>
  <c r="J219" i="2"/>
  <c r="I220" i="2" l="1"/>
  <c r="E220" i="2"/>
  <c r="L220" i="2"/>
  <c r="F220" i="2"/>
  <c r="B220" i="2"/>
  <c r="H220" i="2"/>
  <c r="D220" i="2"/>
  <c r="C221" i="2" l="1"/>
  <c r="J220" i="2"/>
  <c r="G220" i="2"/>
  <c r="E221" i="2" l="1"/>
  <c r="K221" i="2"/>
  <c r="I221" i="2"/>
  <c r="B221" i="2"/>
  <c r="F221" i="2" s="1"/>
  <c r="H221" i="2"/>
  <c r="D221" i="2"/>
  <c r="L221" i="2"/>
  <c r="C222" i="2" l="1"/>
  <c r="J221" i="2"/>
  <c r="G221" i="2"/>
  <c r="E222" i="2" l="1"/>
  <c r="K222" i="2"/>
  <c r="I222" i="2"/>
  <c r="L222" i="2"/>
  <c r="H222" i="2"/>
  <c r="B222" i="2"/>
  <c r="F222" i="2" s="1"/>
  <c r="D222" i="2"/>
  <c r="G222" i="2" l="1"/>
  <c r="J222" i="2"/>
  <c r="C223" i="2"/>
  <c r="K223" i="2" s="1"/>
  <c r="I223" i="2" l="1"/>
  <c r="E223" i="2"/>
  <c r="H223" i="2"/>
  <c r="D223" i="2"/>
  <c r="B223" i="2"/>
  <c r="F223" i="2" s="1"/>
  <c r="L223" i="2"/>
  <c r="C224" i="2" l="1"/>
  <c r="K224" i="2" s="1"/>
  <c r="J223" i="2"/>
  <c r="G223" i="2"/>
  <c r="I224" i="2" l="1"/>
  <c r="E224" i="2"/>
  <c r="H224" i="2"/>
  <c r="D224" i="2"/>
  <c r="B224" i="2"/>
  <c r="L224" i="2"/>
  <c r="F224" i="2"/>
  <c r="J224" i="2" l="1"/>
  <c r="G224" i="2"/>
  <c r="C225" i="2"/>
  <c r="K225" i="2" s="1"/>
  <c r="I225" i="2" l="1"/>
  <c r="E225" i="2"/>
  <c r="L225" i="2"/>
  <c r="B225" i="2"/>
  <c r="F225" i="2" s="1"/>
  <c r="D225" i="2"/>
  <c r="H225" i="2"/>
  <c r="J225" i="2" l="1"/>
  <c r="C226" i="2"/>
  <c r="K226" i="2" s="1"/>
  <c r="G225" i="2"/>
  <c r="E226" i="2"/>
  <c r="I226" i="2" l="1"/>
  <c r="B226" i="2"/>
  <c r="F226" i="2" s="1"/>
  <c r="D226" i="2"/>
  <c r="L226" i="2"/>
  <c r="H226" i="2"/>
  <c r="C227" i="2" l="1"/>
  <c r="J226" i="2"/>
  <c r="G226" i="2"/>
  <c r="E227" i="2" l="1"/>
  <c r="K227" i="2"/>
  <c r="I227" i="2"/>
  <c r="B227" i="2"/>
  <c r="F227" i="2" s="1"/>
  <c r="H227" i="2"/>
  <c r="D227" i="2"/>
  <c r="L227" i="2"/>
  <c r="J227" i="2" l="1"/>
  <c r="C228" i="2"/>
  <c r="K228" i="2" s="1"/>
  <c r="G227" i="2"/>
  <c r="E228" i="2"/>
  <c r="I228" i="2" l="1"/>
  <c r="D228" i="2"/>
  <c r="B228" i="2"/>
  <c r="H228" i="2"/>
  <c r="L228" i="2"/>
  <c r="F228" i="2"/>
  <c r="G228" i="2" l="1"/>
  <c r="C229" i="2"/>
  <c r="K229" i="2" s="1"/>
  <c r="J228" i="2"/>
  <c r="E229" i="2"/>
  <c r="I229" i="2" l="1"/>
  <c r="D229" i="2"/>
  <c r="L229" i="2"/>
  <c r="F229" i="2"/>
  <c r="B229" i="2"/>
  <c r="G229" i="2" l="1"/>
  <c r="H229" i="2" s="1"/>
  <c r="C230" i="2" s="1"/>
  <c r="K230" i="2" s="1"/>
  <c r="J229" i="2"/>
  <c r="I230" i="2" l="1"/>
  <c r="E230" i="2"/>
  <c r="B230" i="2"/>
  <c r="F230" i="2"/>
  <c r="H230" i="2"/>
  <c r="D230" i="2"/>
  <c r="L230" i="2"/>
  <c r="C231" i="2" l="1"/>
  <c r="K231" i="2" s="1"/>
  <c r="G230" i="2"/>
  <c r="J230" i="2"/>
  <c r="I231" i="2" l="1"/>
  <c r="E231" i="2"/>
  <c r="B231" i="2"/>
  <c r="D231" i="2"/>
  <c r="F231" i="2"/>
  <c r="H231" i="2"/>
  <c r="J231" i="2" l="1"/>
  <c r="G231" i="2"/>
  <c r="L231" i="2" s="1"/>
  <c r="C232" i="2"/>
  <c r="K232" i="2" s="1"/>
  <c r="I232" i="2" l="1"/>
  <c r="E232" i="2"/>
  <c r="H232" i="2"/>
  <c r="F232" i="2"/>
  <c r="B232" i="2"/>
  <c r="D232" i="2"/>
  <c r="L232" i="2"/>
  <c r="J232" i="2" l="1"/>
  <c r="C233" i="2"/>
  <c r="K233" i="2" s="1"/>
  <c r="G232" i="2"/>
  <c r="E233" i="2"/>
  <c r="I233" i="2" l="1"/>
  <c r="F233" i="2"/>
  <c r="H233" i="2"/>
  <c r="L233" i="2"/>
  <c r="D233" i="2"/>
  <c r="B233" i="2"/>
  <c r="C234" i="2" l="1"/>
  <c r="J233" i="2"/>
  <c r="G233" i="2"/>
  <c r="E234" i="2" l="1"/>
  <c r="K234" i="2"/>
  <c r="I234" i="2"/>
  <c r="B234" i="2"/>
  <c r="D234" i="2"/>
  <c r="H234" i="2"/>
  <c r="L234" i="2"/>
  <c r="F234" i="2"/>
  <c r="G234" i="2" l="1"/>
  <c r="J234" i="2"/>
  <c r="C235" i="2"/>
  <c r="K235" i="2" s="1"/>
  <c r="I235" i="2" l="1"/>
  <c r="E235" i="2"/>
  <c r="F235" i="2"/>
  <c r="L235" i="2"/>
  <c r="H235" i="2"/>
  <c r="D235" i="2"/>
  <c r="B235" i="2"/>
  <c r="G235" i="2" l="1"/>
  <c r="J235" i="2"/>
  <c r="C236" i="2"/>
  <c r="K236" i="2" s="1"/>
  <c r="I236" i="2" l="1"/>
  <c r="E236" i="2"/>
  <c r="L236" i="2"/>
  <c r="H236" i="2"/>
  <c r="B236" i="2"/>
  <c r="F236" i="2"/>
  <c r="D236" i="2"/>
  <c r="C237" i="2" l="1"/>
  <c r="K237" i="2" s="1"/>
  <c r="G236" i="2"/>
  <c r="J236" i="2"/>
  <c r="I237" i="2" l="1"/>
  <c r="E237" i="2"/>
  <c r="B237" i="2"/>
  <c r="F237" i="2" s="1"/>
  <c r="D237" i="2"/>
  <c r="L237" i="2"/>
  <c r="H237" i="2"/>
  <c r="J237" i="2" l="1"/>
  <c r="G237" i="2"/>
  <c r="C238" i="2"/>
  <c r="K238" i="2" s="1"/>
  <c r="I238" i="2" l="1"/>
  <c r="E238" i="2"/>
  <c r="B238" i="2"/>
  <c r="L238" i="2"/>
  <c r="H238" i="2"/>
  <c r="F238" i="2"/>
  <c r="D238" i="2"/>
  <c r="C239" i="2" l="1"/>
  <c r="J238" i="2"/>
  <c r="G238" i="2"/>
  <c r="E239" i="2" l="1"/>
  <c r="K239" i="2"/>
  <c r="I239" i="2"/>
  <c r="B239" i="2"/>
  <c r="D239" i="2"/>
  <c r="F239" i="2"/>
  <c r="H239" i="2"/>
  <c r="G239" i="2" l="1"/>
  <c r="L239" i="2" s="1"/>
  <c r="C240" i="2"/>
  <c r="K240" i="2" s="1"/>
  <c r="J239" i="2"/>
  <c r="E240" i="2"/>
  <c r="I240" i="2" l="1"/>
  <c r="F240" i="2"/>
  <c r="L240" i="2"/>
  <c r="H240" i="2"/>
  <c r="B240" i="2"/>
  <c r="D240" i="2"/>
  <c r="C241" i="2" l="1"/>
  <c r="K241" i="2" s="1"/>
  <c r="J240" i="2"/>
  <c r="G240" i="2"/>
  <c r="I241" i="2" l="1"/>
  <c r="E241" i="2"/>
  <c r="D241" i="2"/>
  <c r="L241" i="2"/>
  <c r="B241" i="2"/>
  <c r="F241" i="2" s="1"/>
  <c r="H241" i="2"/>
  <c r="C242" i="2" l="1"/>
  <c r="K242" i="2" s="1"/>
  <c r="G241" i="2"/>
  <c r="J241" i="2"/>
  <c r="I242" i="2" l="1"/>
  <c r="E242" i="2"/>
  <c r="F242" i="2"/>
  <c r="H242" i="2"/>
  <c r="B242" i="2"/>
  <c r="D242" i="2"/>
  <c r="L242" i="2"/>
  <c r="C243" i="2" l="1"/>
  <c r="K243" i="2" s="1"/>
  <c r="G242" i="2"/>
  <c r="J242" i="2"/>
  <c r="I243" i="2" l="1"/>
  <c r="E243" i="2"/>
  <c r="D243" i="2"/>
  <c r="B243" i="2"/>
  <c r="F243" i="2" s="1"/>
  <c r="L243" i="2"/>
  <c r="J243" i="2" l="1"/>
  <c r="G243" i="2"/>
  <c r="H243" i="2" s="1"/>
  <c r="C244" i="2" s="1"/>
  <c r="K244" i="2" s="1"/>
  <c r="I244" i="2" l="1"/>
  <c r="E244" i="2"/>
  <c r="B244" i="2"/>
  <c r="F244" i="2" s="1"/>
  <c r="D244" i="2"/>
  <c r="L244" i="2"/>
  <c r="J244" i="2" l="1"/>
  <c r="G244" i="2"/>
  <c r="H244" i="2" s="1"/>
  <c r="C245" i="2" s="1"/>
  <c r="K245" i="2" s="1"/>
  <c r="I245" i="2" l="1"/>
  <c r="E245" i="2"/>
  <c r="B245" i="2"/>
  <c r="F245" i="2" s="1"/>
  <c r="D245" i="2"/>
  <c r="L245" i="2"/>
  <c r="J245" i="2" l="1"/>
  <c r="G245" i="2"/>
  <c r="H245" i="2" s="1"/>
  <c r="C246" i="2" s="1"/>
  <c r="K246" i="2" s="1"/>
  <c r="I246" i="2" l="1"/>
  <c r="E246" i="2"/>
  <c r="D246" i="2"/>
  <c r="L246" i="2"/>
  <c r="H246" i="2"/>
  <c r="B246" i="2"/>
  <c r="F246" i="2"/>
  <c r="C247" i="2" l="1"/>
  <c r="K247" i="2" s="1"/>
  <c r="G246" i="2"/>
  <c r="J246" i="2"/>
  <c r="I247" i="2" l="1"/>
  <c r="E247" i="2"/>
  <c r="D247" i="2"/>
  <c r="L247" i="2"/>
  <c r="H247" i="2"/>
  <c r="B247" i="2"/>
  <c r="F247" i="2" s="1"/>
  <c r="G247" i="2" l="1"/>
  <c r="J247" i="2"/>
  <c r="C248" i="2"/>
  <c r="K248" i="2" s="1"/>
  <c r="I248" i="2" l="1"/>
  <c r="E248" i="2"/>
  <c r="B248" i="2"/>
  <c r="F248" i="2" s="1"/>
  <c r="D248" i="2"/>
  <c r="H248" i="2"/>
  <c r="L248" i="2"/>
  <c r="C249" i="2" l="1"/>
  <c r="K249" i="2" s="1"/>
  <c r="G248" i="2"/>
  <c r="J248" i="2"/>
  <c r="I249" i="2" l="1"/>
  <c r="E249" i="2"/>
  <c r="F249" i="2"/>
  <c r="B249" i="2"/>
  <c r="D249" i="2"/>
  <c r="H249" i="2"/>
  <c r="C250" i="2" l="1"/>
  <c r="K250" i="2" s="1"/>
  <c r="J249" i="2"/>
  <c r="G249" i="2"/>
  <c r="L249" i="2" s="1"/>
  <c r="I250" i="2" l="1"/>
  <c r="E250" i="2"/>
  <c r="L250" i="2"/>
  <c r="B250" i="2"/>
  <c r="F250" i="2" s="1"/>
  <c r="D250" i="2"/>
  <c r="H250" i="2"/>
  <c r="J250" i="2" l="1"/>
  <c r="G250" i="2"/>
  <c r="C251" i="2"/>
  <c r="K251" i="2" s="1"/>
  <c r="I251" i="2" l="1"/>
  <c r="E251" i="2"/>
  <c r="H251" i="2"/>
  <c r="D251" i="2"/>
  <c r="B251" i="2"/>
  <c r="F251" i="2" s="1"/>
  <c r="L251" i="2"/>
  <c r="J251" i="2" l="1"/>
  <c r="G251" i="2"/>
  <c r="C252" i="2"/>
  <c r="K252" i="2" s="1"/>
  <c r="I252" i="2" l="1"/>
  <c r="E252" i="2"/>
  <c r="D252" i="2"/>
  <c r="B252" i="2"/>
  <c r="F252" i="2" s="1"/>
  <c r="L252" i="2"/>
  <c r="H252" i="2"/>
  <c r="G252" i="2" l="1"/>
  <c r="J252" i="2"/>
  <c r="C253" i="2"/>
  <c r="K253" i="2" s="1"/>
  <c r="I253" i="2" l="1"/>
  <c r="E253" i="2"/>
  <c r="B253" i="2"/>
  <c r="F253" i="2" s="1"/>
  <c r="L253" i="2"/>
  <c r="D253" i="2"/>
  <c r="J253" i="2" l="1"/>
  <c r="G253" i="2"/>
  <c r="H253" i="2" s="1"/>
  <c r="C254" i="2" s="1"/>
  <c r="K254" i="2" s="1"/>
  <c r="I254" i="2" l="1"/>
  <c r="E254" i="2"/>
  <c r="D254" i="2"/>
  <c r="F254" i="2" s="1"/>
  <c r="L254" i="2"/>
  <c r="B254" i="2"/>
  <c r="H254" i="2"/>
  <c r="C255" i="2" l="1"/>
  <c r="J254" i="2"/>
  <c r="G254" i="2"/>
  <c r="E255" i="2" l="1"/>
  <c r="K255" i="2"/>
  <c r="I255" i="2"/>
  <c r="H255" i="2"/>
  <c r="L255" i="2"/>
  <c r="D255" i="2"/>
  <c r="B255" i="2"/>
  <c r="F255" i="2" s="1"/>
  <c r="J255" i="2" l="1"/>
  <c r="G255" i="2"/>
  <c r="C256" i="2"/>
  <c r="K256" i="2" s="1"/>
  <c r="I256" i="2" l="1"/>
  <c r="E256" i="2"/>
  <c r="D256" i="2"/>
  <c r="L256" i="2"/>
  <c r="B256" i="2"/>
  <c r="F256" i="2" s="1"/>
  <c r="J256" i="2" l="1"/>
  <c r="G256" i="2"/>
  <c r="H256" i="2" s="1"/>
  <c r="C257" i="2" s="1"/>
  <c r="K257" i="2" s="1"/>
  <c r="I257" i="2" l="1"/>
  <c r="E257" i="2"/>
  <c r="B257" i="2"/>
  <c r="F257" i="2" s="1"/>
  <c r="L257" i="2"/>
  <c r="D257" i="2"/>
  <c r="H257" i="2"/>
  <c r="G257" i="2" l="1"/>
  <c r="J257" i="2"/>
  <c r="C258" i="2"/>
  <c r="K258" i="2" s="1"/>
  <c r="I258" i="2" l="1"/>
  <c r="E258" i="2"/>
  <c r="H258" i="2"/>
  <c r="D258" i="2"/>
  <c r="L258" i="2"/>
  <c r="B258" i="2"/>
  <c r="F258" i="2" s="1"/>
  <c r="C259" i="2" l="1"/>
  <c r="K259" i="2" s="1"/>
  <c r="G258" i="2"/>
  <c r="J258" i="2"/>
  <c r="I259" i="2" l="1"/>
  <c r="E259" i="2"/>
  <c r="L259" i="2"/>
  <c r="B259" i="2"/>
  <c r="F259" i="2"/>
  <c r="H259" i="2"/>
  <c r="D259" i="2"/>
  <c r="G259" i="2" l="1"/>
  <c r="J259" i="2"/>
  <c r="C260" i="2"/>
  <c r="K260" i="2" s="1"/>
  <c r="I260" i="2" l="1"/>
  <c r="E260" i="2"/>
  <c r="L260" i="2"/>
  <c r="D260" i="2"/>
  <c r="B260" i="2"/>
  <c r="F260" i="2"/>
  <c r="J260" i="2" l="1"/>
  <c r="G260" i="2"/>
  <c r="H260" i="2" s="1"/>
  <c r="C261" i="2" s="1"/>
  <c r="K261" i="2" s="1"/>
  <c r="I261" i="2" l="1"/>
  <c r="E261" i="2"/>
  <c r="H261" i="2"/>
  <c r="D261" i="2"/>
  <c r="B261" i="2"/>
  <c r="F261" i="2" s="1"/>
  <c r="L261" i="2"/>
  <c r="C262" i="2" l="1"/>
  <c r="J261" i="2"/>
  <c r="G261" i="2"/>
  <c r="E262" i="2" l="1"/>
  <c r="K262" i="2"/>
  <c r="I262" i="2"/>
  <c r="D262" i="2"/>
  <c r="B262" i="2"/>
  <c r="H262" i="2"/>
  <c r="F262" i="2"/>
  <c r="L262" i="2"/>
  <c r="C263" i="2" l="1"/>
  <c r="K263" i="2" s="1"/>
  <c r="J262" i="2"/>
  <c r="G262" i="2"/>
  <c r="I263" i="2" l="1"/>
  <c r="E263" i="2"/>
  <c r="B263" i="2"/>
  <c r="D263" i="2"/>
  <c r="H263" i="2"/>
  <c r="F263" i="2"/>
  <c r="L263" i="2"/>
  <c r="G263" i="2" l="1"/>
  <c r="C264" i="2"/>
  <c r="K264" i="2" s="1"/>
  <c r="J263" i="2"/>
  <c r="E264" i="2"/>
  <c r="I264" i="2" l="1"/>
  <c r="D264" i="2"/>
  <c r="B264" i="2"/>
  <c r="L264" i="2"/>
  <c r="F264" i="2"/>
  <c r="H264" i="2"/>
  <c r="C265" i="2" l="1"/>
  <c r="J264" i="2"/>
  <c r="G264" i="2"/>
  <c r="E265" i="2" l="1"/>
  <c r="K265" i="2"/>
  <c r="I265" i="2"/>
  <c r="H265" i="2"/>
  <c r="D265" i="2"/>
  <c r="L265" i="2"/>
  <c r="F265" i="2"/>
  <c r="B265" i="2"/>
  <c r="G265" i="2" l="1"/>
  <c r="C266" i="2"/>
  <c r="K266" i="2" s="1"/>
  <c r="J265" i="2"/>
  <c r="E266" i="2"/>
  <c r="I266" i="2" l="1"/>
  <c r="L266" i="2"/>
  <c r="B266" i="2"/>
  <c r="H266" i="2"/>
  <c r="F266" i="2"/>
  <c r="D266" i="2"/>
  <c r="G266" i="2" l="1"/>
  <c r="C267" i="2"/>
  <c r="K267" i="2" s="1"/>
  <c r="J266" i="2"/>
  <c r="I267" i="2" l="1"/>
  <c r="E267" i="2"/>
  <c r="B267" i="2"/>
  <c r="F267" i="2" s="1"/>
  <c r="D267" i="2"/>
  <c r="H267" i="2"/>
  <c r="J267" i="2" l="1"/>
  <c r="L267" i="2" s="1"/>
  <c r="C268" i="2"/>
  <c r="K268" i="2" s="1"/>
  <c r="G267" i="2"/>
  <c r="E268" i="2"/>
  <c r="I268" i="2" l="1"/>
  <c r="L268" i="2"/>
  <c r="D268" i="2"/>
  <c r="H268" i="2"/>
  <c r="B268" i="2"/>
  <c r="F268" i="2" s="1"/>
  <c r="C269" i="2" l="1"/>
  <c r="K269" i="2" s="1"/>
  <c r="G268" i="2"/>
  <c r="J268" i="2"/>
  <c r="I269" i="2" l="1"/>
  <c r="E269" i="2"/>
  <c r="D269" i="2"/>
  <c r="L269" i="2"/>
  <c r="B269" i="2"/>
  <c r="F269" i="2" s="1"/>
  <c r="G269" i="2" l="1"/>
  <c r="H269" i="2" s="1"/>
  <c r="C270" i="2" s="1"/>
  <c r="K270" i="2" s="1"/>
  <c r="J269" i="2"/>
  <c r="I270" i="2" l="1"/>
  <c r="E270" i="2"/>
  <c r="B270" i="2"/>
  <c r="D270" i="2"/>
  <c r="L270" i="2"/>
  <c r="F270" i="2"/>
  <c r="H270" i="2"/>
  <c r="C271" i="2" l="1"/>
  <c r="G270" i="2"/>
  <c r="J270" i="2"/>
  <c r="I271" i="2" l="1"/>
  <c r="K271" i="2"/>
  <c r="D271" i="2"/>
  <c r="F271" i="2"/>
  <c r="L271" i="2"/>
  <c r="B271" i="2"/>
  <c r="H271" i="2"/>
  <c r="E271" i="2"/>
  <c r="J271" i="2"/>
  <c r="C272" i="2" l="1"/>
  <c r="E272" i="2" s="1"/>
  <c r="G271" i="2"/>
  <c r="B272" i="2"/>
  <c r="K272" i="2" l="1"/>
  <c r="D272" i="2"/>
  <c r="I272" i="2"/>
  <c r="G272" i="2" s="1"/>
  <c r="H272" i="2" s="1"/>
  <c r="C273" i="2" s="1"/>
  <c r="K273" i="2" s="1"/>
  <c r="F272" i="2"/>
  <c r="L272" i="2"/>
  <c r="J272" i="2" l="1"/>
  <c r="I273" i="2"/>
  <c r="E273" i="2"/>
  <c r="D273" i="2"/>
  <c r="B273" i="2"/>
  <c r="F273" i="2" s="1"/>
  <c r="H273" i="2"/>
  <c r="L273" i="2"/>
  <c r="C274" i="2" l="1"/>
  <c r="K274" i="2" s="1"/>
  <c r="J273" i="2"/>
  <c r="G273" i="2"/>
  <c r="E274" i="2" l="1"/>
  <c r="B274" i="2"/>
  <c r="I274" i="2"/>
  <c r="G274" i="2" s="1"/>
  <c r="H274" i="2"/>
  <c r="F274" i="2"/>
  <c r="L274" i="2"/>
  <c r="D274" i="2"/>
  <c r="J274" i="2" l="1"/>
  <c r="C275" i="2"/>
  <c r="K275" i="2" s="1"/>
  <c r="E275" i="2" l="1"/>
  <c r="F275" i="2"/>
  <c r="I275" i="2"/>
  <c r="H275" i="2"/>
  <c r="B275" i="2"/>
  <c r="L275" i="2"/>
  <c r="D275" i="2"/>
  <c r="C276" i="2" l="1"/>
  <c r="K276" i="2" s="1"/>
  <c r="G275" i="2"/>
  <c r="J275" i="2"/>
  <c r="F276" i="2" l="1"/>
  <c r="E276" i="2"/>
  <c r="L276" i="2"/>
  <c r="B276" i="2"/>
  <c r="I276" i="2"/>
  <c r="H276" i="2"/>
  <c r="D276" i="2"/>
  <c r="C277" i="2" l="1"/>
  <c r="J276" i="2"/>
  <c r="G276" i="2"/>
  <c r="D277" i="2" l="1"/>
  <c r="K277" i="2"/>
  <c r="L277" i="2"/>
  <c r="E277" i="2"/>
  <c r="B277" i="2"/>
  <c r="F277" i="2" s="1"/>
  <c r="I277" i="2"/>
  <c r="J277" i="2" l="1"/>
  <c r="G277" i="2"/>
  <c r="H277" i="2" s="1"/>
  <c r="C278" i="2" s="1"/>
  <c r="K278" i="2" s="1"/>
  <c r="E278" i="2" l="1"/>
  <c r="I278" i="2"/>
  <c r="B278" i="2"/>
  <c r="F278" i="2"/>
  <c r="D278" i="2"/>
  <c r="H278" i="2"/>
  <c r="C279" i="2" s="1"/>
  <c r="K279" i="2" s="1"/>
  <c r="L278" i="2"/>
  <c r="I279" i="2" l="1"/>
  <c r="G278" i="2"/>
  <c r="J278" i="2"/>
  <c r="D279" i="2"/>
  <c r="B279" i="2"/>
  <c r="F279" i="2" s="1"/>
  <c r="E279" i="2"/>
  <c r="G279" i="2" l="1"/>
  <c r="J279" i="2"/>
  <c r="L279" i="2" l="1"/>
  <c r="H279" i="2"/>
  <c r="C280" i="2" s="1"/>
  <c r="K280" i="2" s="1"/>
  <c r="I280" i="2" l="1"/>
  <c r="B280" i="2"/>
  <c r="D280" i="2"/>
  <c r="F280" i="2"/>
  <c r="E280" i="2"/>
  <c r="J280" i="2" l="1"/>
  <c r="G280" i="2"/>
  <c r="H280" i="2" l="1"/>
  <c r="C281" i="2" s="1"/>
  <c r="K281" i="2" s="1"/>
  <c r="L280" i="2"/>
  <c r="I281" i="2" l="1"/>
  <c r="B281" i="2"/>
  <c r="D281" i="2"/>
  <c r="F281" i="2"/>
  <c r="E281" i="2"/>
  <c r="G281" i="2" l="1"/>
  <c r="J281" i="2"/>
  <c r="H281" i="2" l="1"/>
  <c r="C282" i="2" s="1"/>
  <c r="K282" i="2" s="1"/>
  <c r="L281" i="2"/>
  <c r="I282" i="2" l="1"/>
  <c r="F282" i="2"/>
  <c r="B282" i="2"/>
  <c r="D282" i="2"/>
  <c r="E282" i="2"/>
  <c r="J282" i="2" l="1"/>
  <c r="G282" i="2"/>
  <c r="H282" i="2" l="1"/>
  <c r="C283" i="2" s="1"/>
  <c r="K283" i="2" s="1"/>
  <c r="L282" i="2"/>
  <c r="I283" i="2" l="1"/>
  <c r="D283" i="2"/>
  <c r="F283" i="2"/>
  <c r="B283" i="2"/>
  <c r="E283" i="2"/>
  <c r="G283" i="2" l="1"/>
  <c r="H283" i="2" s="1"/>
  <c r="C284" i="2" s="1"/>
  <c r="K284" i="2" s="1"/>
  <c r="J283" i="2"/>
  <c r="L283" i="2"/>
  <c r="I284" i="2" l="1"/>
  <c r="B284" i="2"/>
  <c r="D284" i="2"/>
  <c r="F284" i="2"/>
  <c r="E284" i="2"/>
  <c r="J284" i="2" l="1"/>
  <c r="G284" i="2"/>
  <c r="L284" i="2" l="1"/>
  <c r="H284" i="2"/>
  <c r="C285" i="2" s="1"/>
  <c r="K285" i="2" s="1"/>
  <c r="I285" i="2" l="1"/>
  <c r="B285" i="2"/>
  <c r="D285" i="2"/>
  <c r="F285" i="2"/>
  <c r="E285" i="2"/>
  <c r="J285" i="2" l="1"/>
  <c r="G285" i="2"/>
  <c r="H285" i="2" l="1"/>
  <c r="C286" i="2" s="1"/>
  <c r="K286" i="2" s="1"/>
  <c r="L285" i="2"/>
  <c r="I286" i="2" l="1"/>
  <c r="D286" i="2"/>
  <c r="B286" i="2"/>
  <c r="F286" i="2" s="1"/>
  <c r="E286" i="2"/>
  <c r="J286" i="2" l="1"/>
  <c r="G286" i="2"/>
  <c r="L286" i="2" l="1"/>
  <c r="H286" i="2"/>
  <c r="C287" i="2" s="1"/>
  <c r="K287" i="2" s="1"/>
  <c r="I287" i="2" l="1"/>
  <c r="D287" i="2"/>
  <c r="B287" i="2"/>
  <c r="F287" i="2" s="1"/>
  <c r="E287" i="2"/>
  <c r="G287" i="2" l="1"/>
  <c r="L287" i="2" s="1"/>
  <c r="J287" i="2"/>
  <c r="H287" i="2"/>
  <c r="C288" i="2" s="1"/>
  <c r="K288" i="2" s="1"/>
  <c r="I288" i="2" l="1"/>
  <c r="B288" i="2"/>
  <c r="D288" i="2"/>
  <c r="F288" i="2"/>
  <c r="E288" i="2"/>
  <c r="J288" i="2" l="1"/>
  <c r="G288" i="2"/>
  <c r="H288" i="2" l="1"/>
  <c r="C289" i="2" s="1"/>
  <c r="K289" i="2" s="1"/>
  <c r="L288" i="2"/>
  <c r="I289" i="2" l="1"/>
  <c r="D289" i="2"/>
  <c r="F289" i="2"/>
  <c r="B289" i="2"/>
  <c r="E289" i="2"/>
  <c r="J289" i="2" l="1"/>
  <c r="G289" i="2"/>
  <c r="H289" i="2" l="1"/>
  <c r="C290" i="2" s="1"/>
  <c r="K290" i="2" s="1"/>
  <c r="L289" i="2"/>
  <c r="I290" i="2" l="1"/>
  <c r="B290" i="2"/>
  <c r="F290" i="2" s="1"/>
  <c r="D290" i="2"/>
  <c r="E290" i="2"/>
  <c r="G290" i="2" l="1"/>
  <c r="J290" i="2"/>
  <c r="L290" i="2" l="1"/>
  <c r="H290" i="2"/>
  <c r="C291" i="2" s="1"/>
  <c r="K291" i="2" s="1"/>
  <c r="I291" i="2" l="1"/>
  <c r="D291" i="2"/>
  <c r="F291" i="2"/>
  <c r="B291" i="2"/>
  <c r="E291" i="2"/>
  <c r="J291" i="2" l="1"/>
  <c r="G291" i="2"/>
  <c r="H291" i="2" s="1"/>
  <c r="C292" i="2" s="1"/>
  <c r="K292" i="2" s="1"/>
  <c r="L291" i="2"/>
  <c r="I292" i="2" l="1"/>
  <c r="B292" i="2"/>
  <c r="D292" i="2"/>
  <c r="F292" i="2"/>
  <c r="E292" i="2"/>
  <c r="J292" i="2" l="1"/>
  <c r="G292" i="2"/>
  <c r="H292" i="2" l="1"/>
  <c r="C293" i="2" s="1"/>
  <c r="K293" i="2" s="1"/>
  <c r="L292" i="2"/>
  <c r="I293" i="2" l="1"/>
  <c r="D293" i="2"/>
  <c r="B293" i="2"/>
  <c r="F293" i="2" s="1"/>
  <c r="E293" i="2"/>
  <c r="J293" i="2" l="1"/>
  <c r="G293" i="2"/>
  <c r="L293" i="2" l="1"/>
  <c r="H293" i="2"/>
  <c r="C294" i="2" s="1"/>
  <c r="K294" i="2" s="1"/>
  <c r="I294" i="2" l="1"/>
  <c r="B294" i="2"/>
  <c r="F294" i="2" s="1"/>
  <c r="D294" i="2"/>
  <c r="E294" i="2"/>
  <c r="J294" i="2" l="1"/>
  <c r="G294" i="2"/>
  <c r="H294" i="2" l="1"/>
  <c r="C295" i="2" s="1"/>
  <c r="K295" i="2" s="1"/>
  <c r="L294" i="2"/>
  <c r="I295" i="2" l="1"/>
  <c r="D295" i="2"/>
  <c r="B295" i="2"/>
  <c r="F295" i="2" s="1"/>
  <c r="E295" i="2"/>
  <c r="G295" i="2" l="1"/>
  <c r="J295" i="2"/>
  <c r="H295" i="2" l="1"/>
  <c r="C296" i="2" s="1"/>
  <c r="K296" i="2" s="1"/>
  <c r="L295" i="2"/>
  <c r="I296" i="2" l="1"/>
  <c r="B296" i="2"/>
  <c r="F296" i="2" s="1"/>
  <c r="D296" i="2"/>
  <c r="E296" i="2"/>
  <c r="J296" i="2" l="1"/>
  <c r="G296" i="2"/>
  <c r="H296" i="2" l="1"/>
  <c r="C297" i="2" s="1"/>
  <c r="K297" i="2" s="1"/>
  <c r="L296" i="2"/>
  <c r="I297" i="2" l="1"/>
  <c r="D297" i="2"/>
  <c r="B297" i="2"/>
  <c r="F297" i="2" s="1"/>
  <c r="E297" i="2"/>
  <c r="G297" i="2" l="1"/>
  <c r="L297" i="2" s="1"/>
  <c r="J297" i="2"/>
  <c r="H297" i="2"/>
  <c r="C298" i="2" s="1"/>
  <c r="K298" i="2" s="1"/>
  <c r="I298" i="2" l="1"/>
  <c r="B298" i="2"/>
  <c r="D298" i="2"/>
  <c r="F298" i="2"/>
  <c r="E298" i="2"/>
  <c r="J298" i="2" l="1"/>
  <c r="G298" i="2"/>
  <c r="L298" i="2" l="1"/>
  <c r="H298" i="2"/>
  <c r="C299" i="2" s="1"/>
  <c r="K299" i="2" s="1"/>
  <c r="I299" i="2" l="1"/>
  <c r="B299" i="2"/>
  <c r="D299" i="2"/>
  <c r="F299" i="2"/>
  <c r="E299" i="2"/>
  <c r="J299" i="2" l="1"/>
  <c r="G299" i="2"/>
  <c r="H299" i="2" l="1"/>
  <c r="C300" i="2" s="1"/>
  <c r="K300" i="2" s="1"/>
  <c r="L299" i="2"/>
  <c r="I300" i="2" l="1"/>
  <c r="B300" i="2"/>
  <c r="F300" i="2" s="1"/>
  <c r="D300" i="2"/>
  <c r="E300" i="2"/>
  <c r="J300" i="2" l="1"/>
  <c r="G300" i="2"/>
  <c r="L300" i="2" l="1"/>
  <c r="H300" i="2"/>
  <c r="C301" i="2" s="1"/>
  <c r="K301" i="2" s="1"/>
  <c r="I301" i="2" l="1"/>
  <c r="D301" i="2"/>
  <c r="B301" i="2"/>
  <c r="F301" i="2" s="1"/>
  <c r="E301" i="2"/>
  <c r="J301" i="2" l="1"/>
  <c r="G301" i="2"/>
  <c r="H301" i="2"/>
  <c r="C302" i="2" s="1"/>
  <c r="K302" i="2" s="1"/>
  <c r="L301" i="2"/>
  <c r="I302" i="2" l="1"/>
  <c r="B302" i="2"/>
  <c r="F302" i="2" s="1"/>
  <c r="D302" i="2"/>
  <c r="E302" i="2"/>
  <c r="H302" i="2" l="1"/>
  <c r="G302" i="2"/>
  <c r="L302" i="2" s="1"/>
  <c r="C303" i="2"/>
  <c r="K303" i="2" s="1"/>
  <c r="J302" i="2"/>
  <c r="I303" i="2" l="1"/>
  <c r="D303" i="2"/>
  <c r="B303" i="2"/>
  <c r="F303" i="2" s="1"/>
  <c r="E303" i="2"/>
  <c r="J303" i="2" l="1"/>
  <c r="G303" i="2"/>
  <c r="H303" i="2" s="1"/>
  <c r="C304" i="2" s="1"/>
  <c r="K304" i="2" s="1"/>
  <c r="I304" i="2" l="1"/>
  <c r="B304" i="2"/>
  <c r="D304" i="2"/>
  <c r="L303" i="2"/>
  <c r="E304" i="2"/>
  <c r="F304" i="2" l="1"/>
  <c r="G304" i="2" l="1"/>
  <c r="J304" i="2"/>
  <c r="L304" i="2" l="1"/>
  <c r="H304" i="2"/>
  <c r="C305" i="2" s="1"/>
  <c r="K305" i="2" s="1"/>
  <c r="I305" i="2" l="1"/>
  <c r="B305" i="2"/>
  <c r="D305" i="2"/>
  <c r="F305" i="2" s="1"/>
  <c r="E305" i="2"/>
  <c r="J305" i="2" l="1"/>
  <c r="G305" i="2"/>
  <c r="L305" i="2" l="1"/>
  <c r="H305" i="2"/>
  <c r="C306" i="2" s="1"/>
  <c r="K306" i="2" s="1"/>
  <c r="I306" i="2" l="1"/>
  <c r="B306" i="2"/>
  <c r="F306" i="2" s="1"/>
  <c r="D306" i="2"/>
  <c r="E306" i="2"/>
  <c r="G306" i="2" l="1"/>
  <c r="J306" i="2"/>
  <c r="L306" i="2"/>
  <c r="H306" i="2"/>
  <c r="C307" i="2" s="1"/>
  <c r="K307" i="2" s="1"/>
  <c r="I307" i="2" l="1"/>
  <c r="B307" i="2"/>
  <c r="F307" i="2" s="1"/>
  <c r="D307" i="2"/>
  <c r="E307" i="2"/>
  <c r="J307" i="2" l="1"/>
  <c r="G307" i="2"/>
  <c r="H307" i="2" l="1"/>
  <c r="C308" i="2" s="1"/>
  <c r="K308" i="2" s="1"/>
  <c r="L307" i="2"/>
  <c r="I308" i="2" l="1"/>
  <c r="D308" i="2"/>
  <c r="B308" i="2"/>
  <c r="F308" i="2" s="1"/>
  <c r="E308" i="2"/>
  <c r="J308" i="2" l="1"/>
  <c r="G308" i="2"/>
  <c r="H308" i="2" l="1"/>
  <c r="C309" i="2" s="1"/>
  <c r="K309" i="2" s="1"/>
  <c r="L308" i="2"/>
  <c r="I309" i="2" l="1"/>
  <c r="D309" i="2"/>
  <c r="B309" i="2"/>
  <c r="F309" i="2" s="1"/>
  <c r="E309" i="2"/>
  <c r="J309" i="2" l="1"/>
  <c r="G309" i="2"/>
  <c r="H309" i="2" s="1"/>
  <c r="C310" i="2" s="1"/>
  <c r="K310" i="2" s="1"/>
  <c r="L309" i="2"/>
  <c r="I310" i="2" l="1"/>
  <c r="D310" i="2"/>
  <c r="B310" i="2"/>
  <c r="F310" i="2" s="1"/>
  <c r="E310" i="2"/>
  <c r="G310" i="2" l="1"/>
  <c r="J310" i="2"/>
  <c r="L310" i="2" l="1"/>
  <c r="H310" i="2"/>
  <c r="C311" i="2" s="1"/>
  <c r="K311" i="2" s="1"/>
  <c r="I311" i="2" l="1"/>
  <c r="B311" i="2"/>
  <c r="F311" i="2" s="1"/>
  <c r="D311" i="2"/>
  <c r="E311" i="2"/>
  <c r="J311" i="2" l="1"/>
  <c r="G311" i="2"/>
  <c r="H311" i="2" l="1"/>
  <c r="C312" i="2" s="1"/>
  <c r="K312" i="2" s="1"/>
  <c r="L311" i="2"/>
  <c r="I312" i="2" l="1"/>
  <c r="B312" i="2"/>
  <c r="F312" i="2" s="1"/>
  <c r="D312" i="2"/>
  <c r="E312" i="2"/>
  <c r="G312" i="2" l="1"/>
  <c r="J312" i="2"/>
  <c r="L312" i="2" l="1"/>
  <c r="H312" i="2"/>
  <c r="C313" i="2" s="1"/>
  <c r="K313" i="2" s="1"/>
  <c r="I313" i="2" l="1"/>
  <c r="B313" i="2"/>
  <c r="D313" i="2"/>
  <c r="F313" i="2"/>
  <c r="E313" i="2"/>
  <c r="J313" i="2" l="1"/>
  <c r="G313" i="2"/>
  <c r="H313" i="2" l="1"/>
  <c r="C314" i="2" s="1"/>
  <c r="K314" i="2" s="1"/>
  <c r="L313" i="2"/>
  <c r="I314" i="2" l="1"/>
  <c r="B314" i="2"/>
  <c r="F314" i="2" s="1"/>
  <c r="D314" i="2"/>
  <c r="E314" i="2"/>
  <c r="J314" i="2" l="1"/>
  <c r="G314" i="2"/>
  <c r="L314" i="2" s="1"/>
  <c r="H314" i="2" l="1"/>
  <c r="C315" i="2" s="1"/>
  <c r="K315" i="2" s="1"/>
  <c r="I315" i="2" l="1"/>
  <c r="B315" i="2"/>
  <c r="D315" i="2"/>
  <c r="F315" i="2"/>
  <c r="E315" i="2"/>
  <c r="J315" i="2" l="1"/>
  <c r="G315" i="2"/>
  <c r="H315" i="2" l="1"/>
  <c r="C316" i="2" s="1"/>
  <c r="K316" i="2" s="1"/>
  <c r="L315" i="2"/>
  <c r="I316" i="2" l="1"/>
  <c r="B316" i="2"/>
  <c r="D316" i="2"/>
  <c r="F316" i="2"/>
  <c r="E316" i="2"/>
  <c r="G316" i="2" l="1"/>
  <c r="J316" i="2"/>
  <c r="H316" i="2" l="1"/>
  <c r="C317" i="2" s="1"/>
  <c r="K317" i="2" s="1"/>
  <c r="L316" i="2"/>
  <c r="I317" i="2" l="1"/>
  <c r="B317" i="2"/>
  <c r="D317" i="2"/>
  <c r="F317" i="2"/>
  <c r="E317" i="2"/>
  <c r="J317" i="2" l="1"/>
  <c r="G317" i="2"/>
  <c r="H317" i="2" l="1"/>
  <c r="C318" i="2" s="1"/>
  <c r="K318" i="2" s="1"/>
  <c r="L317" i="2"/>
  <c r="I318" i="2" l="1"/>
  <c r="F318" i="2"/>
  <c r="B318" i="2"/>
  <c r="D318" i="2"/>
  <c r="E318" i="2"/>
  <c r="J318" i="2" l="1"/>
  <c r="G318" i="2"/>
  <c r="H318" i="2" l="1"/>
  <c r="C319" i="2" s="1"/>
  <c r="K319" i="2" s="1"/>
  <c r="L318" i="2"/>
  <c r="I319" i="2" l="1"/>
  <c r="D319" i="2"/>
  <c r="B319" i="2"/>
  <c r="F319" i="2" s="1"/>
  <c r="E319" i="2"/>
  <c r="J319" i="2" l="1"/>
  <c r="G319" i="2"/>
  <c r="H319" i="2" l="1"/>
  <c r="C320" i="2" s="1"/>
  <c r="K320" i="2" s="1"/>
  <c r="L319" i="2"/>
  <c r="I320" i="2" l="1"/>
  <c r="B320" i="2"/>
  <c r="F320" i="2" s="1"/>
  <c r="D320" i="2"/>
  <c r="E320" i="2"/>
  <c r="J320" i="2" l="1"/>
  <c r="G320" i="2"/>
  <c r="L320" i="2" l="1"/>
  <c r="H320" i="2"/>
  <c r="C321" i="2" s="1"/>
  <c r="K321" i="2" s="1"/>
  <c r="I321" i="2" l="1"/>
  <c r="B321" i="2"/>
  <c r="D321" i="2"/>
  <c r="F321" i="2"/>
  <c r="E321" i="2"/>
  <c r="G321" i="2" l="1"/>
  <c r="J321" i="2"/>
  <c r="H321" i="2" l="1"/>
  <c r="C322" i="2" s="1"/>
  <c r="K322" i="2" s="1"/>
  <c r="L321" i="2"/>
  <c r="I322" i="2" l="1"/>
  <c r="B322" i="2"/>
  <c r="F322" i="2" s="1"/>
  <c r="D322" i="2"/>
  <c r="E322" i="2"/>
  <c r="G322" i="2" l="1"/>
  <c r="J322" i="2"/>
  <c r="H322" i="2" l="1"/>
  <c r="C323" i="2" s="1"/>
  <c r="K323" i="2" s="1"/>
  <c r="L322" i="2"/>
  <c r="I323" i="2" l="1"/>
  <c r="D323" i="2"/>
  <c r="B323" i="2"/>
  <c r="F323" i="2" s="1"/>
  <c r="E323" i="2"/>
  <c r="G323" i="2" l="1"/>
  <c r="J323" i="2"/>
  <c r="H323" i="2" l="1"/>
  <c r="C324" i="2" s="1"/>
  <c r="K324" i="2" s="1"/>
  <c r="L323" i="2"/>
  <c r="I324" i="2" l="1"/>
  <c r="B324" i="2"/>
  <c r="D324" i="2"/>
  <c r="F324" i="2"/>
  <c r="E324" i="2"/>
  <c r="J324" i="2" l="1"/>
  <c r="G324" i="2"/>
  <c r="H324" i="2" l="1"/>
  <c r="C325" i="2" s="1"/>
  <c r="K325" i="2" s="1"/>
  <c r="L324" i="2"/>
  <c r="I325" i="2" l="1"/>
  <c r="B325" i="2"/>
  <c r="D325" i="2"/>
  <c r="F325" i="2"/>
  <c r="E325" i="2"/>
  <c r="J325" i="2" l="1"/>
  <c r="G325" i="2"/>
  <c r="H325" i="2" l="1"/>
  <c r="C326" i="2" s="1"/>
  <c r="K326" i="2" s="1"/>
  <c r="L325" i="2"/>
  <c r="I326" i="2" l="1"/>
  <c r="B326" i="2"/>
  <c r="D326" i="2"/>
  <c r="F326" i="2"/>
  <c r="E326" i="2"/>
  <c r="G326" i="2" l="1"/>
  <c r="J326" i="2"/>
  <c r="H326" i="2" l="1"/>
  <c r="C327" i="2" s="1"/>
  <c r="K327" i="2" s="1"/>
  <c r="L326" i="2"/>
  <c r="I327" i="2" l="1"/>
  <c r="D327" i="2"/>
  <c r="B327" i="2"/>
  <c r="F327" i="2" s="1"/>
  <c r="E327" i="2"/>
  <c r="J327" i="2" l="1"/>
  <c r="G327" i="2"/>
  <c r="H327" i="2" l="1"/>
  <c r="C328" i="2" s="1"/>
  <c r="K328" i="2" s="1"/>
  <c r="L327" i="2"/>
  <c r="I328" i="2" l="1"/>
  <c r="B328" i="2"/>
  <c r="D328" i="2"/>
  <c r="F328" i="2"/>
  <c r="E328" i="2"/>
  <c r="J328" i="2" l="1"/>
  <c r="G328" i="2"/>
  <c r="L328" i="2" l="1"/>
  <c r="H328" i="2"/>
  <c r="C329" i="2" s="1"/>
  <c r="K329" i="2" s="1"/>
  <c r="I329" i="2" l="1"/>
  <c r="B329" i="2"/>
  <c r="F329" i="2" s="1"/>
  <c r="D329" i="2"/>
  <c r="E329" i="2"/>
  <c r="J329" i="2" l="1"/>
  <c r="G329" i="2"/>
  <c r="H329" i="2" l="1"/>
  <c r="C330" i="2" s="1"/>
  <c r="K330" i="2" s="1"/>
  <c r="L329" i="2"/>
  <c r="I330" i="2" l="1"/>
  <c r="D330" i="2"/>
  <c r="B330" i="2"/>
  <c r="F330" i="2" s="1"/>
  <c r="E330" i="2"/>
  <c r="J330" i="2" l="1"/>
  <c r="G330" i="2"/>
  <c r="L330" i="2" l="1"/>
  <c r="H330" i="2"/>
  <c r="C331" i="2" s="1"/>
  <c r="K331" i="2" s="1"/>
  <c r="I331" i="2" l="1"/>
  <c r="D331" i="2"/>
  <c r="F331" i="2"/>
  <c r="B331" i="2"/>
  <c r="E331" i="2"/>
  <c r="J331" i="2" l="1"/>
  <c r="G331" i="2"/>
  <c r="H331" i="2" s="1"/>
  <c r="C332" i="2" s="1"/>
  <c r="K332" i="2" s="1"/>
  <c r="L331" i="2"/>
  <c r="I332" i="2" l="1"/>
  <c r="B332" i="2"/>
  <c r="D332" i="2"/>
  <c r="F332" i="2"/>
  <c r="E332" i="2"/>
  <c r="J332" i="2" l="1"/>
  <c r="G332" i="2"/>
  <c r="H332" i="2"/>
  <c r="C333" i="2" s="1"/>
  <c r="K333" i="2" s="1"/>
  <c r="L332" i="2"/>
  <c r="I333" i="2" l="1"/>
  <c r="B333" i="2"/>
  <c r="D333" i="2"/>
  <c r="F333" i="2"/>
  <c r="E333" i="2"/>
  <c r="J333" i="2" l="1"/>
  <c r="G333" i="2"/>
  <c r="H333" i="2" l="1"/>
  <c r="C334" i="2" s="1"/>
  <c r="K334" i="2" s="1"/>
  <c r="L333" i="2"/>
  <c r="I334" i="2" l="1"/>
  <c r="B334" i="2"/>
  <c r="F334" i="2" s="1"/>
  <c r="D334" i="2"/>
  <c r="E334" i="2"/>
  <c r="J334" i="2" l="1"/>
  <c r="G334" i="2"/>
  <c r="L334" i="2" l="1"/>
  <c r="H334" i="2"/>
  <c r="C335" i="2" s="1"/>
  <c r="K335" i="2" s="1"/>
  <c r="I335" i="2" l="1"/>
  <c r="D335" i="2"/>
  <c r="B335" i="2"/>
  <c r="F335" i="2" s="1"/>
  <c r="E335" i="2"/>
  <c r="G335" i="2" l="1"/>
  <c r="L335" i="2" s="1"/>
  <c r="J335" i="2"/>
  <c r="H335" i="2"/>
  <c r="C336" i="2" s="1"/>
  <c r="K336" i="2" s="1"/>
  <c r="I336" i="2" l="1"/>
  <c r="B336" i="2"/>
  <c r="D336" i="2"/>
  <c r="F336" i="2"/>
  <c r="E336" i="2"/>
  <c r="J336" i="2" l="1"/>
  <c r="G336" i="2"/>
  <c r="L336" i="2" l="1"/>
  <c r="H336" i="2"/>
  <c r="C337" i="2" s="1"/>
  <c r="K337" i="2" s="1"/>
  <c r="I337" i="2" l="1"/>
  <c r="D337" i="2"/>
  <c r="B337" i="2"/>
  <c r="F337" i="2"/>
  <c r="E337" i="2"/>
  <c r="J337" i="2" l="1"/>
  <c r="G337" i="2"/>
  <c r="H337" i="2" l="1"/>
  <c r="C338" i="2" s="1"/>
  <c r="K338" i="2" s="1"/>
  <c r="L337" i="2"/>
  <c r="I338" i="2" l="1"/>
  <c r="D338" i="2"/>
  <c r="B338" i="2"/>
  <c r="F338" i="2"/>
  <c r="E338" i="2"/>
  <c r="J338" i="2" l="1"/>
  <c r="G338" i="2"/>
  <c r="H338" i="2" l="1"/>
  <c r="C339" i="2" s="1"/>
  <c r="K339" i="2" s="1"/>
  <c r="L338" i="2"/>
  <c r="I339" i="2" l="1"/>
  <c r="B339" i="2"/>
  <c r="F339" i="2"/>
  <c r="D339" i="2"/>
  <c r="E339" i="2"/>
  <c r="J339" i="2" l="1"/>
  <c r="G339" i="2"/>
  <c r="L339" i="2" s="1"/>
  <c r="H339" i="2"/>
  <c r="C340" i="2" s="1"/>
  <c r="K340" i="2" s="1"/>
  <c r="I340" i="2" l="1"/>
  <c r="D340" i="2"/>
  <c r="B340" i="2"/>
  <c r="F340" i="2"/>
  <c r="E340" i="2"/>
  <c r="J340" i="2" l="1"/>
  <c r="G340" i="2"/>
  <c r="H340" i="2" l="1"/>
  <c r="C341" i="2" s="1"/>
  <c r="K341" i="2" s="1"/>
  <c r="L340" i="2"/>
  <c r="I341" i="2" l="1"/>
  <c r="D341" i="2"/>
  <c r="B341" i="2"/>
  <c r="F341" i="2" s="1"/>
  <c r="E341" i="2"/>
  <c r="J341" i="2" l="1"/>
  <c r="G341" i="2"/>
  <c r="H341" i="2" l="1"/>
  <c r="C342" i="2" s="1"/>
  <c r="K342" i="2" s="1"/>
  <c r="L341" i="2"/>
  <c r="I342" i="2" l="1"/>
  <c r="D342" i="2"/>
  <c r="B342" i="2"/>
  <c r="F342" i="2" s="1"/>
  <c r="E342" i="2"/>
  <c r="G342" i="2" l="1"/>
  <c r="H342" i="2" s="1"/>
  <c r="C343" i="2" s="1"/>
  <c r="K343" i="2" s="1"/>
  <c r="J342" i="2"/>
  <c r="L342" i="2"/>
  <c r="I343" i="2" l="1"/>
  <c r="D343" i="2"/>
  <c r="B343" i="2"/>
  <c r="F343" i="2"/>
  <c r="E343" i="2"/>
  <c r="G343" i="2" l="1"/>
  <c r="J343" i="2"/>
  <c r="L343" i="2" l="1"/>
  <c r="H343" i="2"/>
  <c r="C344" i="2" s="1"/>
  <c r="K344" i="2" s="1"/>
  <c r="I344" i="2" l="1"/>
  <c r="D344" i="2"/>
  <c r="B344" i="2"/>
  <c r="F344" i="2" s="1"/>
  <c r="E344" i="2"/>
  <c r="J344" i="2" l="1"/>
  <c r="G344" i="2"/>
  <c r="H344" i="2" s="1"/>
  <c r="C345" i="2" s="1"/>
  <c r="K345" i="2" s="1"/>
  <c r="L344" i="2"/>
  <c r="I345" i="2" l="1"/>
  <c r="B345" i="2"/>
  <c r="F345" i="2" s="1"/>
  <c r="D345" i="2"/>
  <c r="E345" i="2"/>
  <c r="J345" i="2" l="1"/>
  <c r="G345" i="2"/>
  <c r="H345" i="2" l="1"/>
  <c r="C346" i="2" s="1"/>
  <c r="K346" i="2" s="1"/>
  <c r="L345" i="2"/>
  <c r="I346" i="2" l="1"/>
  <c r="D346" i="2"/>
  <c r="B346" i="2"/>
  <c r="F346" i="2" s="1"/>
  <c r="E346" i="2"/>
  <c r="J346" i="2" l="1"/>
  <c r="G346" i="2"/>
  <c r="L346" i="2" l="1"/>
  <c r="H346" i="2"/>
  <c r="C347" i="2" s="1"/>
  <c r="K347" i="2" s="1"/>
  <c r="I347" i="2" l="1"/>
  <c r="B347" i="2"/>
  <c r="F347" i="2" s="1"/>
  <c r="D347" i="2"/>
  <c r="E347" i="2"/>
  <c r="J347" i="2" l="1"/>
  <c r="G347" i="2"/>
  <c r="H347" i="2" l="1"/>
  <c r="C348" i="2" s="1"/>
  <c r="K348" i="2" s="1"/>
  <c r="L347" i="2"/>
  <c r="I348" i="2" l="1"/>
  <c r="D348" i="2"/>
  <c r="B348" i="2"/>
  <c r="F348" i="2"/>
  <c r="E348" i="2"/>
  <c r="G348" i="2" l="1"/>
  <c r="J348" i="2"/>
  <c r="H348" i="2" l="1"/>
  <c r="C349" i="2" s="1"/>
  <c r="K349" i="2" s="1"/>
  <c r="L348" i="2"/>
  <c r="I349" i="2" l="1"/>
  <c r="B349" i="2"/>
  <c r="F349" i="2" s="1"/>
  <c r="D349" i="2"/>
  <c r="E349" i="2"/>
  <c r="G349" i="2" l="1"/>
  <c r="J349" i="2"/>
  <c r="H349" i="2" l="1"/>
  <c r="C350" i="2" s="1"/>
  <c r="K350" i="2" s="1"/>
  <c r="L349" i="2"/>
  <c r="I350" i="2" l="1"/>
  <c r="D350" i="2"/>
  <c r="B350" i="2"/>
  <c r="F350" i="2"/>
  <c r="E350" i="2"/>
  <c r="J350" i="2" l="1"/>
  <c r="G350" i="2"/>
  <c r="H350" i="2" l="1"/>
  <c r="C351" i="2" s="1"/>
  <c r="K351" i="2" s="1"/>
  <c r="L350" i="2"/>
  <c r="I351" i="2" l="1"/>
  <c r="D351" i="2"/>
  <c r="B351" i="2"/>
  <c r="F351" i="2" s="1"/>
  <c r="E351" i="2"/>
  <c r="J351" i="2" l="1"/>
  <c r="G351" i="2"/>
  <c r="H351" i="2" l="1"/>
  <c r="C352" i="2" s="1"/>
  <c r="K352" i="2" s="1"/>
  <c r="L351" i="2"/>
  <c r="I352" i="2" l="1"/>
  <c r="D352" i="2"/>
  <c r="B352" i="2"/>
  <c r="F352" i="2" s="1"/>
  <c r="E352" i="2"/>
  <c r="J352" i="2" l="1"/>
  <c r="G352" i="2"/>
  <c r="H352" i="2" l="1"/>
  <c r="C353" i="2" s="1"/>
  <c r="K353" i="2" s="1"/>
  <c r="L352" i="2"/>
  <c r="I353" i="2" l="1"/>
  <c r="D353" i="2"/>
  <c r="B353" i="2"/>
  <c r="F353" i="2" s="1"/>
  <c r="E353" i="2"/>
  <c r="J353" i="2" l="1"/>
  <c r="G353" i="2"/>
  <c r="H353" i="2" s="1"/>
  <c r="C354" i="2" s="1"/>
  <c r="K354" i="2" s="1"/>
  <c r="L353" i="2"/>
  <c r="I354" i="2" l="1"/>
  <c r="D354" i="2"/>
  <c r="B354" i="2"/>
  <c r="F354" i="2" s="1"/>
  <c r="E354" i="2"/>
  <c r="G354" i="2" l="1"/>
  <c r="J354" i="2"/>
  <c r="H354" i="2" l="1"/>
  <c r="C355" i="2" s="1"/>
  <c r="K355" i="2" s="1"/>
  <c r="L354" i="2"/>
  <c r="I355" i="2" l="1"/>
  <c r="B355" i="2"/>
  <c r="F355" i="2"/>
  <c r="D355" i="2"/>
  <c r="E355" i="2"/>
  <c r="J355" i="2" l="1"/>
  <c r="G355" i="2"/>
  <c r="L355" i="2" s="1"/>
  <c r="H355" i="2"/>
  <c r="C356" i="2" s="1"/>
  <c r="K356" i="2" s="1"/>
  <c r="I356" i="2" l="1"/>
  <c r="D356" i="2"/>
  <c r="B356" i="2"/>
  <c r="F356" i="2"/>
  <c r="E356" i="2"/>
  <c r="J356" i="2" l="1"/>
  <c r="G356" i="2"/>
  <c r="H356" i="2" l="1"/>
  <c r="C357" i="2" s="1"/>
  <c r="K357" i="2" s="1"/>
  <c r="L356" i="2"/>
  <c r="I357" i="2" l="1"/>
  <c r="B357" i="2"/>
  <c r="D357" i="2"/>
  <c r="F357" i="2"/>
  <c r="E357" i="2"/>
  <c r="J357" i="2" l="1"/>
  <c r="G357" i="2"/>
  <c r="H357" i="2" l="1"/>
  <c r="C358" i="2" s="1"/>
  <c r="K358" i="2" s="1"/>
  <c r="L357" i="2"/>
  <c r="I358" i="2" l="1"/>
  <c r="D358" i="2"/>
  <c r="B358" i="2"/>
  <c r="F358" i="2" s="1"/>
  <c r="E358" i="2"/>
  <c r="G358" i="2" l="1"/>
  <c r="J358" i="2"/>
  <c r="L358" i="2" l="1"/>
  <c r="H358" i="2"/>
  <c r="C359" i="2" s="1"/>
  <c r="K359" i="2" s="1"/>
  <c r="I359" i="2" l="1"/>
  <c r="D359" i="2"/>
  <c r="B359" i="2"/>
  <c r="F359" i="2" s="1"/>
  <c r="E359" i="2"/>
  <c r="G359" i="2" l="1"/>
  <c r="J359" i="2"/>
  <c r="L359" i="2" l="1"/>
  <c r="H359" i="2"/>
  <c r="C360" i="2" s="1"/>
  <c r="K360" i="2" s="1"/>
  <c r="I360" i="2" l="1"/>
  <c r="D360" i="2"/>
  <c r="B360" i="2"/>
  <c r="F360" i="2"/>
  <c r="E360" i="2"/>
  <c r="G360" i="2" l="1"/>
  <c r="J360" i="2"/>
  <c r="H360" i="2" l="1"/>
  <c r="C361" i="2" s="1"/>
  <c r="K361" i="2" s="1"/>
  <c r="L360" i="2"/>
  <c r="I361" i="2" l="1"/>
  <c r="B361" i="2"/>
  <c r="F361" i="2"/>
  <c r="D361" i="2"/>
  <c r="E361" i="2"/>
  <c r="J361" i="2" l="1"/>
  <c r="G361" i="2"/>
  <c r="L361" i="2" s="1"/>
  <c r="H361" i="2"/>
  <c r="C362" i="2" s="1"/>
  <c r="K362" i="2" s="1"/>
  <c r="I362" i="2" l="1"/>
  <c r="D362" i="2"/>
  <c r="B362" i="2"/>
  <c r="F362" i="2"/>
  <c r="E362" i="2"/>
  <c r="G362" i="2" l="1"/>
  <c r="J362" i="2"/>
  <c r="H362" i="2" l="1"/>
  <c r="C363" i="2" s="1"/>
  <c r="K363" i="2" s="1"/>
  <c r="L362" i="2"/>
  <c r="I363" i="2" l="1"/>
  <c r="D363" i="2"/>
  <c r="B363" i="2"/>
  <c r="F363" i="2"/>
  <c r="E363" i="2"/>
  <c r="J363" i="2" l="1"/>
  <c r="G363" i="2"/>
  <c r="H363" i="2" l="1"/>
  <c r="C364" i="2" s="1"/>
  <c r="K364" i="2" s="1"/>
  <c r="L363" i="2"/>
  <c r="I364" i="2" l="1"/>
  <c r="D364" i="2"/>
  <c r="B364" i="2"/>
  <c r="F364" i="2"/>
  <c r="E364" i="2"/>
  <c r="J364" i="2" l="1"/>
  <c r="G364" i="2"/>
  <c r="H364" i="2" l="1"/>
  <c r="C365" i="2" s="1"/>
  <c r="K365" i="2" s="1"/>
  <c r="L364" i="2"/>
  <c r="I365" i="2" l="1"/>
  <c r="B365" i="2"/>
  <c r="F365" i="2" s="1"/>
  <c r="D365" i="2"/>
  <c r="E365" i="2"/>
  <c r="J365" i="2" l="1"/>
  <c r="G365" i="2"/>
  <c r="L365" i="2" l="1"/>
  <c r="H365" i="2"/>
  <c r="C366" i="2" s="1"/>
  <c r="K366" i="2" s="1"/>
  <c r="I366" i="2" l="1"/>
  <c r="D366" i="2"/>
  <c r="B366" i="2"/>
  <c r="F366" i="2" s="1"/>
  <c r="E366" i="2"/>
  <c r="G366" i="2" l="1"/>
  <c r="H366" i="2" s="1"/>
  <c r="C367" i="2" s="1"/>
  <c r="K367" i="2" s="1"/>
  <c r="J366" i="2"/>
  <c r="L366" i="2"/>
  <c r="I367" i="2" l="1"/>
  <c r="D367" i="2"/>
  <c r="B367" i="2"/>
  <c r="E367" i="2"/>
  <c r="F367" i="2" l="1"/>
  <c r="J367" i="2" l="1"/>
  <c r="G367" i="2"/>
  <c r="H367" i="2" l="1"/>
  <c r="C368" i="2" s="1"/>
  <c r="K368" i="2" s="1"/>
  <c r="L367" i="2"/>
  <c r="I368" i="2" l="1"/>
  <c r="D368" i="2"/>
  <c r="B368" i="2"/>
  <c r="F368" i="2" s="1"/>
  <c r="E368" i="2"/>
  <c r="H368" i="2" l="1"/>
  <c r="G368" i="2"/>
  <c r="C369" i="2"/>
  <c r="K369" i="2" s="1"/>
  <c r="J368" i="2"/>
  <c r="L368" i="2"/>
  <c r="I369" i="2" l="1"/>
  <c r="D369" i="2"/>
  <c r="B369" i="2"/>
  <c r="F369" i="2" s="1"/>
  <c r="E369" i="2"/>
  <c r="J369" i="2" l="1"/>
  <c r="G369" i="2"/>
  <c r="H369" i="2" l="1"/>
  <c r="C370" i="2" s="1"/>
  <c r="K370" i="2" s="1"/>
  <c r="L369" i="2"/>
  <c r="I370" i="2" l="1"/>
  <c r="B370" i="2"/>
  <c r="F370" i="2"/>
  <c r="D370" i="2"/>
  <c r="E370" i="2"/>
  <c r="G370" i="2" l="1"/>
  <c r="L370" i="2" s="1"/>
  <c r="J370" i="2"/>
  <c r="H370" i="2"/>
  <c r="C371" i="2" s="1"/>
  <c r="K371" i="2" s="1"/>
  <c r="I371" i="2" l="1"/>
  <c r="D371" i="2"/>
  <c r="B371" i="2"/>
  <c r="F371" i="2" s="1"/>
  <c r="E371" i="2"/>
  <c r="G371" i="2" l="1"/>
  <c r="H371" i="2" s="1"/>
  <c r="C372" i="2" s="1"/>
  <c r="K372" i="2" s="1"/>
  <c r="J371" i="2"/>
  <c r="L371" i="2"/>
  <c r="I372" i="2" l="1"/>
  <c r="B372" i="2"/>
  <c r="F372" i="2"/>
  <c r="D372" i="2"/>
  <c r="E372" i="2"/>
  <c r="J372" i="2" l="1"/>
  <c r="G372" i="2"/>
  <c r="L372" i="2" l="1"/>
  <c r="H372" i="2"/>
  <c r="C373" i="2" s="1"/>
  <c r="K373" i="2" s="1"/>
  <c r="I373" i="2" l="1"/>
  <c r="D373" i="2"/>
  <c r="B373" i="2"/>
  <c r="F373" i="2" s="1"/>
  <c r="E373" i="2"/>
  <c r="G373" i="2" l="1"/>
  <c r="H373" i="2" s="1"/>
  <c r="C374" i="2" s="1"/>
  <c r="K374" i="2" s="1"/>
  <c r="J373" i="2"/>
  <c r="L373" i="2"/>
  <c r="I374" i="2" l="1"/>
  <c r="D374" i="2"/>
  <c r="B374" i="2"/>
  <c r="F374" i="2" s="1"/>
  <c r="E374" i="2"/>
  <c r="G374" i="2" l="1"/>
  <c r="H374" i="2" s="1"/>
  <c r="C375" i="2" s="1"/>
  <c r="K375" i="2" s="1"/>
  <c r="J374" i="2"/>
  <c r="L374" i="2"/>
  <c r="I375" i="2" l="1"/>
  <c r="B375" i="2"/>
  <c r="F375" i="2" s="1"/>
  <c r="D375" i="2"/>
  <c r="E375" i="2"/>
  <c r="J375" i="2" l="1"/>
  <c r="G375" i="2"/>
  <c r="H375" i="2" s="1"/>
  <c r="C376" i="2" s="1"/>
  <c r="K376" i="2" s="1"/>
  <c r="I376" i="2" l="1"/>
  <c r="D376" i="2"/>
  <c r="B376" i="2"/>
  <c r="F376" i="2" s="1"/>
  <c r="L375" i="2"/>
  <c r="E376" i="2"/>
  <c r="J376" i="2" l="1"/>
  <c r="G376" i="2"/>
  <c r="H376" i="2" l="1"/>
  <c r="C377" i="2" s="1"/>
  <c r="K377" i="2" s="1"/>
  <c r="L376" i="2"/>
  <c r="I377" i="2" l="1"/>
  <c r="D377" i="2"/>
  <c r="B377" i="2"/>
  <c r="F377" i="2" s="1"/>
  <c r="E377" i="2"/>
  <c r="J377" i="2" l="1"/>
  <c r="G377" i="2"/>
  <c r="H377" i="2" l="1"/>
  <c r="C378" i="2" s="1"/>
  <c r="K378" i="2" s="1"/>
  <c r="L377" i="2"/>
  <c r="I378" i="2" l="1"/>
  <c r="B378" i="2"/>
  <c r="F378" i="2" s="1"/>
  <c r="D378" i="2"/>
  <c r="E378" i="2"/>
  <c r="G378" i="2" l="1"/>
  <c r="J378" i="2"/>
  <c r="H378" i="2" l="1"/>
  <c r="C379" i="2" s="1"/>
  <c r="K379" i="2" s="1"/>
  <c r="L378" i="2"/>
  <c r="I379" i="2" l="1"/>
  <c r="D379" i="2"/>
  <c r="B379" i="2"/>
  <c r="F379" i="2"/>
  <c r="E379" i="2"/>
  <c r="G379" i="2" l="1"/>
  <c r="J379" i="2"/>
  <c r="H379" i="2" l="1"/>
  <c r="C380" i="2" s="1"/>
  <c r="K380" i="2" s="1"/>
  <c r="L379" i="2"/>
  <c r="I380" i="2" l="1"/>
  <c r="D380" i="2"/>
  <c r="B380" i="2"/>
  <c r="F380" i="2" s="1"/>
  <c r="E380" i="2"/>
  <c r="G380" i="2" l="1"/>
  <c r="H380" i="2" s="1"/>
  <c r="C381" i="2" s="1"/>
  <c r="K381" i="2" s="1"/>
  <c r="J380" i="2"/>
  <c r="L380" i="2"/>
  <c r="I381" i="2" l="1"/>
  <c r="D381" i="2"/>
  <c r="B381" i="2"/>
  <c r="F381" i="2"/>
  <c r="E381" i="2"/>
  <c r="J381" i="2" l="1"/>
  <c r="G381" i="2"/>
  <c r="H381" i="2" l="1"/>
  <c r="C382" i="2" s="1"/>
  <c r="K382" i="2" s="1"/>
  <c r="L381" i="2"/>
  <c r="I382" i="2" l="1"/>
  <c r="D382" i="2"/>
  <c r="B382" i="2"/>
  <c r="F382" i="2" s="1"/>
  <c r="E382" i="2"/>
  <c r="G382" i="2" l="1"/>
  <c r="J382" i="2"/>
  <c r="L382" i="2" l="1"/>
  <c r="H382" i="2"/>
  <c r="C383" i="2" s="1"/>
  <c r="K383" i="2" s="1"/>
  <c r="I383" i="2" l="1"/>
  <c r="D383" i="2"/>
  <c r="B383" i="2"/>
  <c r="F383" i="2"/>
  <c r="E383" i="2"/>
  <c r="G383" i="2" l="1"/>
  <c r="J383" i="2"/>
  <c r="H383" i="2" l="1"/>
  <c r="C384" i="2" s="1"/>
  <c r="K384" i="2" s="1"/>
  <c r="L383" i="2"/>
  <c r="I384" i="2" l="1"/>
  <c r="B384" i="2"/>
  <c r="F384" i="2" s="1"/>
  <c r="D384" i="2"/>
  <c r="E384" i="2"/>
  <c r="G384" i="2" l="1"/>
  <c r="J384" i="2"/>
  <c r="L384" i="2" l="1"/>
  <c r="H384" i="2"/>
  <c r="C385" i="2" s="1"/>
  <c r="K385" i="2" s="1"/>
  <c r="I385" i="2" l="1"/>
  <c r="D385" i="2"/>
  <c r="B385" i="2"/>
  <c r="F385" i="2"/>
  <c r="E385" i="2"/>
  <c r="J385" i="2" l="1"/>
  <c r="G385" i="2"/>
  <c r="H385" i="2" l="1"/>
  <c r="C386" i="2" s="1"/>
  <c r="K386" i="2" s="1"/>
  <c r="L385" i="2"/>
  <c r="I386" i="2" l="1"/>
  <c r="D386" i="2"/>
  <c r="B386" i="2"/>
  <c r="F386" i="2" s="1"/>
  <c r="E386" i="2"/>
  <c r="J386" i="2" l="1"/>
  <c r="G386" i="2"/>
  <c r="L386" i="2" s="1"/>
  <c r="H386" i="2"/>
  <c r="C387" i="2" s="1"/>
  <c r="K387" i="2" s="1"/>
  <c r="I387" i="2" l="1"/>
  <c r="B387" i="2"/>
  <c r="F387" i="2" s="1"/>
  <c r="D387" i="2"/>
  <c r="E387" i="2"/>
  <c r="J387" i="2" l="1"/>
  <c r="G387" i="2"/>
  <c r="H387" i="2" l="1"/>
  <c r="C388" i="2" s="1"/>
  <c r="K388" i="2" s="1"/>
  <c r="L387" i="2"/>
  <c r="I388" i="2" l="1"/>
  <c r="D388" i="2"/>
  <c r="B388" i="2"/>
  <c r="F388" i="2" s="1"/>
  <c r="E388" i="2"/>
  <c r="G388" i="2" l="1"/>
  <c r="J388" i="2"/>
  <c r="L388" i="2" l="1"/>
  <c r="H388" i="2"/>
  <c r="C389" i="2" s="1"/>
  <c r="K389" i="2" s="1"/>
  <c r="I389" i="2" l="1"/>
  <c r="D389" i="2"/>
  <c r="B389" i="2"/>
  <c r="F389" i="2" s="1"/>
  <c r="E389" i="2"/>
  <c r="J389" i="2" l="1"/>
  <c r="G389" i="2"/>
  <c r="L389" i="2" l="1"/>
  <c r="H389" i="2"/>
  <c r="C390" i="2" s="1"/>
  <c r="K390" i="2" s="1"/>
  <c r="I390" i="2" l="1"/>
  <c r="B390" i="2"/>
  <c r="F390" i="2" s="1"/>
  <c r="D390" i="2"/>
  <c r="E390" i="2"/>
  <c r="G390" i="2" l="1"/>
  <c r="J390" i="2"/>
  <c r="H390" i="2" l="1"/>
  <c r="C391" i="2" s="1"/>
  <c r="K391" i="2" s="1"/>
  <c r="L390" i="2"/>
  <c r="I391" i="2" l="1"/>
  <c r="D391" i="2"/>
  <c r="B391" i="2"/>
  <c r="F391" i="2" s="1"/>
  <c r="E391" i="2"/>
  <c r="J391" i="2" l="1"/>
  <c r="G391" i="2"/>
  <c r="H391" i="2" l="1"/>
  <c r="C392" i="2" s="1"/>
  <c r="K392" i="2" s="1"/>
  <c r="L391" i="2"/>
  <c r="I392" i="2" l="1"/>
  <c r="B392" i="2"/>
  <c r="F392" i="2" s="1"/>
  <c r="D392" i="2"/>
  <c r="E392" i="2"/>
  <c r="G392" i="2" l="1"/>
  <c r="J392" i="2"/>
  <c r="H392" i="2" l="1"/>
  <c r="C393" i="2" s="1"/>
  <c r="K393" i="2" s="1"/>
  <c r="L392" i="2"/>
  <c r="I393" i="2" l="1"/>
  <c r="D393" i="2"/>
  <c r="B393" i="2"/>
  <c r="F393" i="2"/>
  <c r="E393" i="2"/>
  <c r="G393" i="2" l="1"/>
  <c r="H393" i="2" s="1"/>
  <c r="C394" i="2" s="1"/>
  <c r="K394" i="2" s="1"/>
  <c r="J393" i="2"/>
  <c r="I394" i="2" l="1"/>
  <c r="B394" i="2"/>
  <c r="F394" i="2" s="1"/>
  <c r="D394" i="2"/>
  <c r="L393" i="2"/>
  <c r="E394" i="2"/>
  <c r="G394" i="2" l="1"/>
  <c r="J394" i="2"/>
  <c r="H394" i="2" l="1"/>
  <c r="C395" i="2" s="1"/>
  <c r="K395" i="2" s="1"/>
  <c r="L394" i="2"/>
  <c r="I395" i="2" l="1"/>
  <c r="D395" i="2"/>
  <c r="B395" i="2"/>
  <c r="F395" i="2"/>
  <c r="E395" i="2"/>
  <c r="G395" i="2" l="1"/>
  <c r="J395" i="2"/>
  <c r="H395" i="2" l="1"/>
  <c r="C396" i="2" s="1"/>
  <c r="K396" i="2" s="1"/>
  <c r="L395" i="2"/>
  <c r="I396" i="2" l="1"/>
  <c r="D396" i="2"/>
  <c r="B396" i="2"/>
  <c r="F396" i="2"/>
  <c r="E396" i="2"/>
  <c r="J396" i="2" l="1"/>
  <c r="G396" i="2"/>
  <c r="L396" i="2" l="1"/>
  <c r="H396" i="2"/>
  <c r="C397" i="2" s="1"/>
  <c r="K397" i="2" s="1"/>
  <c r="I397" i="2" l="1"/>
  <c r="B397" i="2"/>
  <c r="F397" i="2" s="1"/>
  <c r="D397" i="2"/>
  <c r="E397" i="2"/>
  <c r="J397" i="2" l="1"/>
  <c r="G397" i="2"/>
  <c r="L397" i="2" l="1"/>
  <c r="H397" i="2"/>
  <c r="C398" i="2" s="1"/>
  <c r="K398" i="2" s="1"/>
  <c r="I398" i="2" l="1"/>
  <c r="B398" i="2"/>
  <c r="F398" i="2"/>
  <c r="D398" i="2"/>
  <c r="E398" i="2"/>
  <c r="J398" i="2" l="1"/>
  <c r="G398" i="2"/>
  <c r="H398" i="2" s="1"/>
  <c r="C399" i="2" s="1"/>
  <c r="K399" i="2" s="1"/>
  <c r="L398" i="2"/>
  <c r="I399" i="2" l="1"/>
  <c r="D399" i="2"/>
  <c r="B399" i="2"/>
  <c r="F399" i="2"/>
  <c r="E399" i="2"/>
  <c r="G399" i="2" l="1"/>
  <c r="J399" i="2"/>
  <c r="H399" i="2" l="1"/>
  <c r="C400" i="2" s="1"/>
  <c r="K400" i="2" s="1"/>
  <c r="L399" i="2"/>
  <c r="I400" i="2" l="1"/>
  <c r="D400" i="2"/>
  <c r="B400" i="2"/>
  <c r="F400" i="2" s="1"/>
  <c r="E400" i="2"/>
  <c r="G400" i="2" l="1"/>
  <c r="J400" i="2"/>
  <c r="L400" i="2"/>
  <c r="H400" i="2"/>
  <c r="C401" i="2" s="1"/>
  <c r="K401" i="2" s="1"/>
  <c r="I401" i="2" l="1"/>
  <c r="D401" i="2"/>
  <c r="B401" i="2"/>
  <c r="F401" i="2" s="1"/>
  <c r="E401" i="2"/>
  <c r="G401" i="2" l="1"/>
  <c r="J401" i="2"/>
  <c r="H401" i="2" l="1"/>
  <c r="C402" i="2" s="1"/>
  <c r="K402" i="2" s="1"/>
  <c r="L401" i="2"/>
  <c r="I402" i="2" l="1"/>
  <c r="D402" i="2"/>
  <c r="B402" i="2"/>
  <c r="F402" i="2" s="1"/>
  <c r="E402" i="2"/>
  <c r="G402" i="2" l="1"/>
  <c r="L402" i="2" s="1"/>
  <c r="J402" i="2"/>
  <c r="H402" i="2"/>
  <c r="C403" i="2" s="1"/>
  <c r="K403" i="2" s="1"/>
  <c r="I403" i="2" l="1"/>
  <c r="D403" i="2"/>
  <c r="B403" i="2"/>
  <c r="F403" i="2" s="1"/>
  <c r="E403" i="2"/>
  <c r="J403" i="2" l="1"/>
  <c r="G403" i="2"/>
  <c r="H403" i="2" s="1"/>
  <c r="C404" i="2" s="1"/>
  <c r="K404" i="2" s="1"/>
  <c r="L403" i="2"/>
  <c r="I404" i="2" l="1"/>
  <c r="B404" i="2"/>
  <c r="F404" i="2"/>
  <c r="D404" i="2"/>
  <c r="E404" i="2"/>
  <c r="J404" i="2" l="1"/>
  <c r="G404" i="2"/>
  <c r="H404" i="2"/>
  <c r="C405" i="2" s="1"/>
  <c r="K405" i="2" s="1"/>
  <c r="L404" i="2"/>
  <c r="I405" i="2" l="1"/>
  <c r="D405" i="2"/>
  <c r="B405" i="2"/>
  <c r="F405" i="2" s="1"/>
  <c r="E405" i="2"/>
  <c r="J405" i="2" l="1"/>
  <c r="G405" i="2"/>
  <c r="L405" i="2"/>
  <c r="H405" i="2"/>
  <c r="C406" i="2" s="1"/>
  <c r="K406" i="2" s="1"/>
  <c r="I406" i="2" l="1"/>
  <c r="D406" i="2"/>
  <c r="B406" i="2"/>
  <c r="F406" i="2" s="1"/>
  <c r="E406" i="2"/>
  <c r="J406" i="2" l="1"/>
  <c r="G406" i="2"/>
  <c r="H406" i="2" s="1"/>
  <c r="C407" i="2" s="1"/>
  <c r="K407" i="2" s="1"/>
  <c r="L406" i="2"/>
  <c r="I407" i="2" l="1"/>
  <c r="D407" i="2"/>
  <c r="B407" i="2"/>
  <c r="F407" i="2" s="1"/>
  <c r="E407" i="2"/>
  <c r="J407" i="2" l="1"/>
  <c r="G407" i="2"/>
  <c r="H407" i="2" s="1"/>
  <c r="C408" i="2" s="1"/>
  <c r="K408" i="2" s="1"/>
  <c r="I408" i="2" l="1"/>
  <c r="D408" i="2"/>
  <c r="B408" i="2"/>
  <c r="F408" i="2" s="1"/>
  <c r="L407" i="2"/>
  <c r="E408" i="2"/>
  <c r="J408" i="2" l="1"/>
  <c r="G408" i="2"/>
  <c r="H408" i="2" l="1"/>
  <c r="C409" i="2" s="1"/>
  <c r="K409" i="2" s="1"/>
  <c r="L408" i="2"/>
  <c r="I409" i="2" l="1"/>
  <c r="D409" i="2"/>
  <c r="B409" i="2"/>
  <c r="F409" i="2"/>
  <c r="E409" i="2"/>
  <c r="J409" i="2" l="1"/>
  <c r="G409" i="2"/>
  <c r="H409" i="2" l="1"/>
  <c r="C410" i="2" s="1"/>
  <c r="K410" i="2" s="1"/>
  <c r="L409" i="2"/>
  <c r="I410" i="2" l="1"/>
  <c r="D410" i="2"/>
  <c r="B410" i="2"/>
  <c r="F410" i="2" s="1"/>
  <c r="E410" i="2"/>
  <c r="J410" i="2" l="1"/>
  <c r="G410" i="2"/>
  <c r="L410" i="2" s="1"/>
  <c r="H410" i="2"/>
  <c r="C411" i="2" s="1"/>
  <c r="K411" i="2" s="1"/>
  <c r="I411" i="2" l="1"/>
  <c r="D411" i="2"/>
  <c r="B411" i="2"/>
  <c r="F411" i="2"/>
  <c r="E411" i="2"/>
  <c r="J411" i="2" l="1"/>
  <c r="G411" i="2"/>
  <c r="H411" i="2" l="1"/>
  <c r="C412" i="2" s="1"/>
  <c r="K412" i="2" s="1"/>
  <c r="L411" i="2"/>
  <c r="I412" i="2" l="1"/>
  <c r="D412" i="2"/>
  <c r="B412" i="2"/>
  <c r="F412" i="2" s="1"/>
  <c r="E412" i="2"/>
  <c r="J412" i="2" l="1"/>
  <c r="G412" i="2"/>
  <c r="L412" i="2" s="1"/>
  <c r="H412" i="2"/>
  <c r="C413" i="2" s="1"/>
  <c r="K413" i="2" s="1"/>
  <c r="I413" i="2" l="1"/>
  <c r="D413" i="2"/>
  <c r="B413" i="2"/>
  <c r="F413" i="2"/>
  <c r="E413" i="2"/>
  <c r="J413" i="2" l="1"/>
  <c r="G413" i="2"/>
  <c r="L413" i="2" l="1"/>
  <c r="H413" i="2"/>
  <c r="C414" i="2" s="1"/>
  <c r="K414" i="2" s="1"/>
  <c r="I414" i="2" l="1"/>
  <c r="D414" i="2"/>
  <c r="B414" i="2"/>
  <c r="F414" i="2" s="1"/>
  <c r="E414" i="2"/>
  <c r="G414" i="2" l="1"/>
  <c r="J414" i="2"/>
  <c r="L414" i="2" l="1"/>
  <c r="H414" i="2"/>
  <c r="C415" i="2" s="1"/>
  <c r="K415" i="2" s="1"/>
  <c r="I415" i="2" l="1"/>
  <c r="D415" i="2"/>
  <c r="B415" i="2"/>
  <c r="F415" i="2"/>
  <c r="E415" i="2"/>
  <c r="J415" i="2" l="1"/>
  <c r="G415" i="2"/>
  <c r="H415" i="2" l="1"/>
  <c r="C416" i="2" s="1"/>
  <c r="K416" i="2" s="1"/>
  <c r="L415" i="2"/>
  <c r="I416" i="2" l="1"/>
  <c r="B416" i="2"/>
  <c r="F416" i="2" s="1"/>
  <c r="D416" i="2"/>
  <c r="E416" i="2"/>
  <c r="J416" i="2" l="1"/>
  <c r="G416" i="2"/>
  <c r="L416" i="2" l="1"/>
  <c r="H416" i="2"/>
  <c r="C417" i="2" s="1"/>
  <c r="K417" i="2" s="1"/>
  <c r="I417" i="2" l="1"/>
  <c r="D417" i="2"/>
  <c r="B417" i="2"/>
  <c r="F417" i="2" s="1"/>
  <c r="E417" i="2"/>
  <c r="J417" i="2" l="1"/>
  <c r="G417" i="2"/>
  <c r="H417" i="2" s="1"/>
  <c r="C418" i="2" s="1"/>
  <c r="K418" i="2" s="1"/>
  <c r="L417" i="2"/>
  <c r="I418" i="2" l="1"/>
  <c r="B418" i="2"/>
  <c r="F418" i="2"/>
  <c r="D418" i="2"/>
  <c r="E418" i="2"/>
  <c r="G418" i="2" l="1"/>
  <c r="L418" i="2" s="1"/>
  <c r="J418" i="2"/>
  <c r="H418" i="2"/>
  <c r="C419" i="2" s="1"/>
  <c r="K419" i="2" s="1"/>
  <c r="I419" i="2" l="1"/>
  <c r="D419" i="2"/>
  <c r="B419" i="2"/>
  <c r="F419" i="2" s="1"/>
  <c r="E419" i="2"/>
  <c r="G419" i="2" l="1"/>
  <c r="J419" i="2"/>
  <c r="H419" i="2" l="1"/>
  <c r="C420" i="2" s="1"/>
  <c r="K420" i="2" s="1"/>
  <c r="L419" i="2"/>
  <c r="I420" i="2" l="1"/>
  <c r="D420" i="2"/>
  <c r="B420" i="2"/>
  <c r="F420" i="2" s="1"/>
  <c r="E420" i="2"/>
  <c r="J420" i="2" l="1"/>
  <c r="G420" i="2"/>
  <c r="H420" i="2" s="1"/>
  <c r="C421" i="2" s="1"/>
  <c r="K421" i="2" s="1"/>
  <c r="L420" i="2"/>
  <c r="I421" i="2" l="1"/>
  <c r="D421" i="2"/>
  <c r="B421" i="2"/>
  <c r="F421" i="2"/>
  <c r="E421" i="2"/>
  <c r="G421" i="2" l="1"/>
  <c r="J421" i="2"/>
  <c r="H421" i="2" l="1"/>
  <c r="C422" i="2" s="1"/>
  <c r="K422" i="2" s="1"/>
  <c r="L421" i="2"/>
  <c r="I422" i="2" l="1"/>
  <c r="B422" i="2"/>
  <c r="F422" i="2"/>
  <c r="D422" i="2"/>
  <c r="E422" i="2"/>
  <c r="J422" i="2" l="1"/>
  <c r="G422" i="2"/>
  <c r="L422" i="2" s="1"/>
  <c r="H422" i="2"/>
  <c r="C423" i="2" s="1"/>
  <c r="K423" i="2" s="1"/>
  <c r="I423" i="2" l="1"/>
  <c r="D423" i="2"/>
  <c r="B423" i="2"/>
  <c r="F423" i="2" s="1"/>
  <c r="E423" i="2"/>
  <c r="J423" i="2" l="1"/>
  <c r="G423" i="2"/>
  <c r="L423" i="2" l="1"/>
  <c r="H423" i="2"/>
  <c r="C424" i="2" s="1"/>
  <c r="K424" i="2" s="1"/>
  <c r="I424" i="2" l="1"/>
  <c r="D424" i="2"/>
  <c r="B424" i="2"/>
  <c r="F424" i="2" s="1"/>
  <c r="E424" i="2"/>
  <c r="G424" i="2" l="1"/>
  <c r="L424" i="2" s="1"/>
  <c r="J424" i="2"/>
  <c r="H424" i="2"/>
  <c r="C425" i="2" s="1"/>
  <c r="K425" i="2" s="1"/>
  <c r="I425" i="2" l="1"/>
  <c r="D425" i="2"/>
  <c r="B425" i="2"/>
  <c r="F425" i="2"/>
  <c r="E425" i="2"/>
  <c r="J425" i="2" l="1"/>
  <c r="G425" i="2"/>
  <c r="H425" i="2" l="1"/>
  <c r="C426" i="2" s="1"/>
  <c r="K426" i="2" s="1"/>
  <c r="L425" i="2"/>
  <c r="I426" i="2" l="1"/>
  <c r="B426" i="2"/>
  <c r="F426" i="2" s="1"/>
  <c r="D426" i="2"/>
  <c r="E426" i="2"/>
  <c r="G426" i="2" l="1"/>
  <c r="J426" i="2"/>
  <c r="L426" i="2" l="1"/>
  <c r="H426" i="2"/>
  <c r="C427" i="2" s="1"/>
  <c r="K427" i="2" s="1"/>
  <c r="I427" i="2" l="1"/>
  <c r="D427" i="2"/>
  <c r="B427" i="2"/>
  <c r="E427" i="2"/>
  <c r="F427" i="2" l="1"/>
  <c r="J427" i="2" l="1"/>
  <c r="G427" i="2"/>
  <c r="H427" i="2" l="1"/>
  <c r="C428" i="2" s="1"/>
  <c r="K428" i="2" s="1"/>
  <c r="L427" i="2"/>
  <c r="I428" i="2" l="1"/>
  <c r="D428" i="2"/>
  <c r="B428" i="2"/>
  <c r="F428" i="2" s="1"/>
  <c r="E428" i="2"/>
  <c r="G428" i="2" l="1"/>
  <c r="H428" i="2" s="1"/>
  <c r="C429" i="2" s="1"/>
  <c r="K429" i="2" s="1"/>
  <c r="J428" i="2"/>
  <c r="L428" i="2"/>
  <c r="I429" i="2" l="1"/>
  <c r="D429" i="2"/>
  <c r="B429" i="2"/>
  <c r="F429" i="2"/>
  <c r="E429" i="2"/>
  <c r="J429" i="2" l="1"/>
  <c r="G429" i="2"/>
  <c r="H429" i="2" l="1"/>
  <c r="C430" i="2" s="1"/>
  <c r="K430" i="2" s="1"/>
  <c r="L429" i="2"/>
  <c r="I430" i="2" l="1"/>
  <c r="D430" i="2"/>
  <c r="B430" i="2"/>
  <c r="F430" i="2" s="1"/>
  <c r="E430" i="2"/>
  <c r="G430" i="2" l="1"/>
  <c r="J430" i="2"/>
  <c r="H430" i="2" l="1"/>
  <c r="C431" i="2" s="1"/>
  <c r="K431" i="2" s="1"/>
  <c r="L430" i="2"/>
  <c r="I431" i="2" l="1"/>
  <c r="D431" i="2"/>
  <c r="B431" i="2"/>
  <c r="F431" i="2"/>
  <c r="E431" i="2"/>
  <c r="G431" i="2" l="1"/>
  <c r="J431" i="2"/>
  <c r="H431" i="2" l="1"/>
  <c r="C432" i="2" s="1"/>
  <c r="K432" i="2" s="1"/>
  <c r="L431" i="2"/>
  <c r="I432" i="2" l="1"/>
  <c r="D432" i="2"/>
  <c r="B432" i="2"/>
  <c r="F432" i="2" s="1"/>
  <c r="E432" i="2"/>
  <c r="H432" i="2" l="1"/>
  <c r="C433" i="2" s="1"/>
  <c r="K433" i="2" s="1"/>
  <c r="G432" i="2"/>
  <c r="J432" i="2"/>
  <c r="L432" i="2"/>
  <c r="I433" i="2" l="1"/>
  <c r="D433" i="2"/>
  <c r="B433" i="2"/>
  <c r="E433" i="2"/>
  <c r="F433" i="2" l="1"/>
  <c r="G433" i="2" l="1"/>
  <c r="J433" i="2"/>
  <c r="L433" i="2" l="1"/>
  <c r="H433" i="2"/>
  <c r="C434" i="2" s="1"/>
  <c r="K434" i="2" s="1"/>
  <c r="I434" i="2" l="1"/>
  <c r="D434" i="2"/>
  <c r="B434" i="2"/>
  <c r="F434" i="2"/>
  <c r="E434" i="2"/>
  <c r="J434" i="2" l="1"/>
  <c r="G434" i="2"/>
  <c r="H434" i="2" s="1"/>
  <c r="C435" i="2" s="1"/>
  <c r="K435" i="2" s="1"/>
  <c r="L434" i="2"/>
  <c r="I435" i="2" l="1"/>
  <c r="D435" i="2"/>
  <c r="B435" i="2"/>
  <c r="F435" i="2"/>
  <c r="E435" i="2"/>
  <c r="J435" i="2" l="1"/>
  <c r="G435" i="2"/>
  <c r="H435" i="2" l="1"/>
  <c r="C436" i="2" s="1"/>
  <c r="K436" i="2" s="1"/>
  <c r="L435" i="2"/>
  <c r="I436" i="2" l="1"/>
  <c r="D436" i="2"/>
  <c r="B436" i="2"/>
  <c r="F436" i="2" s="1"/>
  <c r="E436" i="2"/>
  <c r="G436" i="2" l="1"/>
  <c r="J436" i="2"/>
  <c r="H436" i="2" l="1"/>
  <c r="C437" i="2" s="1"/>
  <c r="K437" i="2" s="1"/>
  <c r="L436" i="2"/>
  <c r="I437" i="2" l="1"/>
  <c r="F437" i="2"/>
  <c r="D437" i="2"/>
  <c r="B437" i="2"/>
  <c r="E437" i="2"/>
  <c r="G437" i="2" l="1"/>
  <c r="J437" i="2"/>
  <c r="H437" i="2" l="1"/>
  <c r="C438" i="2" s="1"/>
  <c r="K438" i="2" s="1"/>
  <c r="L437" i="2"/>
  <c r="I438" i="2" l="1"/>
  <c r="B438" i="2"/>
  <c r="F438" i="2" s="1"/>
  <c r="D438" i="2"/>
  <c r="E438" i="2"/>
  <c r="J438" i="2" l="1"/>
  <c r="G438" i="2"/>
  <c r="H438" i="2" l="1"/>
  <c r="C439" i="2" s="1"/>
  <c r="K439" i="2" s="1"/>
  <c r="L438" i="2"/>
  <c r="I439" i="2" l="1"/>
  <c r="D439" i="2"/>
  <c r="B439" i="2"/>
  <c r="F439" i="2"/>
  <c r="E439" i="2"/>
  <c r="G439" i="2" l="1"/>
  <c r="H439" i="2" s="1"/>
  <c r="C440" i="2" s="1"/>
  <c r="K440" i="2" s="1"/>
  <c r="J439" i="2"/>
  <c r="L439" i="2"/>
  <c r="I440" i="2" l="1"/>
  <c r="D440" i="2"/>
  <c r="B440" i="2"/>
  <c r="F440" i="2"/>
  <c r="E440" i="2"/>
  <c r="G440" i="2" l="1"/>
  <c r="J440" i="2"/>
  <c r="H440" i="2" l="1"/>
  <c r="C441" i="2" s="1"/>
  <c r="K441" i="2" s="1"/>
  <c r="L440" i="2"/>
  <c r="I441" i="2" l="1"/>
  <c r="D441" i="2"/>
  <c r="B441" i="2"/>
  <c r="F441" i="2"/>
  <c r="E441" i="2"/>
  <c r="J441" i="2" l="1"/>
  <c r="G441" i="2"/>
  <c r="H441" i="2" l="1"/>
  <c r="C442" i="2" s="1"/>
  <c r="K442" i="2" s="1"/>
  <c r="L441" i="2"/>
  <c r="I442" i="2" l="1"/>
  <c r="D442" i="2"/>
  <c r="B442" i="2"/>
  <c r="F442" i="2" s="1"/>
  <c r="E442" i="2"/>
  <c r="J442" i="2" l="1"/>
  <c r="G442" i="2"/>
  <c r="L442" i="2" l="1"/>
  <c r="H442" i="2"/>
  <c r="C443" i="2" s="1"/>
  <c r="K443" i="2" s="1"/>
  <c r="I443" i="2" l="1"/>
  <c r="D443" i="2"/>
  <c r="B443" i="2"/>
  <c r="F443" i="2" s="1"/>
  <c r="E443" i="2"/>
  <c r="J443" i="2" l="1"/>
  <c r="G443" i="2"/>
  <c r="H443" i="2" l="1"/>
  <c r="C444" i="2" s="1"/>
  <c r="K444" i="2" s="1"/>
  <c r="L443" i="2"/>
  <c r="I444" i="2" l="1"/>
  <c r="D444" i="2"/>
  <c r="B444" i="2"/>
  <c r="F444" i="2" s="1"/>
  <c r="E444" i="2"/>
  <c r="G444" i="2" l="1"/>
  <c r="L444" i="2" s="1"/>
  <c r="J444" i="2"/>
  <c r="H444" i="2"/>
  <c r="C445" i="2" s="1"/>
  <c r="K445" i="2" s="1"/>
  <c r="I445" i="2" l="1"/>
  <c r="D445" i="2"/>
  <c r="B445" i="2"/>
  <c r="F445" i="2" s="1"/>
  <c r="E445" i="2"/>
  <c r="G445" i="2" l="1"/>
  <c r="J445" i="2"/>
  <c r="H445" i="2" l="1"/>
  <c r="C446" i="2" s="1"/>
  <c r="K446" i="2" s="1"/>
  <c r="L445" i="2"/>
  <c r="I446" i="2" l="1"/>
  <c r="B446" i="2"/>
  <c r="F446" i="2" s="1"/>
  <c r="D446" i="2"/>
  <c r="E446" i="2"/>
  <c r="G446" i="2" l="1"/>
  <c r="J446" i="2"/>
  <c r="L446" i="2" l="1"/>
  <c r="H446" i="2"/>
  <c r="C447" i="2" s="1"/>
  <c r="K447" i="2" s="1"/>
  <c r="I447" i="2" l="1"/>
  <c r="D447" i="2"/>
  <c r="B447" i="2"/>
  <c r="F447" i="2"/>
  <c r="E447" i="2"/>
  <c r="J447" i="2" l="1"/>
  <c r="G447" i="2"/>
  <c r="H447" i="2" l="1"/>
  <c r="C448" i="2" s="1"/>
  <c r="K448" i="2" s="1"/>
  <c r="L447" i="2"/>
  <c r="I448" i="2" l="1"/>
  <c r="D448" i="2"/>
  <c r="B448" i="2"/>
  <c r="F448" i="2" s="1"/>
  <c r="E448" i="2"/>
  <c r="G448" i="2" l="1"/>
  <c r="J448" i="2"/>
  <c r="L448" i="2" l="1"/>
  <c r="H448" i="2"/>
  <c r="C449" i="2" s="1"/>
  <c r="K449" i="2" s="1"/>
  <c r="I449" i="2" l="1"/>
  <c r="D449" i="2"/>
  <c r="B449" i="2"/>
  <c r="F449" i="2" s="1"/>
  <c r="E449" i="2"/>
  <c r="G449" i="2" l="1"/>
  <c r="H449" i="2" s="1"/>
  <c r="C450" i="2" s="1"/>
  <c r="K450" i="2" s="1"/>
  <c r="J449" i="2"/>
  <c r="L449" i="2"/>
  <c r="I450" i="2" l="1"/>
  <c r="B450" i="2"/>
  <c r="F450" i="2"/>
  <c r="D450" i="2"/>
  <c r="E450" i="2"/>
  <c r="G450" i="2" l="1"/>
  <c r="J450" i="2"/>
  <c r="H450" i="2"/>
  <c r="C451" i="2" s="1"/>
  <c r="K451" i="2" s="1"/>
  <c r="L450" i="2"/>
  <c r="I451" i="2" l="1"/>
  <c r="D451" i="2"/>
  <c r="B451" i="2"/>
  <c r="F451" i="2"/>
  <c r="E451" i="2"/>
  <c r="J451" i="2" l="1"/>
  <c r="G451" i="2"/>
  <c r="H451" i="2" l="1"/>
  <c r="C452" i="2" s="1"/>
  <c r="K452" i="2" s="1"/>
  <c r="L451" i="2"/>
  <c r="I452" i="2" l="1"/>
  <c r="D452" i="2"/>
  <c r="B452" i="2"/>
  <c r="F452" i="2" s="1"/>
  <c r="E452" i="2"/>
  <c r="G452" i="2" l="1"/>
  <c r="H452" i="2" s="1"/>
  <c r="C453" i="2" s="1"/>
  <c r="K453" i="2" s="1"/>
  <c r="J452" i="2"/>
  <c r="L452" i="2"/>
  <c r="I453" i="2" l="1"/>
  <c r="D453" i="2"/>
  <c r="B453" i="2"/>
  <c r="F453" i="2"/>
  <c r="E453" i="2"/>
  <c r="J453" i="2" l="1"/>
  <c r="G453" i="2"/>
  <c r="H453" i="2" s="1"/>
  <c r="C454" i="2" s="1"/>
  <c r="K454" i="2" s="1"/>
  <c r="L453" i="2"/>
  <c r="I454" i="2" l="1"/>
  <c r="D454" i="2"/>
  <c r="B454" i="2"/>
  <c r="F454" i="2" s="1"/>
  <c r="E454" i="2"/>
  <c r="G454" i="2" l="1"/>
  <c r="J454" i="2"/>
  <c r="H454" i="2"/>
  <c r="C455" i="2" s="1"/>
  <c r="K455" i="2" s="1"/>
  <c r="L454" i="2"/>
  <c r="I455" i="2" l="1"/>
  <c r="D455" i="2"/>
  <c r="B455" i="2"/>
  <c r="F455" i="2"/>
  <c r="E455" i="2"/>
  <c r="J455" i="2" l="1"/>
  <c r="G455" i="2"/>
  <c r="H455" i="2" l="1"/>
  <c r="C456" i="2" s="1"/>
  <c r="K456" i="2" s="1"/>
  <c r="L455" i="2"/>
  <c r="I456" i="2" l="1"/>
  <c r="B456" i="2"/>
  <c r="F456" i="2" s="1"/>
  <c r="D456" i="2"/>
  <c r="E456" i="2"/>
  <c r="G456" i="2" l="1"/>
  <c r="J456" i="2"/>
  <c r="H456" i="2" l="1"/>
  <c r="C457" i="2" s="1"/>
  <c r="K457" i="2" s="1"/>
  <c r="L456" i="2"/>
  <c r="I457" i="2" l="1"/>
  <c r="D457" i="2"/>
  <c r="B457" i="2"/>
  <c r="F457" i="2" s="1"/>
  <c r="E457" i="2"/>
  <c r="G457" i="2" l="1"/>
  <c r="H457" i="2" s="1"/>
  <c r="C458" i="2" s="1"/>
  <c r="K458" i="2" s="1"/>
  <c r="J457" i="2"/>
  <c r="L457" i="2"/>
  <c r="I458" i="2" l="1"/>
  <c r="D458" i="2"/>
  <c r="B458" i="2"/>
  <c r="F458" i="2"/>
  <c r="E458" i="2"/>
  <c r="J458" i="2" l="1"/>
  <c r="G458" i="2"/>
  <c r="L458" i="2" l="1"/>
  <c r="H458" i="2"/>
  <c r="C459" i="2" s="1"/>
  <c r="K459" i="2" s="1"/>
  <c r="I459" i="2" l="1"/>
  <c r="B459" i="2"/>
  <c r="F459" i="2"/>
  <c r="D459" i="2"/>
  <c r="E459" i="2"/>
  <c r="J459" i="2" l="1"/>
  <c r="G459" i="2"/>
  <c r="H459" i="2" s="1"/>
  <c r="C460" i="2" s="1"/>
  <c r="K460" i="2" s="1"/>
  <c r="L459" i="2"/>
  <c r="I460" i="2" l="1"/>
  <c r="B460" i="2"/>
  <c r="F460" i="2" s="1"/>
  <c r="D460" i="2"/>
  <c r="E460" i="2"/>
  <c r="J460" i="2" l="1"/>
  <c r="G460" i="2"/>
  <c r="H460" i="2" l="1"/>
  <c r="C461" i="2" s="1"/>
  <c r="K461" i="2" s="1"/>
  <c r="L460" i="2"/>
  <c r="I461" i="2" l="1"/>
  <c r="D461" i="2"/>
  <c r="B461" i="2"/>
  <c r="F461" i="2"/>
  <c r="E461" i="2"/>
  <c r="J461" i="2" l="1"/>
  <c r="G461" i="2"/>
  <c r="H461" i="2" l="1"/>
  <c r="C462" i="2" s="1"/>
  <c r="K462" i="2" s="1"/>
  <c r="L461" i="2"/>
  <c r="I462" i="2" l="1"/>
  <c r="D462" i="2"/>
  <c r="B462" i="2"/>
  <c r="F462" i="2" s="1"/>
  <c r="E462" i="2"/>
  <c r="G462" i="2" l="1"/>
  <c r="H462" i="2" s="1"/>
  <c r="C463" i="2" s="1"/>
  <c r="K463" i="2" s="1"/>
  <c r="J462" i="2"/>
  <c r="L462" i="2"/>
  <c r="I463" i="2" l="1"/>
  <c r="D463" i="2"/>
  <c r="B463" i="2"/>
  <c r="F463" i="2" s="1"/>
  <c r="E463" i="2"/>
  <c r="G463" i="2" l="1"/>
  <c r="H463" i="2" s="1"/>
  <c r="C464" i="2" s="1"/>
  <c r="K464" i="2" s="1"/>
  <c r="J463" i="2"/>
  <c r="L463" i="2"/>
  <c r="I464" i="2" l="1"/>
  <c r="D464" i="2"/>
  <c r="B464" i="2"/>
  <c r="F464" i="2" s="1"/>
  <c r="E464" i="2"/>
  <c r="G464" i="2" l="1"/>
  <c r="H464" i="2" s="1"/>
  <c r="C465" i="2" s="1"/>
  <c r="K465" i="2" s="1"/>
  <c r="J464" i="2"/>
  <c r="L464" i="2"/>
  <c r="I465" i="2" l="1"/>
  <c r="D465" i="2"/>
  <c r="B465" i="2"/>
  <c r="F465" i="2" s="1"/>
  <c r="E465" i="2"/>
  <c r="G465" i="2" l="1"/>
  <c r="H465" i="2" s="1"/>
  <c r="C466" i="2" s="1"/>
  <c r="K466" i="2" s="1"/>
  <c r="J465" i="2"/>
  <c r="L465" i="2"/>
  <c r="I466" i="2" l="1"/>
  <c r="B466" i="2"/>
  <c r="F466" i="2" s="1"/>
  <c r="D466" i="2"/>
  <c r="E466" i="2"/>
  <c r="J466" i="2" l="1"/>
  <c r="G466" i="2"/>
  <c r="H466" i="2" l="1"/>
  <c r="C467" i="2" s="1"/>
  <c r="K467" i="2" s="1"/>
  <c r="L466" i="2"/>
  <c r="I467" i="2" l="1"/>
  <c r="D467" i="2"/>
  <c r="B467" i="2"/>
  <c r="F467" i="2" s="1"/>
  <c r="E467" i="2"/>
  <c r="J467" i="2" l="1"/>
  <c r="G467" i="2"/>
  <c r="H467" i="2" l="1"/>
  <c r="C468" i="2" s="1"/>
  <c r="K468" i="2" s="1"/>
  <c r="L467" i="2"/>
  <c r="I468" i="2" l="1"/>
  <c r="D468" i="2"/>
  <c r="B468" i="2"/>
  <c r="F468" i="2" s="1"/>
  <c r="E468" i="2"/>
  <c r="G468" i="2" l="1"/>
  <c r="J468" i="2"/>
  <c r="L468" i="2" l="1"/>
  <c r="H468" i="2"/>
  <c r="C469" i="2" s="1"/>
  <c r="K469" i="2" s="1"/>
  <c r="I469" i="2" l="1"/>
  <c r="D469" i="2"/>
  <c r="B469" i="2"/>
  <c r="F469" i="2"/>
  <c r="E469" i="2"/>
  <c r="G469" i="2" l="1"/>
  <c r="J469" i="2"/>
  <c r="H469" i="2" l="1"/>
  <c r="C470" i="2" s="1"/>
  <c r="K470" i="2" s="1"/>
  <c r="L469" i="2"/>
  <c r="I470" i="2" l="1"/>
  <c r="B470" i="2"/>
  <c r="F470" i="2"/>
  <c r="D470" i="2"/>
  <c r="E470" i="2"/>
  <c r="G470" i="2" l="1"/>
  <c r="J470" i="2"/>
  <c r="L470" i="2" l="1"/>
  <c r="H470" i="2"/>
  <c r="C471" i="2" s="1"/>
  <c r="K471" i="2" s="1"/>
  <c r="I471" i="2" l="1"/>
  <c r="D471" i="2"/>
  <c r="B471" i="2"/>
  <c r="F471" i="2"/>
  <c r="E471" i="2"/>
  <c r="G471" i="2" l="1"/>
  <c r="J471" i="2"/>
  <c r="H471" i="2" l="1"/>
  <c r="C472" i="2" s="1"/>
  <c r="K472" i="2" s="1"/>
  <c r="L471" i="2"/>
  <c r="I472" i="2" l="1"/>
  <c r="B472" i="2"/>
  <c r="F472" i="2"/>
  <c r="D472" i="2"/>
  <c r="E472" i="2"/>
  <c r="G472" i="2" l="1"/>
  <c r="J472" i="2"/>
  <c r="L472" i="2" l="1"/>
  <c r="H472" i="2"/>
  <c r="C473" i="2" s="1"/>
  <c r="K473" i="2" s="1"/>
  <c r="I473" i="2" l="1"/>
  <c r="D473" i="2"/>
  <c r="B473" i="2"/>
  <c r="F473" i="2"/>
  <c r="E473" i="2"/>
  <c r="G473" i="2" l="1"/>
  <c r="J473" i="2"/>
  <c r="H473" i="2" l="1"/>
  <c r="C474" i="2" s="1"/>
  <c r="K474" i="2" s="1"/>
  <c r="L473" i="2"/>
  <c r="I474" i="2" l="1"/>
  <c r="B474" i="2"/>
  <c r="F474" i="2"/>
  <c r="D474" i="2"/>
  <c r="E474" i="2"/>
  <c r="G474" i="2" l="1"/>
  <c r="J474" i="2"/>
  <c r="L474" i="2" l="1"/>
  <c r="H474" i="2"/>
  <c r="C475" i="2" s="1"/>
  <c r="K475" i="2" s="1"/>
  <c r="I475" i="2" l="1"/>
  <c r="D475" i="2"/>
  <c r="B475" i="2"/>
  <c r="F475" i="2"/>
  <c r="E475" i="2"/>
  <c r="G475" i="2" l="1"/>
  <c r="J475" i="2"/>
  <c r="H475" i="2" l="1"/>
  <c r="C476" i="2" s="1"/>
  <c r="K476" i="2" s="1"/>
  <c r="L475" i="2"/>
  <c r="I476" i="2" l="1"/>
  <c r="B476" i="2"/>
  <c r="F476" i="2"/>
  <c r="D476" i="2"/>
  <c r="E476" i="2"/>
  <c r="J476" i="2" l="1"/>
  <c r="G476" i="2"/>
  <c r="L476" i="2" l="1"/>
  <c r="H476" i="2"/>
  <c r="C477" i="2" s="1"/>
  <c r="K477" i="2" s="1"/>
  <c r="I477" i="2" l="1"/>
  <c r="D477" i="2"/>
  <c r="B477" i="2"/>
  <c r="F477" i="2"/>
  <c r="E477" i="2"/>
  <c r="G477" i="2" l="1"/>
  <c r="J477" i="2"/>
  <c r="H477" i="2" l="1"/>
  <c r="C478" i="2" s="1"/>
  <c r="K478" i="2" s="1"/>
  <c r="L477" i="2"/>
  <c r="I478" i="2" l="1"/>
  <c r="D478" i="2"/>
  <c r="B478" i="2"/>
  <c r="F478" i="2" s="1"/>
  <c r="E478" i="2"/>
  <c r="G478" i="2" l="1"/>
  <c r="J478" i="2"/>
  <c r="H478" i="2" l="1"/>
  <c r="C479" i="2" s="1"/>
  <c r="K479" i="2" s="1"/>
  <c r="L478" i="2"/>
  <c r="I479" i="2" l="1"/>
  <c r="D479" i="2"/>
  <c r="B479" i="2"/>
  <c r="F479" i="2" s="1"/>
  <c r="E479" i="2"/>
  <c r="G479" i="2" l="1"/>
  <c r="J479" i="2"/>
  <c r="L479" i="2"/>
  <c r="H479" i="2"/>
  <c r="C480" i="2" s="1"/>
  <c r="K480" i="2" s="1"/>
  <c r="I480" i="2" l="1"/>
  <c r="D480" i="2"/>
  <c r="B480" i="2"/>
  <c r="F480" i="2" s="1"/>
  <c r="E480" i="2"/>
  <c r="J480" i="2" l="1"/>
  <c r="G480" i="2"/>
  <c r="L480" i="2" l="1"/>
  <c r="H480" i="2"/>
  <c r="C481" i="2" s="1"/>
  <c r="K481" i="2" s="1"/>
  <c r="I481" i="2" l="1"/>
  <c r="D481" i="2"/>
  <c r="B481" i="2"/>
  <c r="F481" i="2" s="1"/>
  <c r="E481" i="2"/>
  <c r="G481" i="2" l="1"/>
  <c r="H481" i="2" s="1"/>
  <c r="C482" i="2" s="1"/>
  <c r="K482" i="2" s="1"/>
  <c r="J481" i="2"/>
  <c r="L481" i="2"/>
  <c r="I482" i="2" l="1"/>
  <c r="B482" i="2"/>
  <c r="F482" i="2"/>
  <c r="D482" i="2"/>
  <c r="E482" i="2"/>
  <c r="J482" i="2" l="1"/>
  <c r="G482" i="2"/>
  <c r="H482" i="2" l="1"/>
  <c r="C483" i="2" s="1"/>
  <c r="K483" i="2" s="1"/>
  <c r="L482" i="2"/>
  <c r="I483" i="2" l="1"/>
  <c r="D483" i="2"/>
  <c r="B483" i="2"/>
  <c r="F483" i="2"/>
  <c r="E483" i="2"/>
  <c r="J483" i="2" l="1"/>
  <c r="G483" i="2"/>
  <c r="H483" i="2" l="1"/>
  <c r="C484" i="2" s="1"/>
  <c r="K484" i="2" s="1"/>
  <c r="L483" i="2"/>
  <c r="I484" i="2" l="1"/>
  <c r="B484" i="2"/>
  <c r="F484" i="2"/>
  <c r="D484" i="2"/>
  <c r="E484" i="2"/>
  <c r="J484" i="2" l="1"/>
  <c r="G484" i="2"/>
  <c r="H484" i="2" s="1"/>
  <c r="C485" i="2" s="1"/>
  <c r="K485" i="2" s="1"/>
  <c r="L484" i="2"/>
  <c r="I485" i="2" l="1"/>
  <c r="D485" i="2"/>
  <c r="B485" i="2"/>
  <c r="F485" i="2"/>
  <c r="E485" i="2"/>
  <c r="G485" i="2" l="1"/>
  <c r="J485" i="2"/>
  <c r="H485" i="2" l="1"/>
  <c r="C486" i="2" s="1"/>
  <c r="K486" i="2" s="1"/>
  <c r="L485" i="2"/>
  <c r="I486" i="2" l="1"/>
  <c r="D486" i="2"/>
  <c r="B486" i="2"/>
  <c r="F486" i="2" s="1"/>
  <c r="E486" i="2"/>
  <c r="G486" i="2" l="1"/>
  <c r="J486" i="2"/>
  <c r="H486" i="2" l="1"/>
  <c r="C487" i="2" s="1"/>
  <c r="K487" i="2" s="1"/>
  <c r="L486" i="2"/>
  <c r="I487" i="2" l="1"/>
  <c r="D487" i="2"/>
  <c r="B487" i="2"/>
  <c r="F487" i="2"/>
  <c r="E487" i="2"/>
  <c r="J487" i="2" l="1"/>
  <c r="G487" i="2"/>
  <c r="H487" i="2" l="1"/>
  <c r="C488" i="2" s="1"/>
  <c r="K488" i="2" s="1"/>
  <c r="L487" i="2"/>
  <c r="I488" i="2" l="1"/>
  <c r="B488" i="2"/>
  <c r="F488" i="2"/>
  <c r="D488" i="2"/>
  <c r="E488" i="2"/>
  <c r="J488" i="2" l="1"/>
  <c r="G488" i="2"/>
  <c r="L488" i="2" s="1"/>
  <c r="H488" i="2"/>
  <c r="C489" i="2" s="1"/>
  <c r="K489" i="2" s="1"/>
  <c r="I489" i="2" l="1"/>
  <c r="D489" i="2"/>
  <c r="B489" i="2"/>
  <c r="F489" i="2" s="1"/>
  <c r="E489" i="2"/>
  <c r="G489" i="2" l="1"/>
  <c r="J489" i="2"/>
  <c r="H489" i="2" l="1"/>
  <c r="C490" i="2" s="1"/>
  <c r="K490" i="2" s="1"/>
  <c r="L489" i="2"/>
  <c r="I490" i="2" l="1"/>
  <c r="B490" i="2"/>
  <c r="F490" i="2" s="1"/>
  <c r="D490" i="2"/>
  <c r="E490" i="2"/>
  <c r="J490" i="2" l="1"/>
  <c r="G490" i="2"/>
  <c r="L490" i="2" l="1"/>
  <c r="H490" i="2"/>
  <c r="C491" i="2" s="1"/>
  <c r="K491" i="2" s="1"/>
  <c r="I491" i="2" l="1"/>
  <c r="D491" i="2"/>
  <c r="B491" i="2"/>
  <c r="F491" i="2" s="1"/>
  <c r="E491" i="2"/>
  <c r="J491" i="2" l="1"/>
  <c r="G491" i="2"/>
  <c r="H491" i="2" l="1"/>
  <c r="C492" i="2" s="1"/>
  <c r="K492" i="2" s="1"/>
  <c r="L491" i="2"/>
  <c r="I492" i="2" l="1"/>
  <c r="D492" i="2"/>
  <c r="B492" i="2"/>
  <c r="F492" i="2" s="1"/>
  <c r="E492" i="2"/>
  <c r="J492" i="2" l="1"/>
  <c r="G492" i="2"/>
  <c r="H492" i="2" l="1"/>
  <c r="C493" i="2" s="1"/>
  <c r="K493" i="2" s="1"/>
  <c r="L492" i="2"/>
  <c r="I493" i="2" l="1"/>
  <c r="D493" i="2"/>
  <c r="B493" i="2"/>
  <c r="F493" i="2" s="1"/>
  <c r="E493" i="2"/>
  <c r="G493" i="2" l="1"/>
  <c r="J493" i="2"/>
  <c r="L493" i="2" l="1"/>
  <c r="H493" i="2"/>
  <c r="C494" i="2" s="1"/>
  <c r="K494" i="2" s="1"/>
  <c r="I494" i="2" l="1"/>
  <c r="D494" i="2"/>
  <c r="B494" i="2"/>
  <c r="F494" i="2" s="1"/>
  <c r="E494" i="2"/>
  <c r="J494" i="2" l="1"/>
  <c r="G494" i="2"/>
  <c r="L494" i="2" l="1"/>
  <c r="H494" i="2"/>
  <c r="C495" i="2" s="1"/>
  <c r="K495" i="2" s="1"/>
  <c r="I495" i="2" l="1"/>
  <c r="D495" i="2"/>
  <c r="B495" i="2"/>
  <c r="F495" i="2"/>
  <c r="E495" i="2"/>
  <c r="G495" i="2" l="1"/>
  <c r="J495" i="2"/>
  <c r="H495" i="2" l="1"/>
  <c r="C496" i="2" s="1"/>
  <c r="K496" i="2" s="1"/>
  <c r="L495" i="2"/>
  <c r="I496" i="2" l="1"/>
  <c r="B496" i="2"/>
  <c r="F496" i="2" s="1"/>
  <c r="D496" i="2"/>
  <c r="E496" i="2"/>
  <c r="G496" i="2" l="1"/>
  <c r="J496" i="2"/>
  <c r="L496" i="2" l="1"/>
  <c r="H496" i="2"/>
  <c r="C497" i="2" s="1"/>
  <c r="K497" i="2" s="1"/>
  <c r="I497" i="2" l="1"/>
  <c r="D497" i="2"/>
  <c r="B497" i="2"/>
  <c r="F497" i="2" s="1"/>
  <c r="E497" i="2"/>
  <c r="J497" i="2" l="1"/>
  <c r="G497" i="2"/>
  <c r="H497" i="2" s="1"/>
  <c r="C498" i="2" s="1"/>
  <c r="K498" i="2" s="1"/>
  <c r="L497" i="2"/>
  <c r="I498" i="2" l="1"/>
  <c r="D498" i="2"/>
  <c r="B498" i="2"/>
  <c r="F498" i="2" s="1"/>
  <c r="E498" i="2"/>
  <c r="J498" i="2" l="1"/>
  <c r="G498" i="2"/>
  <c r="L498" i="2" s="1"/>
  <c r="H498" i="2"/>
  <c r="C499" i="2" s="1"/>
  <c r="K499" i="2" s="1"/>
  <c r="I499" i="2" l="1"/>
  <c r="D499" i="2"/>
  <c r="B499" i="2"/>
  <c r="F499" i="2"/>
  <c r="E499" i="2"/>
  <c r="J499" i="2" l="1"/>
  <c r="G499" i="2"/>
  <c r="H499" i="2" l="1"/>
  <c r="C500" i="2" s="1"/>
  <c r="K500" i="2" s="1"/>
  <c r="L499" i="2"/>
  <c r="I500" i="2" l="1"/>
  <c r="B500" i="2"/>
  <c r="F500" i="2" s="1"/>
  <c r="D500" i="2"/>
  <c r="E500" i="2"/>
  <c r="G500" i="2" l="1"/>
  <c r="J500" i="2"/>
  <c r="H500" i="2" l="1"/>
  <c r="C501" i="2" s="1"/>
  <c r="K501" i="2" s="1"/>
  <c r="L500" i="2"/>
  <c r="I501" i="2" l="1"/>
  <c r="D501" i="2"/>
  <c r="B501" i="2"/>
  <c r="F501" i="2"/>
  <c r="E501" i="2"/>
  <c r="G501" i="2" l="1"/>
  <c r="J501" i="2"/>
  <c r="H501" i="2" l="1"/>
  <c r="C502" i="2" s="1"/>
  <c r="K502" i="2" s="1"/>
  <c r="L501" i="2"/>
  <c r="I502" i="2" l="1"/>
  <c r="B502" i="2"/>
  <c r="F502" i="2" s="1"/>
  <c r="D502" i="2"/>
  <c r="E502" i="2"/>
  <c r="G502" i="2" l="1"/>
  <c r="J502" i="2"/>
  <c r="H502" i="2" l="1"/>
  <c r="C503" i="2" s="1"/>
  <c r="K503" i="2" s="1"/>
  <c r="L502" i="2"/>
  <c r="I503" i="2" l="1"/>
  <c r="D503" i="2"/>
  <c r="B503" i="2"/>
  <c r="F503" i="2"/>
  <c r="E503" i="2"/>
  <c r="J503" i="2" l="1"/>
  <c r="G503" i="2"/>
  <c r="H503" i="2" l="1"/>
  <c r="C504" i="2" s="1"/>
  <c r="K504" i="2" s="1"/>
  <c r="L503" i="2"/>
  <c r="I504" i="2" l="1"/>
  <c r="B504" i="2"/>
  <c r="D504" i="2"/>
  <c r="F504" i="2"/>
  <c r="E504" i="2"/>
  <c r="G504" i="2" l="1"/>
  <c r="L504" i="2" s="1"/>
  <c r="J504" i="2"/>
  <c r="H504" i="2"/>
  <c r="C505" i="2" s="1"/>
  <c r="K505" i="2" s="1"/>
  <c r="I505" i="2" l="1"/>
  <c r="D505" i="2"/>
  <c r="B505" i="2"/>
  <c r="F505" i="2"/>
  <c r="E505" i="2"/>
  <c r="J505" i="2" l="1"/>
  <c r="G505" i="2"/>
  <c r="L505" i="2" s="1"/>
  <c r="H505" i="2"/>
  <c r="C506" i="2" s="1"/>
  <c r="K506" i="2" s="1"/>
  <c r="I506" i="2" l="1"/>
  <c r="D506" i="2"/>
  <c r="B506" i="2"/>
  <c r="F506" i="2" s="1"/>
  <c r="E506" i="2"/>
  <c r="G506" i="2" l="1"/>
  <c r="J506" i="2"/>
  <c r="L506" i="2" l="1"/>
  <c r="H506" i="2"/>
  <c r="C507" i="2" s="1"/>
  <c r="K507" i="2" s="1"/>
  <c r="I507" i="2" l="1"/>
  <c r="D507" i="2"/>
  <c r="B507" i="2"/>
  <c r="F507" i="2" s="1"/>
  <c r="E507" i="2"/>
  <c r="G507" i="2" l="1"/>
  <c r="J507" i="2"/>
  <c r="H507" i="2" l="1"/>
  <c r="C508" i="2" s="1"/>
  <c r="K508" i="2" s="1"/>
  <c r="L507" i="2"/>
  <c r="I508" i="2" l="1"/>
  <c r="B508" i="2"/>
  <c r="F508" i="2" s="1"/>
  <c r="D508" i="2"/>
  <c r="E508" i="2"/>
  <c r="G508" i="2" l="1"/>
  <c r="J508" i="2"/>
  <c r="H508" i="2" l="1"/>
  <c r="C509" i="2" s="1"/>
  <c r="K509" i="2" s="1"/>
  <c r="L508" i="2"/>
  <c r="I509" i="2" l="1"/>
  <c r="D509" i="2"/>
  <c r="B509" i="2"/>
  <c r="F509" i="2"/>
  <c r="E509" i="2"/>
  <c r="J509" i="2" l="1"/>
  <c r="G509" i="2"/>
  <c r="H509" i="2" l="1"/>
  <c r="C510" i="2" s="1"/>
  <c r="K510" i="2" s="1"/>
  <c r="L509" i="2"/>
  <c r="I510" i="2" l="1"/>
  <c r="D510" i="2"/>
  <c r="B510" i="2"/>
  <c r="F510" i="2"/>
  <c r="E510" i="2"/>
  <c r="J510" i="2" l="1"/>
  <c r="G510" i="2"/>
  <c r="L510" i="2" s="1"/>
  <c r="H510" i="2"/>
  <c r="C511" i="2" s="1"/>
  <c r="K511" i="2" s="1"/>
  <c r="I511" i="2" l="1"/>
  <c r="D511" i="2"/>
  <c r="B511" i="2"/>
  <c r="F511" i="2" s="1"/>
  <c r="E511" i="2"/>
  <c r="G511" i="2" l="1"/>
  <c r="J511" i="2"/>
  <c r="L511" i="2" l="1"/>
  <c r="H511" i="2"/>
  <c r="C512" i="2" s="1"/>
  <c r="K512" i="2" s="1"/>
  <c r="I512" i="2" l="1"/>
  <c r="D512" i="2"/>
  <c r="B512" i="2"/>
  <c r="F512" i="2"/>
  <c r="E512" i="2"/>
  <c r="J512" i="2" l="1"/>
  <c r="G512" i="2"/>
  <c r="H512" i="2" l="1"/>
  <c r="C513" i="2" s="1"/>
  <c r="K513" i="2" s="1"/>
  <c r="L512" i="2"/>
  <c r="I513" i="2" l="1"/>
  <c r="D513" i="2"/>
  <c r="B513" i="2"/>
  <c r="F513" i="2"/>
  <c r="E513" i="2"/>
  <c r="G513" i="2" l="1"/>
  <c r="J513" i="2"/>
  <c r="H513" i="2" l="1"/>
  <c r="C514" i="2" s="1"/>
  <c r="K514" i="2" s="1"/>
  <c r="L513" i="2"/>
  <c r="I514" i="2" l="1"/>
  <c r="D514" i="2"/>
  <c r="B514" i="2"/>
  <c r="F514" i="2"/>
  <c r="E514" i="2"/>
  <c r="J514" i="2" l="1"/>
  <c r="G514" i="2"/>
  <c r="H514" i="2" s="1"/>
  <c r="C515" i="2" s="1"/>
  <c r="K515" i="2" s="1"/>
  <c r="I515" i="2" l="1"/>
  <c r="D515" i="2"/>
  <c r="B515" i="2"/>
  <c r="F515" i="2"/>
  <c r="L514" i="2"/>
  <c r="E515" i="2"/>
  <c r="J515" i="2" l="1"/>
  <c r="G515" i="2"/>
  <c r="H515" i="2" l="1"/>
  <c r="C516" i="2" s="1"/>
  <c r="K516" i="2" s="1"/>
  <c r="L515" i="2"/>
  <c r="I516" i="2" l="1"/>
  <c r="D516" i="2"/>
  <c r="B516" i="2"/>
  <c r="F516" i="2" s="1"/>
  <c r="E516" i="2"/>
  <c r="G516" i="2" l="1"/>
  <c r="H516" i="2" s="1"/>
  <c r="C517" i="2" s="1"/>
  <c r="K517" i="2" s="1"/>
  <c r="J516" i="2"/>
  <c r="L516" i="2"/>
  <c r="I517" i="2" l="1"/>
  <c r="D517" i="2"/>
  <c r="B517" i="2"/>
  <c r="F517" i="2"/>
  <c r="E517" i="2"/>
  <c r="G517" i="2" l="1"/>
  <c r="J517" i="2"/>
  <c r="H517" i="2" l="1"/>
  <c r="C518" i="2" s="1"/>
  <c r="K518" i="2" s="1"/>
  <c r="L517" i="2"/>
  <c r="I518" i="2" l="1"/>
  <c r="B518" i="2"/>
  <c r="F518" i="2"/>
  <c r="D518" i="2"/>
  <c r="E518" i="2"/>
  <c r="G518" i="2" l="1"/>
  <c r="L518" i="2" s="1"/>
  <c r="J518" i="2"/>
  <c r="H518" i="2"/>
  <c r="C519" i="2" s="1"/>
  <c r="K519" i="2" s="1"/>
  <c r="I519" i="2" l="1"/>
  <c r="B519" i="2"/>
  <c r="F519" i="2" s="1"/>
  <c r="D519" i="2"/>
  <c r="E519" i="2"/>
  <c r="J519" i="2" l="1"/>
  <c r="G519" i="2"/>
  <c r="L519" i="2" l="1"/>
  <c r="H519" i="2"/>
  <c r="C520" i="2" s="1"/>
  <c r="K520" i="2" s="1"/>
  <c r="I520" i="2" l="1"/>
  <c r="D520" i="2"/>
  <c r="B520" i="2"/>
  <c r="F520" i="2" s="1"/>
  <c r="E520" i="2"/>
  <c r="G520" i="2" l="1"/>
  <c r="H520" i="2" s="1"/>
  <c r="C521" i="2" s="1"/>
  <c r="K521" i="2" s="1"/>
  <c r="J520" i="2"/>
  <c r="L520" i="2"/>
  <c r="I521" i="2" l="1"/>
  <c r="D521" i="2"/>
  <c r="B521" i="2"/>
  <c r="F521" i="2" s="1"/>
  <c r="E521" i="2"/>
  <c r="G521" i="2" l="1"/>
  <c r="J521" i="2"/>
  <c r="H521" i="2" l="1"/>
  <c r="C522" i="2" s="1"/>
  <c r="K522" i="2" s="1"/>
  <c r="L521" i="2"/>
  <c r="I522" i="2" l="1"/>
  <c r="B522" i="2"/>
  <c r="F522" i="2"/>
  <c r="D522" i="2"/>
  <c r="E522" i="2"/>
  <c r="J522" i="2" l="1"/>
  <c r="G522" i="2"/>
  <c r="L522" i="2" s="1"/>
  <c r="H522" i="2"/>
  <c r="C523" i="2" s="1"/>
  <c r="K523" i="2" s="1"/>
  <c r="I523" i="2" l="1"/>
  <c r="D523" i="2"/>
  <c r="B523" i="2"/>
  <c r="F523" i="2"/>
  <c r="E523" i="2"/>
  <c r="G523" i="2" l="1"/>
  <c r="J523" i="2"/>
  <c r="H523" i="2" l="1"/>
  <c r="C524" i="2" s="1"/>
  <c r="K524" i="2" s="1"/>
  <c r="L523" i="2"/>
  <c r="I524" i="2" l="1"/>
  <c r="B524" i="2"/>
  <c r="F524" i="2" s="1"/>
  <c r="D524" i="2"/>
  <c r="E524" i="2"/>
  <c r="G524" i="2" l="1"/>
  <c r="J524" i="2"/>
  <c r="H524" i="2" l="1"/>
  <c r="C525" i="2" s="1"/>
  <c r="K525" i="2" s="1"/>
  <c r="L524" i="2"/>
  <c r="I525" i="2" l="1"/>
  <c r="D525" i="2"/>
  <c r="B525" i="2"/>
  <c r="F525" i="2"/>
  <c r="E525" i="2"/>
  <c r="J525" i="2" l="1"/>
  <c r="G525" i="2"/>
  <c r="H525" i="2" l="1"/>
  <c r="C526" i="2" s="1"/>
  <c r="K526" i="2" s="1"/>
  <c r="L525" i="2"/>
  <c r="I526" i="2" l="1"/>
  <c r="B526" i="2"/>
  <c r="F526" i="2"/>
  <c r="D526" i="2"/>
  <c r="E526" i="2"/>
  <c r="G526" i="2" l="1"/>
  <c r="L526" i="2" s="1"/>
  <c r="J526" i="2"/>
  <c r="H526" i="2"/>
  <c r="C527" i="2" s="1"/>
  <c r="K527" i="2" s="1"/>
  <c r="I527" i="2" l="1"/>
  <c r="D527" i="2"/>
  <c r="B527" i="2"/>
  <c r="F527" i="2" s="1"/>
  <c r="E527" i="2"/>
  <c r="G527" i="2" l="1"/>
  <c r="H527" i="2" s="1"/>
  <c r="C528" i="2" s="1"/>
  <c r="K528" i="2" s="1"/>
  <c r="J527" i="2"/>
  <c r="L527" i="2"/>
  <c r="I528" i="2" l="1"/>
  <c r="B528" i="2"/>
  <c r="F528" i="2"/>
  <c r="D528" i="2"/>
  <c r="E528" i="2"/>
  <c r="J528" i="2" l="1"/>
  <c r="G528" i="2"/>
  <c r="H528" i="2"/>
  <c r="C529" i="2" s="1"/>
  <c r="K529" i="2" s="1"/>
  <c r="L528" i="2"/>
  <c r="I529" i="2" l="1"/>
  <c r="D529" i="2"/>
  <c r="B529" i="2"/>
  <c r="F529" i="2"/>
  <c r="E529" i="2"/>
  <c r="J529" i="2" l="1"/>
  <c r="G529" i="2"/>
  <c r="H529" i="2" l="1"/>
  <c r="C530" i="2" s="1"/>
  <c r="K530" i="2" s="1"/>
  <c r="L529" i="2"/>
  <c r="I530" i="2" l="1"/>
  <c r="D530" i="2"/>
  <c r="B530" i="2"/>
  <c r="F530" i="2" s="1"/>
  <c r="E530" i="2"/>
  <c r="G530" i="2" l="1"/>
  <c r="H530" i="2" s="1"/>
  <c r="J530" i="2"/>
  <c r="C531" i="2"/>
  <c r="K531" i="2" s="1"/>
  <c r="L530" i="2"/>
  <c r="I531" i="2" l="1"/>
  <c r="D531" i="2"/>
  <c r="B531" i="2"/>
  <c r="F531" i="2" s="1"/>
  <c r="E531" i="2"/>
  <c r="J531" i="2" l="1"/>
  <c r="G531" i="2"/>
  <c r="H531" i="2" s="1"/>
  <c r="C532" i="2" s="1"/>
  <c r="K532" i="2" s="1"/>
  <c r="L531" i="2"/>
  <c r="I532" i="2" l="1"/>
  <c r="B532" i="2"/>
  <c r="F532" i="2"/>
  <c r="D532" i="2"/>
  <c r="E532" i="2"/>
  <c r="G532" i="2" l="1"/>
  <c r="L532" i="2" s="1"/>
  <c r="J532" i="2"/>
  <c r="H532" i="2"/>
  <c r="C533" i="2" s="1"/>
  <c r="K533" i="2" s="1"/>
  <c r="I533" i="2" l="1"/>
  <c r="D533" i="2"/>
  <c r="B533" i="2"/>
  <c r="F533" i="2" s="1"/>
  <c r="E533" i="2"/>
  <c r="J533" i="2" l="1"/>
  <c r="G533" i="2"/>
  <c r="H533" i="2" l="1"/>
  <c r="C534" i="2" s="1"/>
  <c r="K534" i="2" s="1"/>
  <c r="L533" i="2"/>
  <c r="I534" i="2" l="1"/>
  <c r="B534" i="2"/>
  <c r="F534" i="2"/>
  <c r="D534" i="2"/>
  <c r="E534" i="2"/>
  <c r="J534" i="2" l="1"/>
  <c r="G534" i="2"/>
  <c r="L534" i="2" l="1"/>
  <c r="H534" i="2"/>
  <c r="C535" i="2" s="1"/>
  <c r="K535" i="2" s="1"/>
  <c r="I535" i="2" l="1"/>
  <c r="D535" i="2"/>
  <c r="B535" i="2"/>
  <c r="F535" i="2" s="1"/>
  <c r="E535" i="2"/>
  <c r="J535" i="2" l="1"/>
  <c r="L535" i="2" s="1"/>
  <c r="G535" i="2"/>
  <c r="H535" i="2" s="1"/>
  <c r="C536" i="2" s="1"/>
  <c r="K536" i="2" s="1"/>
  <c r="I536" i="2" l="1"/>
  <c r="D536" i="2"/>
  <c r="B536" i="2"/>
  <c r="F536" i="2" s="1"/>
  <c r="E536" i="2"/>
  <c r="G536" i="2" l="1"/>
  <c r="L536" i="2" s="1"/>
  <c r="J536" i="2"/>
  <c r="H536" i="2"/>
  <c r="C537" i="2" s="1"/>
  <c r="K537" i="2" s="1"/>
  <c r="I537" i="2" l="1"/>
  <c r="D537" i="2"/>
  <c r="B537" i="2"/>
  <c r="F537" i="2"/>
  <c r="E537" i="2"/>
  <c r="J537" i="2" l="1"/>
  <c r="G537" i="2"/>
  <c r="H537" i="2" l="1"/>
  <c r="C538" i="2" s="1"/>
  <c r="K538" i="2" s="1"/>
  <c r="L537" i="2"/>
  <c r="I538" i="2" l="1"/>
  <c r="B538" i="2"/>
  <c r="F538" i="2" s="1"/>
  <c r="D538" i="2"/>
  <c r="E538" i="2"/>
  <c r="J538" i="2" l="1"/>
  <c r="G538" i="2"/>
  <c r="L538" i="2" l="1"/>
  <c r="H538" i="2"/>
  <c r="C539" i="2" s="1"/>
  <c r="K539" i="2" s="1"/>
  <c r="I539" i="2" l="1"/>
  <c r="D539" i="2"/>
  <c r="B539" i="2"/>
  <c r="F539" i="2"/>
  <c r="E539" i="2"/>
  <c r="J539" i="2" l="1"/>
  <c r="G539" i="2"/>
  <c r="H539" i="2" l="1"/>
  <c r="C540" i="2" s="1"/>
  <c r="K540" i="2" s="1"/>
  <c r="L539" i="2"/>
  <c r="I540" i="2" l="1"/>
  <c r="D540" i="2"/>
  <c r="B540" i="2"/>
  <c r="F540" i="2" s="1"/>
  <c r="E540" i="2"/>
  <c r="G540" i="2" l="1"/>
  <c r="H540" i="2" s="1"/>
  <c r="C541" i="2" s="1"/>
  <c r="K541" i="2" s="1"/>
  <c r="J540" i="2"/>
  <c r="L540" i="2"/>
  <c r="I541" i="2" l="1"/>
  <c r="D541" i="2"/>
  <c r="B541" i="2"/>
  <c r="F541" i="2"/>
  <c r="E541" i="2"/>
  <c r="G541" i="2" l="1"/>
  <c r="H541" i="2" s="1"/>
  <c r="C542" i="2" s="1"/>
  <c r="K542" i="2" s="1"/>
  <c r="J541" i="2"/>
  <c r="L541" i="2"/>
  <c r="I542" i="2" l="1"/>
  <c r="B542" i="2"/>
  <c r="F542" i="2"/>
  <c r="D542" i="2"/>
  <c r="E542" i="2"/>
  <c r="J542" i="2" l="1"/>
  <c r="G542" i="2"/>
  <c r="L542" i="2" s="1"/>
  <c r="H542" i="2"/>
  <c r="C543" i="2" s="1"/>
  <c r="K543" i="2" s="1"/>
  <c r="I543" i="2" l="1"/>
  <c r="D543" i="2"/>
  <c r="B543" i="2"/>
  <c r="F543" i="2" s="1"/>
  <c r="E543" i="2"/>
  <c r="J543" i="2" l="1"/>
  <c r="G543" i="2"/>
  <c r="H543" i="2" l="1"/>
  <c r="C544" i="2" s="1"/>
  <c r="K544" i="2" s="1"/>
  <c r="L543" i="2"/>
  <c r="I544" i="2" l="1"/>
  <c r="B544" i="2"/>
  <c r="F544" i="2"/>
  <c r="D544" i="2"/>
  <c r="E544" i="2"/>
  <c r="G544" i="2" l="1"/>
  <c r="J544" i="2"/>
  <c r="H544" i="2"/>
  <c r="C545" i="2" s="1"/>
  <c r="K545" i="2" s="1"/>
  <c r="L544" i="2"/>
  <c r="I545" i="2" l="1"/>
  <c r="D545" i="2"/>
  <c r="B545" i="2"/>
  <c r="F545" i="2" s="1"/>
  <c r="E545" i="2"/>
  <c r="J545" i="2" l="1"/>
  <c r="G545" i="2"/>
  <c r="H545" i="2" s="1"/>
  <c r="C546" i="2" s="1"/>
  <c r="K546" i="2" s="1"/>
  <c r="L545" i="2"/>
  <c r="I546" i="2" l="1"/>
  <c r="D546" i="2"/>
  <c r="B546" i="2"/>
  <c r="F546" i="2"/>
  <c r="E546" i="2"/>
  <c r="G546" i="2" l="1"/>
  <c r="J546" i="2"/>
  <c r="H546" i="2" l="1"/>
  <c r="C547" i="2" s="1"/>
  <c r="K547" i="2" s="1"/>
  <c r="L546" i="2"/>
  <c r="I547" i="2" l="1"/>
  <c r="D547" i="2"/>
  <c r="B547" i="2"/>
  <c r="F547" i="2"/>
  <c r="E547" i="2"/>
  <c r="J547" i="2" l="1"/>
  <c r="G547" i="2"/>
  <c r="H547" i="2" l="1"/>
  <c r="C548" i="2" s="1"/>
  <c r="K548" i="2" s="1"/>
  <c r="L547" i="2"/>
  <c r="I548" i="2" l="1"/>
  <c r="B548" i="2"/>
  <c r="F548" i="2" s="1"/>
  <c r="D548" i="2"/>
  <c r="E548" i="2"/>
  <c r="J548" i="2" l="1"/>
  <c r="G548" i="2"/>
  <c r="L548" i="2" l="1"/>
  <c r="H548" i="2"/>
  <c r="C549" i="2" s="1"/>
  <c r="K549" i="2" s="1"/>
  <c r="I549" i="2" l="1"/>
  <c r="D549" i="2"/>
  <c r="B549" i="2"/>
  <c r="F549" i="2"/>
  <c r="E549" i="2"/>
  <c r="J549" i="2" l="1"/>
  <c r="G549" i="2"/>
  <c r="H549" i="2" s="1"/>
  <c r="C550" i="2" s="1"/>
  <c r="K550" i="2" s="1"/>
  <c r="L549" i="2"/>
  <c r="I550" i="2" l="1"/>
  <c r="B550" i="2"/>
  <c r="F550" i="2"/>
  <c r="D550" i="2"/>
  <c r="E550" i="2"/>
  <c r="J550" i="2" l="1"/>
  <c r="G550" i="2"/>
  <c r="L550" i="2" l="1"/>
  <c r="H550" i="2"/>
  <c r="C551" i="2" s="1"/>
  <c r="K551" i="2" s="1"/>
  <c r="I551" i="2" l="1"/>
  <c r="D551" i="2"/>
  <c r="B551" i="2"/>
  <c r="F551" i="2"/>
  <c r="E551" i="2"/>
  <c r="J551" i="2" l="1"/>
  <c r="G551" i="2"/>
  <c r="H551" i="2" l="1"/>
  <c r="C552" i="2" s="1"/>
  <c r="K552" i="2" s="1"/>
  <c r="L551" i="2"/>
  <c r="I552" i="2" l="1"/>
  <c r="D552" i="2"/>
  <c r="B552" i="2"/>
  <c r="F552" i="2" s="1"/>
  <c r="E552" i="2"/>
  <c r="G552" i="2" l="1"/>
  <c r="J552" i="2"/>
  <c r="L552" i="2" l="1"/>
  <c r="H552" i="2"/>
  <c r="C553" i="2" s="1"/>
  <c r="K553" i="2" s="1"/>
  <c r="I553" i="2" l="1"/>
  <c r="D553" i="2"/>
  <c r="B553" i="2"/>
  <c r="F553" i="2"/>
  <c r="E553" i="2"/>
  <c r="J553" i="2" l="1"/>
  <c r="G553" i="2"/>
  <c r="H553" i="2" l="1"/>
  <c r="C554" i="2" s="1"/>
  <c r="K554" i="2" s="1"/>
  <c r="L553" i="2"/>
  <c r="I554" i="2" l="1"/>
  <c r="D554" i="2"/>
  <c r="B554" i="2"/>
  <c r="F554" i="2" s="1"/>
  <c r="E554" i="2"/>
  <c r="J554" i="2" l="1"/>
  <c r="G554" i="2"/>
  <c r="H554" i="2" s="1"/>
  <c r="C555" i="2" s="1"/>
  <c r="K555" i="2" s="1"/>
  <c r="L554" i="2"/>
  <c r="I555" i="2" l="1"/>
  <c r="D555" i="2"/>
  <c r="B555" i="2"/>
  <c r="F555" i="2"/>
  <c r="E555" i="2"/>
  <c r="G555" i="2" l="1"/>
  <c r="H555" i="2" s="1"/>
  <c r="C556" i="2" s="1"/>
  <c r="K556" i="2" s="1"/>
  <c r="J555" i="2"/>
  <c r="I556" i="2" l="1"/>
  <c r="D556" i="2"/>
  <c r="B556" i="2"/>
  <c r="F556" i="2" s="1"/>
  <c r="L555" i="2"/>
  <c r="E556" i="2"/>
  <c r="J556" i="2" l="1"/>
  <c r="G556" i="2"/>
  <c r="H556" i="2" s="1"/>
  <c r="C557" i="2" s="1"/>
  <c r="K557" i="2" s="1"/>
  <c r="L556" i="2"/>
  <c r="I557" i="2" l="1"/>
  <c r="D557" i="2"/>
  <c r="B557" i="2"/>
  <c r="F557" i="2" s="1"/>
  <c r="E557" i="2"/>
  <c r="J557" i="2" l="1"/>
  <c r="G557" i="2"/>
  <c r="H557" i="2" l="1"/>
  <c r="C558" i="2" s="1"/>
  <c r="K558" i="2" s="1"/>
  <c r="L557" i="2"/>
  <c r="I558" i="2" l="1"/>
  <c r="B558" i="2"/>
  <c r="F558" i="2" s="1"/>
  <c r="D558" i="2"/>
  <c r="E558" i="2"/>
  <c r="G558" i="2" l="1"/>
  <c r="J558" i="2"/>
  <c r="L558" i="2" l="1"/>
  <c r="H558" i="2"/>
  <c r="C559" i="2" s="1"/>
  <c r="K559" i="2" s="1"/>
  <c r="I559" i="2" l="1"/>
  <c r="D559" i="2"/>
  <c r="B559" i="2"/>
  <c r="F559" i="2"/>
  <c r="E559" i="2"/>
  <c r="J559" i="2" l="1"/>
  <c r="G559" i="2"/>
  <c r="H559" i="2" l="1"/>
  <c r="C560" i="2" s="1"/>
  <c r="K560" i="2" s="1"/>
  <c r="L559" i="2"/>
  <c r="I560" i="2" l="1"/>
  <c r="D560" i="2"/>
  <c r="B560" i="2"/>
  <c r="F560" i="2"/>
  <c r="E560" i="2"/>
  <c r="G560" i="2" l="1"/>
  <c r="J560" i="2"/>
  <c r="H560" i="2" l="1"/>
  <c r="C561" i="2" s="1"/>
  <c r="K561" i="2" s="1"/>
  <c r="L560" i="2"/>
  <c r="I561" i="2" l="1"/>
  <c r="D561" i="2"/>
  <c r="B561" i="2"/>
  <c r="F561" i="2"/>
  <c r="E561" i="2"/>
  <c r="J561" i="2" l="1"/>
  <c r="G561" i="2"/>
  <c r="H561" i="2" s="1"/>
  <c r="C562" i="2" s="1"/>
  <c r="K562" i="2" s="1"/>
  <c r="I562" i="2" l="1"/>
  <c r="D562" i="2"/>
  <c r="B562" i="2"/>
  <c r="F562" i="2" s="1"/>
  <c r="L561" i="2"/>
  <c r="E562" i="2"/>
  <c r="G562" i="2" l="1"/>
  <c r="H562" i="2" s="1"/>
  <c r="C563" i="2" s="1"/>
  <c r="K563" i="2" s="1"/>
  <c r="J562" i="2"/>
  <c r="L562" i="2"/>
  <c r="I563" i="2" l="1"/>
  <c r="D563" i="2"/>
  <c r="B563" i="2"/>
  <c r="F563" i="2"/>
  <c r="E563" i="2"/>
  <c r="G563" i="2" l="1"/>
  <c r="J563" i="2"/>
  <c r="H563" i="2" l="1"/>
  <c r="C564" i="2" s="1"/>
  <c r="K564" i="2" s="1"/>
  <c r="L563" i="2"/>
  <c r="I564" i="2" l="1"/>
  <c r="B564" i="2"/>
  <c r="F564" i="2" s="1"/>
  <c r="D564" i="2"/>
  <c r="E564" i="2"/>
  <c r="G564" i="2" l="1"/>
  <c r="J564" i="2"/>
  <c r="H564" i="2" l="1"/>
  <c r="C565" i="2" s="1"/>
  <c r="K565" i="2" s="1"/>
  <c r="L564" i="2"/>
  <c r="I565" i="2" l="1"/>
  <c r="D565" i="2"/>
  <c r="B565" i="2"/>
  <c r="F565" i="2"/>
  <c r="E565" i="2"/>
  <c r="J565" i="2" l="1"/>
  <c r="G565" i="2"/>
  <c r="H565" i="2" l="1"/>
  <c r="C566" i="2" s="1"/>
  <c r="K566" i="2" s="1"/>
  <c r="L565" i="2"/>
  <c r="I566" i="2" l="1"/>
  <c r="B566" i="2"/>
  <c r="F566" i="2" s="1"/>
  <c r="D566" i="2"/>
  <c r="E566" i="2"/>
  <c r="J566" i="2" l="1"/>
  <c r="G566" i="2"/>
  <c r="L566" i="2" l="1"/>
  <c r="H566" i="2"/>
  <c r="C567" i="2" s="1"/>
  <c r="K567" i="2" s="1"/>
  <c r="I567" i="2" l="1"/>
  <c r="D567" i="2"/>
  <c r="B567" i="2"/>
  <c r="F567" i="2" s="1"/>
  <c r="E567" i="2"/>
  <c r="G567" i="2" l="1"/>
  <c r="H567" i="2" s="1"/>
  <c r="C568" i="2" s="1"/>
  <c r="K568" i="2" s="1"/>
  <c r="J567" i="2"/>
  <c r="L567" i="2"/>
  <c r="I568" i="2" l="1"/>
  <c r="D568" i="2"/>
  <c r="B568" i="2"/>
  <c r="F568" i="2" s="1"/>
  <c r="E568" i="2"/>
  <c r="G568" i="2" l="1"/>
  <c r="H568" i="2" s="1"/>
  <c r="C569" i="2" s="1"/>
  <c r="K569" i="2" s="1"/>
  <c r="J568" i="2"/>
  <c r="L568" i="2"/>
  <c r="I569" i="2" l="1"/>
  <c r="D569" i="2"/>
  <c r="B569" i="2"/>
  <c r="F569" i="2" s="1"/>
  <c r="E569" i="2"/>
  <c r="J569" i="2" l="1"/>
  <c r="G569" i="2"/>
  <c r="H569" i="2"/>
  <c r="C570" i="2" s="1"/>
  <c r="K570" i="2" s="1"/>
  <c r="L569" i="2"/>
  <c r="I570" i="2" l="1"/>
  <c r="D570" i="2"/>
  <c r="B570" i="2"/>
  <c r="F570" i="2" s="1"/>
  <c r="E570" i="2"/>
  <c r="J570" i="2" l="1"/>
  <c r="G570" i="2"/>
  <c r="L570" i="2" s="1"/>
  <c r="H570" i="2"/>
  <c r="C571" i="2" s="1"/>
  <c r="K571" i="2" s="1"/>
  <c r="I571" i="2" l="1"/>
  <c r="D571" i="2"/>
  <c r="B571" i="2"/>
  <c r="F571" i="2"/>
  <c r="E571" i="2"/>
  <c r="G571" i="2" l="1"/>
  <c r="J571" i="2"/>
  <c r="H571" i="2" l="1"/>
  <c r="C572" i="2" s="1"/>
  <c r="K572" i="2" s="1"/>
  <c r="L571" i="2"/>
  <c r="I572" i="2" l="1"/>
  <c r="D572" i="2"/>
  <c r="B572" i="2"/>
  <c r="F572" i="2" s="1"/>
  <c r="E572" i="2"/>
  <c r="G572" i="2" l="1"/>
  <c r="L572" i="2" s="1"/>
  <c r="J572" i="2"/>
  <c r="H572" i="2"/>
  <c r="C573" i="2" s="1"/>
  <c r="K573" i="2" s="1"/>
  <c r="I573" i="2" l="1"/>
  <c r="D573" i="2"/>
  <c r="B573" i="2"/>
  <c r="F573" i="2"/>
  <c r="E573" i="2"/>
  <c r="G573" i="2" l="1"/>
  <c r="J573" i="2"/>
  <c r="H573" i="2" l="1"/>
  <c r="C574" i="2" s="1"/>
  <c r="K574" i="2" s="1"/>
  <c r="L573" i="2"/>
  <c r="I574" i="2" l="1"/>
  <c r="D574" i="2"/>
  <c r="B574" i="2"/>
  <c r="F574" i="2"/>
  <c r="E574" i="2"/>
  <c r="G574" i="2" l="1"/>
  <c r="J574" i="2"/>
  <c r="H574" i="2" l="1"/>
  <c r="C575" i="2" s="1"/>
  <c r="K575" i="2" s="1"/>
  <c r="L574" i="2"/>
  <c r="I575" i="2" l="1"/>
  <c r="D575" i="2"/>
  <c r="B575" i="2"/>
  <c r="F575" i="2"/>
  <c r="E575" i="2"/>
  <c r="J575" i="2" l="1"/>
  <c r="G575" i="2"/>
  <c r="H575" i="2" l="1"/>
  <c r="C576" i="2" s="1"/>
  <c r="K576" i="2" s="1"/>
  <c r="L575" i="2"/>
  <c r="I576" i="2" l="1"/>
  <c r="D576" i="2"/>
  <c r="B576" i="2"/>
  <c r="F576" i="2" s="1"/>
  <c r="E576" i="2"/>
  <c r="G576" i="2" l="1"/>
  <c r="H576" i="2" s="1"/>
  <c r="C577" i="2" s="1"/>
  <c r="K577" i="2" s="1"/>
  <c r="J576" i="2"/>
  <c r="L576" i="2"/>
  <c r="I577" i="2" l="1"/>
  <c r="D577" i="2"/>
  <c r="B577" i="2"/>
  <c r="F577" i="2"/>
  <c r="E577" i="2"/>
  <c r="J577" i="2" l="1"/>
  <c r="G577" i="2"/>
  <c r="L577" i="2" s="1"/>
  <c r="H577" i="2" l="1"/>
  <c r="C578" i="2" s="1"/>
  <c r="K578" i="2" s="1"/>
  <c r="I578" i="2" l="1"/>
  <c r="D578" i="2"/>
  <c r="B578" i="2"/>
  <c r="F578" i="2" s="1"/>
  <c r="E578" i="2"/>
  <c r="J578" i="2" l="1"/>
  <c r="G578" i="2"/>
  <c r="H578" i="2" s="1"/>
  <c r="C579" i="2" s="1"/>
  <c r="K579" i="2" s="1"/>
  <c r="L578" i="2"/>
  <c r="I579" i="2" l="1"/>
  <c r="D579" i="2"/>
  <c r="B579" i="2"/>
  <c r="F579" i="2"/>
  <c r="E579" i="2"/>
  <c r="G579" i="2" l="1"/>
  <c r="H579" i="2" s="1"/>
  <c r="C580" i="2" s="1"/>
  <c r="K580" i="2" s="1"/>
  <c r="J579" i="2"/>
  <c r="I580" i="2" l="1"/>
  <c r="B580" i="2"/>
  <c r="F580" i="2" s="1"/>
  <c r="D580" i="2"/>
  <c r="L579" i="2"/>
  <c r="E580" i="2"/>
  <c r="G580" i="2" l="1"/>
  <c r="J580" i="2"/>
  <c r="L580" i="2" l="1"/>
  <c r="H580" i="2"/>
  <c r="C581" i="2" s="1"/>
  <c r="K581" i="2" s="1"/>
  <c r="I581" i="2" l="1"/>
  <c r="D581" i="2"/>
  <c r="B581" i="2"/>
  <c r="F581" i="2"/>
  <c r="E581" i="2"/>
  <c r="J581" i="2" l="1"/>
  <c r="G581" i="2"/>
  <c r="H581" i="2" l="1"/>
  <c r="C582" i="2" s="1"/>
  <c r="K582" i="2" s="1"/>
  <c r="L581" i="2"/>
  <c r="I582" i="2" l="1"/>
  <c r="B582" i="2"/>
  <c r="F582" i="2"/>
  <c r="D582" i="2"/>
  <c r="E582" i="2"/>
  <c r="G582" i="2" l="1"/>
  <c r="L582" i="2" s="1"/>
  <c r="J582" i="2"/>
  <c r="H582" i="2"/>
  <c r="C583" i="2" s="1"/>
  <c r="K583" i="2" s="1"/>
  <c r="I583" i="2" l="1"/>
  <c r="D583" i="2"/>
  <c r="B583" i="2"/>
  <c r="F583" i="2"/>
  <c r="E583" i="2"/>
  <c r="G583" i="2" l="1"/>
  <c r="J583" i="2"/>
  <c r="H583" i="2" l="1"/>
  <c r="C584" i="2" s="1"/>
  <c r="K584" i="2" s="1"/>
  <c r="L583" i="2"/>
  <c r="I584" i="2" l="1"/>
  <c r="B584" i="2"/>
  <c r="F584" i="2" s="1"/>
  <c r="D584" i="2"/>
  <c r="E584" i="2"/>
  <c r="J584" i="2" l="1"/>
  <c r="G584" i="2"/>
  <c r="L584" i="2" l="1"/>
  <c r="H584" i="2"/>
  <c r="C585" i="2" s="1"/>
  <c r="K585" i="2" s="1"/>
  <c r="I585" i="2" l="1"/>
  <c r="D585" i="2"/>
  <c r="B585" i="2"/>
  <c r="F585" i="2"/>
  <c r="E585" i="2"/>
  <c r="G585" i="2" l="1"/>
  <c r="J585" i="2"/>
  <c r="H585" i="2" l="1"/>
  <c r="C586" i="2" s="1"/>
  <c r="K586" i="2" s="1"/>
  <c r="L585" i="2"/>
  <c r="I586" i="2" l="1"/>
  <c r="B586" i="2"/>
  <c r="D586" i="2"/>
  <c r="F586" i="2"/>
  <c r="E586" i="2"/>
  <c r="J586" i="2" l="1"/>
  <c r="G586" i="2"/>
  <c r="L586" i="2"/>
  <c r="H586" i="2"/>
  <c r="C587" i="2" s="1"/>
  <c r="K587" i="2" s="1"/>
  <c r="I587" i="2" l="1"/>
  <c r="B587" i="2"/>
  <c r="D587" i="2"/>
  <c r="F587" i="2" s="1"/>
  <c r="E587" i="2"/>
  <c r="G587" i="2" l="1"/>
  <c r="J587" i="2"/>
  <c r="L587" i="2" l="1"/>
  <c r="H587" i="2"/>
  <c r="C588" i="2" s="1"/>
  <c r="K588" i="2" s="1"/>
  <c r="I588" i="2" l="1"/>
  <c r="D588" i="2"/>
  <c r="F588" i="2"/>
  <c r="B588" i="2"/>
  <c r="E588" i="2"/>
  <c r="J588" i="2" l="1"/>
  <c r="G588" i="2"/>
  <c r="H588" i="2" s="1"/>
  <c r="C589" i="2" s="1"/>
  <c r="K589" i="2" s="1"/>
  <c r="L588" i="2"/>
  <c r="I589" i="2" l="1"/>
  <c r="D589" i="2"/>
  <c r="B589" i="2"/>
  <c r="F589" i="2"/>
  <c r="E589" i="2"/>
  <c r="G589" i="2" l="1"/>
  <c r="J589" i="2"/>
  <c r="H589" i="2" l="1"/>
  <c r="C590" i="2" s="1"/>
  <c r="K590" i="2" s="1"/>
  <c r="L589" i="2"/>
  <c r="I590" i="2" l="1"/>
  <c r="D590" i="2"/>
  <c r="B590" i="2"/>
  <c r="F590" i="2" s="1"/>
  <c r="E590" i="2"/>
  <c r="G590" i="2" l="1"/>
  <c r="H590" i="2" s="1"/>
  <c r="C591" i="2" s="1"/>
  <c r="K591" i="2" s="1"/>
  <c r="J590" i="2"/>
  <c r="L590" i="2"/>
  <c r="I591" i="2" l="1"/>
  <c r="D591" i="2"/>
  <c r="B591" i="2"/>
  <c r="F591" i="2"/>
  <c r="E591" i="2"/>
  <c r="J591" i="2" l="1"/>
  <c r="G591" i="2"/>
  <c r="H591" i="2" l="1"/>
  <c r="C592" i="2" s="1"/>
  <c r="K592" i="2" s="1"/>
  <c r="L591" i="2"/>
  <c r="I592" i="2" l="1"/>
  <c r="D592" i="2"/>
  <c r="B592" i="2"/>
  <c r="F592" i="2" s="1"/>
  <c r="E592" i="2"/>
  <c r="J592" i="2" l="1"/>
  <c r="G592" i="2"/>
  <c r="H592" i="2" s="1"/>
  <c r="C593" i="2" s="1"/>
  <c r="K593" i="2" s="1"/>
  <c r="L592" i="2"/>
  <c r="I593" i="2" l="1"/>
  <c r="D593" i="2"/>
  <c r="B593" i="2"/>
  <c r="F593" i="2" s="1"/>
  <c r="E593" i="2"/>
  <c r="J593" i="2" l="1"/>
  <c r="G593" i="2"/>
  <c r="H593" i="2" s="1"/>
  <c r="C594" i="2" s="1"/>
  <c r="K594" i="2" s="1"/>
  <c r="L593" i="2"/>
  <c r="I594" i="2" l="1"/>
  <c r="D594" i="2"/>
  <c r="B594" i="2"/>
  <c r="F594" i="2" s="1"/>
  <c r="E594" i="2"/>
  <c r="J594" i="2" l="1"/>
  <c r="G594" i="2"/>
  <c r="H594" i="2" s="1"/>
  <c r="C595" i="2" s="1"/>
  <c r="K595" i="2" s="1"/>
  <c r="L594" i="2"/>
  <c r="I595" i="2" l="1"/>
  <c r="D595" i="2"/>
  <c r="B595" i="2"/>
  <c r="F595" i="2" s="1"/>
  <c r="E595" i="2"/>
  <c r="G595" i="2" l="1"/>
  <c r="J595" i="2"/>
  <c r="L595" i="2" l="1"/>
  <c r="H595" i="2"/>
  <c r="C596" i="2" s="1"/>
  <c r="K596" i="2" s="1"/>
  <c r="I596" i="2" l="1"/>
  <c r="B596" i="2"/>
  <c r="F596" i="2"/>
  <c r="D596" i="2"/>
  <c r="E596" i="2"/>
  <c r="G596" i="2" l="1"/>
  <c r="H596" i="2" s="1"/>
  <c r="C597" i="2" s="1"/>
  <c r="K597" i="2" s="1"/>
  <c r="J596" i="2"/>
  <c r="L596" i="2"/>
  <c r="I597" i="2" l="1"/>
  <c r="D597" i="2"/>
  <c r="B597" i="2"/>
  <c r="F597" i="2"/>
  <c r="E597" i="2"/>
  <c r="G597" i="2" l="1"/>
  <c r="J597" i="2"/>
  <c r="H597" i="2" l="1"/>
  <c r="C598" i="2" s="1"/>
  <c r="K598" i="2" s="1"/>
  <c r="L597" i="2"/>
  <c r="I598" i="2" l="1"/>
  <c r="B598" i="2"/>
  <c r="D598" i="2"/>
  <c r="F598" i="2"/>
  <c r="E598" i="2"/>
  <c r="J598" i="2" l="1"/>
  <c r="G598" i="2"/>
  <c r="L598" i="2" s="1"/>
  <c r="H598" i="2"/>
  <c r="C599" i="2" s="1"/>
  <c r="K599" i="2" s="1"/>
  <c r="I599" i="2" l="1"/>
  <c r="D599" i="2"/>
  <c r="B599" i="2"/>
  <c r="F599" i="2"/>
  <c r="E599" i="2"/>
  <c r="J599" i="2" l="1"/>
  <c r="G599" i="2"/>
  <c r="H599" i="2" s="1"/>
  <c r="C600" i="2" s="1"/>
  <c r="K600" i="2" s="1"/>
  <c r="I600" i="2" l="1"/>
  <c r="D600" i="2"/>
  <c r="B600" i="2"/>
  <c r="F600" i="2" s="1"/>
  <c r="L599" i="2"/>
  <c r="E600" i="2"/>
  <c r="G600" i="2" l="1"/>
  <c r="H600" i="2" s="1"/>
  <c r="C601" i="2" s="1"/>
  <c r="K601" i="2" s="1"/>
  <c r="J600" i="2"/>
  <c r="L600" i="2"/>
  <c r="I601" i="2" l="1"/>
  <c r="B601" i="2"/>
  <c r="D601" i="2"/>
  <c r="F601" i="2"/>
  <c r="E601" i="2"/>
  <c r="J601" i="2" l="1"/>
  <c r="G601" i="2"/>
  <c r="H601" i="2" l="1"/>
  <c r="C602" i="2" s="1"/>
  <c r="K602" i="2" s="1"/>
  <c r="L601" i="2"/>
  <c r="I602" i="2" l="1"/>
  <c r="B602" i="2"/>
  <c r="D602" i="2"/>
  <c r="F602" i="2"/>
  <c r="E602" i="2"/>
  <c r="G602" i="2" l="1"/>
  <c r="J602" i="2"/>
  <c r="L602" i="2" l="1"/>
  <c r="H602" i="2"/>
  <c r="C603" i="2" s="1"/>
  <c r="K603" i="2" s="1"/>
  <c r="I603" i="2" l="1"/>
  <c r="B603" i="2"/>
  <c r="D603" i="2"/>
  <c r="F603" i="2"/>
  <c r="E603" i="2"/>
  <c r="G603" i="2" l="1"/>
  <c r="J603" i="2"/>
  <c r="L603" i="2" l="1"/>
  <c r="H603" i="2"/>
  <c r="C604" i="2" s="1"/>
  <c r="K604" i="2" s="1"/>
  <c r="I604" i="2" l="1"/>
  <c r="D604" i="2"/>
  <c r="B604" i="2"/>
  <c r="F604" i="2" s="1"/>
  <c r="E604" i="2"/>
  <c r="G604" i="2" l="1"/>
  <c r="J604" i="2"/>
  <c r="L604" i="2" l="1"/>
  <c r="H604" i="2"/>
  <c r="C605" i="2" s="1"/>
  <c r="K605" i="2" s="1"/>
  <c r="I605" i="2" l="1"/>
  <c r="B605" i="2"/>
  <c r="D605" i="2"/>
  <c r="F605" i="2"/>
  <c r="E605" i="2"/>
  <c r="G605" i="2" l="1"/>
  <c r="H605" i="2" s="1"/>
  <c r="C606" i="2" s="1"/>
  <c r="K606" i="2" s="1"/>
  <c r="J605" i="2"/>
  <c r="L605" i="2"/>
  <c r="I606" i="2" l="1"/>
  <c r="B606" i="2"/>
  <c r="F606" i="2"/>
  <c r="D606" i="2"/>
  <c r="E606" i="2"/>
  <c r="J606" i="2" l="1"/>
  <c r="G606" i="2"/>
  <c r="H606" i="2" l="1"/>
  <c r="C607" i="2" s="1"/>
  <c r="K607" i="2" s="1"/>
  <c r="L606" i="2"/>
  <c r="I607" i="2" l="1"/>
  <c r="D607" i="2"/>
  <c r="B607" i="2"/>
  <c r="F607" i="2" s="1"/>
  <c r="E607" i="2"/>
  <c r="J607" i="2" l="1"/>
  <c r="G607" i="2"/>
  <c r="H607" i="2" l="1"/>
  <c r="C608" i="2" s="1"/>
  <c r="K608" i="2" s="1"/>
  <c r="L607" i="2"/>
  <c r="I608" i="2" l="1"/>
  <c r="D608" i="2"/>
  <c r="B608" i="2"/>
  <c r="F608" i="2" s="1"/>
  <c r="E608" i="2"/>
  <c r="J608" i="2" l="1"/>
  <c r="G608" i="2"/>
  <c r="H608" i="2" l="1"/>
  <c r="C609" i="2" s="1"/>
  <c r="K609" i="2" s="1"/>
  <c r="L608" i="2"/>
  <c r="I609" i="2" l="1"/>
  <c r="B609" i="2"/>
  <c r="D609" i="2"/>
  <c r="F609" i="2"/>
  <c r="E609" i="2"/>
  <c r="J609" i="2" l="1"/>
  <c r="G609" i="2"/>
  <c r="H609" i="2" l="1"/>
  <c r="C610" i="2" s="1"/>
  <c r="K610" i="2" s="1"/>
  <c r="L609" i="2"/>
  <c r="I610" i="2" l="1"/>
  <c r="B610" i="2"/>
  <c r="F610" i="2"/>
  <c r="D610" i="2"/>
  <c r="E610" i="2"/>
  <c r="G610" i="2" l="1"/>
  <c r="J610" i="2"/>
  <c r="L610" i="2" l="1"/>
  <c r="H610" i="2"/>
  <c r="C611" i="2" s="1"/>
  <c r="K611" i="2" s="1"/>
  <c r="I611" i="2" l="1"/>
  <c r="D611" i="2"/>
  <c r="B611" i="2"/>
  <c r="F611" i="2"/>
  <c r="E611" i="2"/>
  <c r="J611" i="2" l="1"/>
  <c r="G611" i="2"/>
  <c r="L611" i="2" s="1"/>
  <c r="H611" i="2" l="1"/>
  <c r="C612" i="2" s="1"/>
  <c r="K612" i="2" s="1"/>
  <c r="I612" i="2" l="1"/>
  <c r="D612" i="2"/>
  <c r="B612" i="2"/>
  <c r="F612" i="2" s="1"/>
  <c r="E612" i="2"/>
  <c r="J612" i="2" l="1"/>
  <c r="G612" i="2"/>
  <c r="H612" i="2" l="1"/>
  <c r="C613" i="2" s="1"/>
  <c r="K613" i="2" s="1"/>
  <c r="L612" i="2"/>
  <c r="I613" i="2" l="1"/>
  <c r="D613" i="2"/>
  <c r="B613" i="2"/>
  <c r="F613" i="2"/>
  <c r="E613" i="2"/>
  <c r="J613" i="2" l="1"/>
  <c r="G613" i="2"/>
  <c r="L613" i="2" l="1"/>
  <c r="H613" i="2"/>
  <c r="C614" i="2" s="1"/>
  <c r="K614" i="2" s="1"/>
  <c r="I614" i="2" l="1"/>
  <c r="B614" i="2"/>
  <c r="F614" i="2" s="1"/>
  <c r="D614" i="2"/>
  <c r="E614" i="2"/>
  <c r="J614" i="2" l="1"/>
  <c r="G614" i="2"/>
  <c r="L614" i="2" s="1"/>
  <c r="H614" i="2"/>
  <c r="C615" i="2" s="1"/>
  <c r="K615" i="2" s="1"/>
  <c r="I615" i="2" l="1"/>
  <c r="B615" i="2"/>
  <c r="F615" i="2" s="1"/>
  <c r="D615" i="2"/>
  <c r="E615" i="2"/>
  <c r="G615" i="2" l="1"/>
  <c r="J615" i="2"/>
  <c r="H615" i="2" l="1"/>
  <c r="C616" i="2" s="1"/>
  <c r="K616" i="2" s="1"/>
  <c r="L615" i="2"/>
  <c r="I616" i="2" l="1"/>
  <c r="D616" i="2"/>
  <c r="B616" i="2"/>
  <c r="F616" i="2" s="1"/>
  <c r="E616" i="2"/>
  <c r="G616" i="2" l="1"/>
  <c r="J616" i="2"/>
  <c r="L616" i="2" l="1"/>
  <c r="H616" i="2"/>
  <c r="C617" i="2" s="1"/>
  <c r="K617" i="2" s="1"/>
  <c r="I617" i="2" l="1"/>
  <c r="D617" i="2"/>
  <c r="B617" i="2"/>
  <c r="F617" i="2" s="1"/>
  <c r="E617" i="2"/>
  <c r="J617" i="2" l="1"/>
  <c r="G617" i="2"/>
  <c r="L617" i="2" l="1"/>
  <c r="H617" i="2"/>
  <c r="C618" i="2" s="1"/>
  <c r="K618" i="2" s="1"/>
  <c r="I618" i="2" l="1"/>
  <c r="B618" i="2"/>
  <c r="F618" i="2"/>
  <c r="D618" i="2"/>
  <c r="E618" i="2"/>
  <c r="J618" i="2" l="1"/>
  <c r="G618" i="2"/>
  <c r="H618" i="2" s="1"/>
  <c r="C619" i="2" s="1"/>
  <c r="K619" i="2" s="1"/>
  <c r="L618" i="2"/>
  <c r="I619" i="2" l="1"/>
  <c r="B619" i="2"/>
  <c r="F619" i="2"/>
  <c r="D619" i="2"/>
  <c r="E619" i="2"/>
  <c r="J619" i="2" l="1"/>
  <c r="G619" i="2"/>
  <c r="H619" i="2" s="1"/>
  <c r="C620" i="2" s="1"/>
  <c r="K620" i="2" s="1"/>
  <c r="L619" i="2"/>
  <c r="I620" i="2" l="1"/>
  <c r="B620" i="2"/>
  <c r="F620" i="2"/>
  <c r="D620" i="2"/>
  <c r="E620" i="2"/>
  <c r="J620" i="2" l="1"/>
  <c r="G620" i="2"/>
  <c r="H620" i="2" l="1"/>
  <c r="C621" i="2" s="1"/>
  <c r="K621" i="2" s="1"/>
  <c r="L620" i="2"/>
  <c r="I621" i="2" l="1"/>
  <c r="B621" i="2"/>
  <c r="F621" i="2"/>
  <c r="D621" i="2"/>
  <c r="E621" i="2"/>
  <c r="J621" i="2" l="1"/>
  <c r="G621" i="2"/>
  <c r="H621" i="2" l="1"/>
  <c r="C622" i="2" s="1"/>
  <c r="K622" i="2" s="1"/>
  <c r="L621" i="2"/>
  <c r="I622" i="2" l="1"/>
  <c r="D622" i="2"/>
  <c r="B622" i="2"/>
  <c r="F622" i="2" s="1"/>
  <c r="E622" i="2"/>
  <c r="G622" i="2" l="1"/>
  <c r="J622" i="2"/>
  <c r="H622" i="2" l="1"/>
  <c r="C623" i="2" s="1"/>
  <c r="K623" i="2" s="1"/>
  <c r="L622" i="2"/>
  <c r="I623" i="2" l="1"/>
  <c r="B623" i="2"/>
  <c r="F623" i="2"/>
  <c r="D623" i="2"/>
  <c r="E623" i="2"/>
  <c r="J623" i="2" l="1"/>
  <c r="G623" i="2"/>
  <c r="H623" i="2" s="1"/>
  <c r="C624" i="2" s="1"/>
  <c r="K624" i="2" s="1"/>
  <c r="I624" i="2" l="1"/>
  <c r="D624" i="2"/>
  <c r="B624" i="2"/>
  <c r="F624" i="2" s="1"/>
  <c r="L623" i="2"/>
  <c r="E624" i="2"/>
  <c r="J624" i="2" l="1"/>
  <c r="G624" i="2"/>
  <c r="H624" i="2" l="1"/>
  <c r="C625" i="2" s="1"/>
  <c r="K625" i="2" s="1"/>
  <c r="L624" i="2"/>
  <c r="I625" i="2" l="1"/>
  <c r="D625" i="2"/>
  <c r="B625" i="2"/>
  <c r="F625" i="2"/>
  <c r="E625" i="2"/>
  <c r="J625" i="2" l="1"/>
  <c r="G625" i="2"/>
  <c r="L625" i="2"/>
  <c r="H625" i="2"/>
  <c r="C626" i="2" s="1"/>
  <c r="K626" i="2" s="1"/>
  <c r="I626" i="2" l="1"/>
  <c r="B626" i="2"/>
  <c r="D626" i="2"/>
  <c r="F626" i="2"/>
  <c r="E626" i="2"/>
  <c r="J626" i="2" l="1"/>
  <c r="G626" i="2"/>
  <c r="H626" i="2" l="1"/>
  <c r="C627" i="2" s="1"/>
  <c r="K627" i="2" s="1"/>
  <c r="L626" i="2"/>
  <c r="I627" i="2" l="1"/>
  <c r="D627" i="2"/>
  <c r="B627" i="2"/>
  <c r="F627" i="2" s="1"/>
  <c r="E627" i="2"/>
  <c r="G627" i="2" l="1"/>
  <c r="J627" i="2"/>
  <c r="H627" i="2" l="1"/>
  <c r="C628" i="2" s="1"/>
  <c r="K628" i="2" s="1"/>
  <c r="L627" i="2"/>
  <c r="I628" i="2" l="1"/>
  <c r="D628" i="2"/>
  <c r="B628" i="2"/>
  <c r="F628" i="2" s="1"/>
  <c r="E628" i="2"/>
  <c r="J628" i="2" l="1"/>
  <c r="G628" i="2"/>
  <c r="H628" i="2" l="1"/>
  <c r="C629" i="2" s="1"/>
  <c r="K629" i="2" s="1"/>
  <c r="L628" i="2"/>
  <c r="I629" i="2" l="1"/>
  <c r="B629" i="2"/>
  <c r="D629" i="2"/>
  <c r="F629" i="2" s="1"/>
  <c r="E629" i="2"/>
  <c r="J629" i="2" l="1"/>
  <c r="G629" i="2"/>
  <c r="L629" i="2" l="1"/>
  <c r="H629" i="2"/>
  <c r="C630" i="2" s="1"/>
  <c r="K630" i="2" s="1"/>
  <c r="I630" i="2" l="1"/>
  <c r="D630" i="2"/>
  <c r="B630" i="2"/>
  <c r="F630" i="2"/>
  <c r="E630" i="2"/>
  <c r="G630" i="2" l="1"/>
  <c r="J630" i="2"/>
  <c r="L630" i="2" l="1"/>
  <c r="H630" i="2"/>
  <c r="C631" i="2" s="1"/>
  <c r="K631" i="2" s="1"/>
  <c r="I631" i="2" l="1"/>
  <c r="D631" i="2"/>
  <c r="B631" i="2"/>
  <c r="F631" i="2" s="1"/>
  <c r="E631" i="2"/>
  <c r="G631" i="2" l="1"/>
  <c r="J631" i="2"/>
  <c r="L631" i="2" l="1"/>
  <c r="H631" i="2"/>
  <c r="C632" i="2" s="1"/>
  <c r="K632" i="2" s="1"/>
  <c r="I632" i="2" l="1"/>
  <c r="D632" i="2"/>
  <c r="B632" i="2"/>
  <c r="F632" i="2" s="1"/>
  <c r="E632" i="2"/>
  <c r="J632" i="2" l="1"/>
  <c r="G632" i="2"/>
  <c r="L632" i="2" s="1"/>
  <c r="H632" i="2"/>
  <c r="C633" i="2" s="1"/>
  <c r="K633" i="2" s="1"/>
  <c r="I633" i="2" l="1"/>
  <c r="D633" i="2"/>
  <c r="B633" i="2"/>
  <c r="F633" i="2" s="1"/>
  <c r="E633" i="2"/>
  <c r="G633" i="2" l="1"/>
  <c r="H633" i="2" s="1"/>
  <c r="C634" i="2" s="1"/>
  <c r="K634" i="2" s="1"/>
  <c r="J633" i="2"/>
  <c r="L633" i="2"/>
  <c r="I634" i="2" l="1"/>
  <c r="D634" i="2"/>
  <c r="B634" i="2"/>
  <c r="F634" i="2" s="1"/>
  <c r="E634" i="2"/>
  <c r="G634" i="2" l="1"/>
  <c r="J634" i="2"/>
  <c r="L634" i="2" l="1"/>
  <c r="H634" i="2"/>
  <c r="C635" i="2" s="1"/>
  <c r="K635" i="2" s="1"/>
  <c r="I635" i="2" l="1"/>
  <c r="D635" i="2"/>
  <c r="B635" i="2"/>
  <c r="F635" i="2" s="1"/>
  <c r="E635" i="2"/>
  <c r="J635" i="2" l="1"/>
  <c r="G635" i="2"/>
  <c r="H635" i="2" l="1"/>
  <c r="C636" i="2" s="1"/>
  <c r="K636" i="2" s="1"/>
  <c r="L635" i="2"/>
  <c r="I636" i="2" l="1"/>
  <c r="B636" i="2"/>
  <c r="F636" i="2" s="1"/>
  <c r="D636" i="2"/>
  <c r="E636" i="2"/>
  <c r="J636" i="2" l="1"/>
  <c r="G636" i="2"/>
  <c r="L636" i="2" l="1"/>
  <c r="H636" i="2"/>
  <c r="C637" i="2" s="1"/>
  <c r="K637" i="2" s="1"/>
  <c r="I637" i="2" l="1"/>
  <c r="B637" i="2"/>
  <c r="F637" i="2" s="1"/>
  <c r="D637" i="2"/>
  <c r="E637" i="2"/>
  <c r="J637" i="2" l="1"/>
  <c r="G637" i="2"/>
  <c r="L637" i="2" l="1"/>
  <c r="H637" i="2"/>
  <c r="C638" i="2" s="1"/>
  <c r="K638" i="2" s="1"/>
  <c r="I638" i="2" l="1"/>
  <c r="D638" i="2"/>
  <c r="B638" i="2"/>
  <c r="F638" i="2" s="1"/>
  <c r="E638" i="2"/>
  <c r="J638" i="2" l="1"/>
  <c r="G638" i="2"/>
  <c r="H638" i="2" l="1"/>
  <c r="C639" i="2" s="1"/>
  <c r="K639" i="2" s="1"/>
  <c r="L638" i="2"/>
  <c r="I639" i="2" l="1"/>
  <c r="D639" i="2"/>
  <c r="B639" i="2"/>
  <c r="F639" i="2"/>
  <c r="E639" i="2"/>
  <c r="J639" i="2" l="1"/>
  <c r="G639" i="2"/>
  <c r="H639" i="2" l="1"/>
  <c r="C640" i="2" s="1"/>
  <c r="K640" i="2" s="1"/>
  <c r="L639" i="2"/>
  <c r="I640" i="2" l="1"/>
  <c r="B640" i="2"/>
  <c r="D640" i="2"/>
  <c r="F640" i="2"/>
  <c r="E640" i="2"/>
  <c r="J640" i="2" l="1"/>
  <c r="G640" i="2"/>
  <c r="H640" i="2" l="1"/>
  <c r="C641" i="2" s="1"/>
  <c r="K641" i="2" s="1"/>
  <c r="L640" i="2"/>
  <c r="I641" i="2" l="1"/>
  <c r="D641" i="2"/>
  <c r="B641" i="2"/>
  <c r="F641" i="2" s="1"/>
  <c r="E641" i="2"/>
  <c r="G641" i="2" l="1"/>
  <c r="J641" i="2"/>
  <c r="H641" i="2" l="1"/>
  <c r="C642" i="2" s="1"/>
  <c r="K642" i="2" s="1"/>
  <c r="L641" i="2"/>
  <c r="I642" i="2" l="1"/>
  <c r="D642" i="2"/>
  <c r="B642" i="2"/>
  <c r="F642" i="2" s="1"/>
  <c r="E642" i="2"/>
  <c r="J642" i="2" l="1"/>
  <c r="G642" i="2"/>
  <c r="L642" i="2" l="1"/>
  <c r="H642" i="2"/>
  <c r="C643" i="2" s="1"/>
  <c r="K643" i="2" s="1"/>
  <c r="I643" i="2" l="1"/>
  <c r="B643" i="2"/>
  <c r="F643" i="2"/>
  <c r="D643" i="2"/>
  <c r="E643" i="2"/>
  <c r="J643" i="2" l="1"/>
  <c r="G643" i="2"/>
  <c r="L643" i="2"/>
  <c r="H643" i="2"/>
  <c r="C644" i="2" s="1"/>
  <c r="K644" i="2" s="1"/>
  <c r="I644" i="2" l="1"/>
  <c r="D644" i="2"/>
  <c r="B644" i="2"/>
  <c r="F644" i="2" s="1"/>
  <c r="E644" i="2"/>
  <c r="J644" i="2" l="1"/>
  <c r="G644" i="2"/>
  <c r="L644" i="2" l="1"/>
  <c r="H644" i="2"/>
  <c r="C645" i="2" s="1"/>
  <c r="K645" i="2" s="1"/>
  <c r="I645" i="2" l="1"/>
  <c r="B645" i="2"/>
  <c r="D645" i="2"/>
  <c r="F645" i="2"/>
  <c r="E645" i="2"/>
  <c r="J645" i="2" l="1"/>
  <c r="G645" i="2"/>
  <c r="H645" i="2"/>
  <c r="C646" i="2" s="1"/>
  <c r="K646" i="2" s="1"/>
  <c r="L645" i="2"/>
  <c r="I646" i="2" l="1"/>
  <c r="B646" i="2"/>
  <c r="F646" i="2"/>
  <c r="D646" i="2"/>
  <c r="E646" i="2"/>
  <c r="J646" i="2" l="1"/>
  <c r="G646" i="2"/>
  <c r="L646" i="2" l="1"/>
  <c r="H646" i="2"/>
  <c r="C647" i="2" s="1"/>
  <c r="K647" i="2" s="1"/>
  <c r="I647" i="2" l="1"/>
  <c r="B647" i="2"/>
  <c r="D647" i="2"/>
  <c r="F647" i="2" s="1"/>
  <c r="E647" i="2"/>
  <c r="J647" i="2" l="1"/>
  <c r="G647" i="2"/>
  <c r="H647" i="2" l="1"/>
  <c r="C648" i="2" s="1"/>
  <c r="K648" i="2" s="1"/>
  <c r="L647" i="2"/>
  <c r="I648" i="2" l="1"/>
  <c r="D648" i="2"/>
  <c r="B648" i="2"/>
  <c r="F648" i="2"/>
  <c r="E648" i="2"/>
  <c r="G648" i="2" l="1"/>
  <c r="J648" i="2"/>
  <c r="L648" i="2" l="1"/>
  <c r="H648" i="2"/>
  <c r="C649" i="2" s="1"/>
  <c r="K649" i="2" s="1"/>
  <c r="I649" i="2" l="1"/>
  <c r="B649" i="2"/>
  <c r="F649" i="2"/>
  <c r="D649" i="2"/>
  <c r="E649" i="2"/>
  <c r="J649" i="2" l="1"/>
  <c r="G649" i="2"/>
  <c r="H649" i="2" s="1"/>
  <c r="C650" i="2" s="1"/>
  <c r="K650" i="2" s="1"/>
  <c r="L649" i="2"/>
  <c r="I650" i="2" l="1"/>
  <c r="D650" i="2"/>
  <c r="B650" i="2"/>
  <c r="F650" i="2"/>
  <c r="E650" i="2"/>
  <c r="G650" i="2" l="1"/>
  <c r="J650" i="2"/>
  <c r="H650" i="2" l="1"/>
  <c r="C651" i="2" s="1"/>
  <c r="K651" i="2" s="1"/>
  <c r="L650" i="2"/>
  <c r="I651" i="2" l="1"/>
  <c r="B651" i="2"/>
  <c r="F651" i="2"/>
  <c r="D651" i="2"/>
  <c r="E651" i="2"/>
  <c r="G651" i="2" l="1"/>
  <c r="J651" i="2"/>
  <c r="L651" i="2" l="1"/>
  <c r="H651" i="2"/>
  <c r="C652" i="2" s="1"/>
  <c r="K652" i="2" s="1"/>
  <c r="I652" i="2" l="1"/>
  <c r="D652" i="2"/>
  <c r="B652" i="2"/>
  <c r="F652" i="2" s="1"/>
  <c r="E652" i="2"/>
  <c r="J652" i="2" l="1"/>
  <c r="G652" i="2"/>
  <c r="H652" i="2" l="1"/>
  <c r="C653" i="2" s="1"/>
  <c r="K653" i="2" s="1"/>
  <c r="L652" i="2"/>
  <c r="I653" i="2" l="1"/>
  <c r="B653" i="2"/>
  <c r="D653" i="2"/>
  <c r="F653" i="2" s="1"/>
  <c r="E653" i="2"/>
  <c r="J653" i="2" l="1"/>
  <c r="G653" i="2"/>
  <c r="H653" i="2" l="1"/>
  <c r="C654" i="2" s="1"/>
  <c r="K654" i="2" s="1"/>
  <c r="L653" i="2"/>
  <c r="I654" i="2" l="1"/>
  <c r="D654" i="2"/>
  <c r="F654" i="2" s="1"/>
  <c r="B654" i="2"/>
  <c r="E654" i="2"/>
  <c r="G654" i="2" l="1"/>
  <c r="J654" i="2"/>
  <c r="H654" i="2" l="1"/>
  <c r="C655" i="2" s="1"/>
  <c r="K655" i="2" s="1"/>
  <c r="L654" i="2"/>
  <c r="I655" i="2" l="1"/>
  <c r="D655" i="2"/>
  <c r="B655" i="2"/>
  <c r="F655" i="2" s="1"/>
  <c r="E655" i="2"/>
  <c r="G655" i="2" l="1"/>
  <c r="J655" i="2"/>
  <c r="H655" i="2" l="1"/>
  <c r="C656" i="2" s="1"/>
  <c r="K656" i="2" s="1"/>
  <c r="L655" i="2"/>
  <c r="I656" i="2" l="1"/>
  <c r="D656" i="2"/>
  <c r="B656" i="2"/>
  <c r="F656" i="2"/>
  <c r="E656" i="2"/>
  <c r="J656" i="2" l="1"/>
  <c r="G656" i="2"/>
  <c r="H656" i="2" l="1"/>
  <c r="C657" i="2" s="1"/>
  <c r="K657" i="2" s="1"/>
  <c r="L656" i="2"/>
  <c r="I657" i="2" l="1"/>
  <c r="D657" i="2"/>
  <c r="B657" i="2"/>
  <c r="F657" i="2" s="1"/>
  <c r="E657" i="2"/>
  <c r="J657" i="2" l="1"/>
  <c r="G657" i="2"/>
  <c r="L657" i="2" s="1"/>
  <c r="H657" i="2" l="1"/>
  <c r="C658" i="2" s="1"/>
  <c r="K658" i="2" s="1"/>
  <c r="I658" i="2" l="1"/>
  <c r="D658" i="2"/>
  <c r="B658" i="2"/>
  <c r="F658" i="2" s="1"/>
  <c r="E658" i="2"/>
  <c r="J658" i="2" l="1"/>
  <c r="G658" i="2"/>
  <c r="H658" i="2" l="1"/>
  <c r="C659" i="2" s="1"/>
  <c r="K659" i="2" s="1"/>
  <c r="L658" i="2"/>
  <c r="I659" i="2" l="1"/>
  <c r="D659" i="2"/>
  <c r="B659" i="2"/>
  <c r="F659" i="2" s="1"/>
  <c r="E659" i="2"/>
  <c r="G659" i="2" l="1"/>
  <c r="J659" i="2"/>
  <c r="H659" i="2"/>
  <c r="C660" i="2" s="1"/>
  <c r="K660" i="2" s="1"/>
  <c r="L659" i="2"/>
  <c r="I660" i="2" l="1"/>
  <c r="D660" i="2"/>
  <c r="B660" i="2"/>
  <c r="F660" i="2"/>
  <c r="E660" i="2"/>
  <c r="J660" i="2" l="1"/>
  <c r="G660" i="2"/>
  <c r="L660" i="2" l="1"/>
  <c r="H660" i="2"/>
  <c r="C661" i="2" s="1"/>
  <c r="K661" i="2" s="1"/>
  <c r="I661" i="2" l="1"/>
  <c r="B661" i="2"/>
  <c r="F661" i="2"/>
  <c r="D661" i="2"/>
  <c r="E661" i="2"/>
  <c r="G661" i="2" l="1"/>
  <c r="J661" i="2"/>
  <c r="H661" i="2" l="1"/>
  <c r="C662" i="2" s="1"/>
  <c r="K662" i="2" s="1"/>
  <c r="L661" i="2"/>
  <c r="I662" i="2" l="1"/>
  <c r="D662" i="2"/>
  <c r="B662" i="2"/>
  <c r="F662" i="2" s="1"/>
  <c r="E662" i="2"/>
  <c r="J662" i="2" l="1"/>
  <c r="G662" i="2"/>
  <c r="H662" i="2" l="1"/>
  <c r="C663" i="2" s="1"/>
  <c r="K663" i="2" s="1"/>
  <c r="L662" i="2"/>
  <c r="I663" i="2" l="1"/>
  <c r="B663" i="2"/>
  <c r="D663" i="2"/>
  <c r="F663" i="2"/>
  <c r="E663" i="2"/>
  <c r="J663" i="2" l="1"/>
  <c r="G663" i="2"/>
  <c r="H663" i="2" l="1"/>
  <c r="C664" i="2" s="1"/>
  <c r="K664" i="2" s="1"/>
  <c r="L663" i="2"/>
  <c r="I664" i="2" l="1"/>
  <c r="B664" i="2"/>
  <c r="F664" i="2" s="1"/>
  <c r="D664" i="2"/>
  <c r="E664" i="2"/>
  <c r="J664" i="2" l="1"/>
  <c r="G664" i="2"/>
  <c r="L664" i="2" l="1"/>
  <c r="H664" i="2"/>
  <c r="C665" i="2" s="1"/>
  <c r="K665" i="2" s="1"/>
  <c r="I665" i="2" l="1"/>
  <c r="D665" i="2"/>
  <c r="B665" i="2"/>
  <c r="F665" i="2" s="1"/>
  <c r="E665" i="2"/>
  <c r="J665" i="2" l="1"/>
  <c r="G665" i="2"/>
  <c r="L665" i="2" l="1"/>
  <c r="H665" i="2"/>
  <c r="C666" i="2" s="1"/>
  <c r="K666" i="2" s="1"/>
  <c r="I666" i="2" l="1"/>
  <c r="D666" i="2"/>
  <c r="B666" i="2"/>
  <c r="F666" i="2" s="1"/>
  <c r="E666" i="2"/>
  <c r="J666" i="2" l="1"/>
  <c r="G666" i="2"/>
  <c r="H666" i="2" l="1"/>
  <c r="C667" i="2" s="1"/>
  <c r="K667" i="2" s="1"/>
  <c r="L666" i="2"/>
  <c r="I667" i="2" l="1"/>
  <c r="D667" i="2"/>
  <c r="B667" i="2"/>
  <c r="F667" i="2" s="1"/>
  <c r="E667" i="2"/>
  <c r="G667" i="2" l="1"/>
  <c r="H667" i="2" s="1"/>
  <c r="C668" i="2" s="1"/>
  <c r="K668" i="2" s="1"/>
  <c r="J667" i="2"/>
  <c r="L667" i="2"/>
  <c r="I668" i="2" l="1"/>
  <c r="D668" i="2"/>
  <c r="B668" i="2"/>
  <c r="F668" i="2"/>
  <c r="E668" i="2"/>
  <c r="G668" i="2" l="1"/>
  <c r="J668" i="2"/>
  <c r="H668" i="2" l="1"/>
  <c r="C669" i="2" s="1"/>
  <c r="K669" i="2" s="1"/>
  <c r="L668" i="2"/>
  <c r="I669" i="2" l="1"/>
  <c r="B669" i="2"/>
  <c r="F669" i="2"/>
  <c r="D669" i="2"/>
  <c r="E669" i="2"/>
  <c r="G669" i="2" l="1"/>
  <c r="H669" i="2" s="1"/>
  <c r="C670" i="2" s="1"/>
  <c r="K670" i="2" s="1"/>
  <c r="J669" i="2"/>
  <c r="L669" i="2"/>
  <c r="I670" i="2" l="1"/>
  <c r="D670" i="2"/>
  <c r="B670" i="2"/>
  <c r="F670" i="2"/>
  <c r="E670" i="2"/>
  <c r="J670" i="2" l="1"/>
  <c r="G670" i="2"/>
  <c r="H670" i="2" s="1"/>
  <c r="C671" i="2" s="1"/>
  <c r="K671" i="2" s="1"/>
  <c r="L670" i="2"/>
  <c r="I671" i="2" l="1"/>
  <c r="B671" i="2"/>
  <c r="F671" i="2"/>
  <c r="D671" i="2"/>
  <c r="E671" i="2"/>
  <c r="G671" i="2" l="1"/>
  <c r="H671" i="2" s="1"/>
  <c r="C672" i="2" s="1"/>
  <c r="K672" i="2" s="1"/>
  <c r="J671" i="2"/>
  <c r="L671" i="2"/>
  <c r="I672" i="2" l="1"/>
  <c r="B672" i="2"/>
  <c r="D672" i="2"/>
  <c r="F672" i="2"/>
  <c r="E672" i="2"/>
  <c r="J672" i="2" l="1"/>
  <c r="G672" i="2"/>
  <c r="H672" i="2" l="1"/>
  <c r="C673" i="2" s="1"/>
  <c r="K673" i="2" s="1"/>
  <c r="L672" i="2"/>
  <c r="I673" i="2" l="1"/>
  <c r="D673" i="2"/>
  <c r="B673" i="2"/>
  <c r="F673" i="2"/>
  <c r="E673" i="2"/>
  <c r="J673" i="2" l="1"/>
  <c r="G673" i="2"/>
  <c r="H673" i="2" l="1"/>
  <c r="C674" i="2" s="1"/>
  <c r="K674" i="2" s="1"/>
  <c r="L673" i="2"/>
  <c r="I674" i="2" l="1"/>
  <c r="D674" i="2"/>
  <c r="B674" i="2"/>
  <c r="F674" i="2" s="1"/>
  <c r="E674" i="2"/>
  <c r="J674" i="2" l="1"/>
  <c r="G674" i="2"/>
  <c r="H674" i="2" l="1"/>
  <c r="C675" i="2" s="1"/>
  <c r="K675" i="2" s="1"/>
  <c r="L674" i="2"/>
  <c r="I675" i="2" l="1"/>
  <c r="D675" i="2"/>
  <c r="B675" i="2"/>
  <c r="F675" i="2"/>
  <c r="E675" i="2"/>
  <c r="J675" i="2" l="1"/>
  <c r="G675" i="2"/>
  <c r="L675" i="2" l="1"/>
  <c r="H675" i="2"/>
  <c r="C676" i="2" s="1"/>
  <c r="K676" i="2" s="1"/>
  <c r="I676" i="2" l="1"/>
  <c r="B676" i="2"/>
  <c r="F676" i="2"/>
  <c r="D676" i="2"/>
  <c r="E676" i="2"/>
  <c r="J676" i="2" l="1"/>
  <c r="G676" i="2"/>
  <c r="H676" i="2" l="1"/>
  <c r="C677" i="2" s="1"/>
  <c r="K677" i="2" s="1"/>
  <c r="L676" i="2"/>
  <c r="I677" i="2" l="1"/>
  <c r="B677" i="2"/>
  <c r="F677" i="2"/>
  <c r="D677" i="2"/>
  <c r="E677" i="2"/>
  <c r="J677" i="2" l="1"/>
  <c r="G677" i="2"/>
  <c r="L677" i="2"/>
  <c r="H677" i="2"/>
  <c r="C678" i="2" s="1"/>
  <c r="K678" i="2" s="1"/>
  <c r="I678" i="2" l="1"/>
  <c r="D678" i="2"/>
  <c r="B678" i="2"/>
  <c r="F678" i="2"/>
  <c r="E678" i="2"/>
  <c r="J678" i="2" l="1"/>
  <c r="G678" i="2"/>
  <c r="H678" i="2" l="1"/>
  <c r="C679" i="2" s="1"/>
  <c r="K679" i="2" s="1"/>
  <c r="L678" i="2"/>
  <c r="I679" i="2" l="1"/>
  <c r="B679" i="2"/>
  <c r="F679" i="2"/>
  <c r="D679" i="2"/>
  <c r="E679" i="2"/>
  <c r="J679" i="2" l="1"/>
  <c r="G679" i="2"/>
  <c r="H679" i="2" l="1"/>
  <c r="C680" i="2" s="1"/>
  <c r="K680" i="2" s="1"/>
  <c r="L679" i="2"/>
  <c r="I680" i="2" l="1"/>
  <c r="D680" i="2"/>
  <c r="B680" i="2"/>
  <c r="F680" i="2" s="1"/>
  <c r="E680" i="2"/>
  <c r="G680" i="2" l="1"/>
  <c r="J680" i="2"/>
  <c r="L680" i="2" l="1"/>
  <c r="H680" i="2"/>
  <c r="C681" i="2" s="1"/>
  <c r="K681" i="2" s="1"/>
  <c r="I681" i="2" l="1"/>
  <c r="D681" i="2"/>
  <c r="B681" i="2"/>
  <c r="F681" i="2"/>
  <c r="E681" i="2"/>
  <c r="J681" i="2" l="1"/>
  <c r="G681" i="2"/>
  <c r="H681" i="2"/>
  <c r="C682" i="2" s="1"/>
  <c r="K682" i="2" s="1"/>
  <c r="L681" i="2"/>
  <c r="I682" i="2" l="1"/>
  <c r="D682" i="2"/>
  <c r="B682" i="2"/>
  <c r="F682" i="2" s="1"/>
  <c r="E682" i="2"/>
  <c r="J682" i="2" l="1"/>
  <c r="G682" i="2"/>
  <c r="H682" i="2"/>
  <c r="C683" i="2" s="1"/>
  <c r="K683" i="2" s="1"/>
  <c r="L682" i="2"/>
  <c r="I683" i="2" l="1"/>
  <c r="D683" i="2"/>
  <c r="B683" i="2"/>
  <c r="F683" i="2"/>
  <c r="E683" i="2"/>
  <c r="J683" i="2" l="1"/>
  <c r="G683" i="2"/>
  <c r="L683" i="2"/>
  <c r="H683" i="2"/>
  <c r="C684" i="2" s="1"/>
  <c r="K684" i="2" s="1"/>
  <c r="I684" i="2" l="1"/>
  <c r="D684" i="2"/>
  <c r="B684" i="2"/>
  <c r="F684" i="2" s="1"/>
  <c r="E684" i="2"/>
  <c r="G684" i="2" l="1"/>
  <c r="J684" i="2"/>
  <c r="L684" i="2" l="1"/>
  <c r="H684" i="2"/>
  <c r="C685" i="2" s="1"/>
  <c r="K685" i="2" s="1"/>
  <c r="I685" i="2" l="1"/>
  <c r="B685" i="2"/>
  <c r="D685" i="2"/>
  <c r="F685" i="2"/>
  <c r="E685" i="2"/>
  <c r="J685" i="2" l="1"/>
  <c r="G685" i="2"/>
  <c r="H685" i="2" l="1"/>
  <c r="C686" i="2" s="1"/>
  <c r="K686" i="2" s="1"/>
  <c r="L685" i="2"/>
  <c r="I686" i="2" l="1"/>
  <c r="D686" i="2"/>
  <c r="B686" i="2"/>
  <c r="F686" i="2"/>
  <c r="E686" i="2"/>
  <c r="J686" i="2" l="1"/>
  <c r="G686" i="2"/>
  <c r="L686" i="2" l="1"/>
  <c r="H686" i="2"/>
  <c r="C687" i="2" s="1"/>
  <c r="K687" i="2" s="1"/>
  <c r="I687" i="2" l="1"/>
  <c r="B687" i="2"/>
  <c r="D687" i="2"/>
  <c r="F687" i="2"/>
  <c r="E687" i="2"/>
  <c r="J687" i="2" l="1"/>
  <c r="G687" i="2"/>
  <c r="H687" i="2" l="1"/>
  <c r="C688" i="2" s="1"/>
  <c r="K688" i="2" s="1"/>
  <c r="L687" i="2"/>
  <c r="I688" i="2" l="1"/>
  <c r="D688" i="2"/>
  <c r="B688" i="2"/>
  <c r="F688" i="2"/>
  <c r="E688" i="2"/>
  <c r="G688" i="2" l="1"/>
  <c r="J688" i="2"/>
  <c r="L688" i="2" l="1"/>
  <c r="H688" i="2"/>
  <c r="C689" i="2" s="1"/>
  <c r="K689" i="2" s="1"/>
  <c r="I689" i="2" l="1"/>
  <c r="B689" i="2"/>
  <c r="F689" i="2"/>
  <c r="D689" i="2"/>
  <c r="E689" i="2"/>
  <c r="J689" i="2" l="1"/>
  <c r="G689" i="2"/>
  <c r="H689" i="2"/>
  <c r="C690" i="2" s="1"/>
  <c r="K690" i="2" s="1"/>
  <c r="L689" i="2"/>
  <c r="I690" i="2" l="1"/>
  <c r="D690" i="2"/>
  <c r="B690" i="2"/>
  <c r="F690" i="2" s="1"/>
  <c r="E690" i="2"/>
  <c r="G690" i="2" l="1"/>
  <c r="J690" i="2"/>
  <c r="H690" i="2" l="1"/>
  <c r="C691" i="2" s="1"/>
  <c r="K691" i="2" s="1"/>
  <c r="L690" i="2"/>
  <c r="I691" i="2" l="1"/>
  <c r="B691" i="2"/>
  <c r="F691" i="2"/>
  <c r="D691" i="2"/>
  <c r="E691" i="2"/>
  <c r="J691" i="2" l="1"/>
  <c r="G691" i="2"/>
  <c r="H691" i="2" l="1"/>
  <c r="C692" i="2" s="1"/>
  <c r="K692" i="2" s="1"/>
  <c r="L691" i="2"/>
  <c r="I692" i="2" l="1"/>
  <c r="D692" i="2"/>
  <c r="B692" i="2"/>
  <c r="F692" i="2"/>
  <c r="E692" i="2"/>
  <c r="J692" i="2" l="1"/>
  <c r="G692" i="2"/>
  <c r="L692" i="2" s="1"/>
  <c r="H692" i="2" l="1"/>
  <c r="C693" i="2" s="1"/>
  <c r="K693" i="2" s="1"/>
  <c r="I693" i="2" l="1"/>
  <c r="D693" i="2"/>
  <c r="B693" i="2"/>
  <c r="F693" i="2"/>
  <c r="E693" i="2"/>
  <c r="J693" i="2" l="1"/>
  <c r="G693" i="2"/>
  <c r="H693" i="2" l="1"/>
  <c r="C694" i="2" s="1"/>
  <c r="K694" i="2" s="1"/>
  <c r="L693" i="2"/>
  <c r="I694" i="2" l="1"/>
  <c r="B694" i="2"/>
  <c r="F694" i="2" s="1"/>
  <c r="D694" i="2"/>
  <c r="E694" i="2"/>
  <c r="G694" i="2" l="1"/>
  <c r="J694" i="2"/>
  <c r="H694" i="2" l="1"/>
  <c r="C695" i="2" s="1"/>
  <c r="K695" i="2" s="1"/>
  <c r="L694" i="2"/>
  <c r="I695" i="2" l="1"/>
  <c r="B695" i="2"/>
  <c r="D695" i="2"/>
  <c r="F695" i="2"/>
  <c r="E695" i="2"/>
  <c r="G695" i="2" l="1"/>
  <c r="J695" i="2"/>
  <c r="H695" i="2" l="1"/>
  <c r="C696" i="2" s="1"/>
  <c r="K696" i="2" s="1"/>
  <c r="L695" i="2"/>
  <c r="I696" i="2" l="1"/>
  <c r="D696" i="2"/>
  <c r="B696" i="2"/>
  <c r="F696" i="2" s="1"/>
  <c r="E696" i="2"/>
  <c r="J696" i="2" l="1"/>
  <c r="G696" i="2"/>
  <c r="L696" i="2" l="1"/>
  <c r="H696" i="2"/>
  <c r="C697" i="2" s="1"/>
  <c r="K697" i="2" s="1"/>
  <c r="I697" i="2" l="1"/>
  <c r="D697" i="2"/>
  <c r="B697" i="2"/>
  <c r="F697" i="2" s="1"/>
  <c r="E697" i="2"/>
  <c r="J697" i="2" l="1"/>
  <c r="G697" i="2"/>
  <c r="H697" i="2" l="1"/>
  <c r="C698" i="2" s="1"/>
  <c r="K698" i="2" s="1"/>
  <c r="L697" i="2"/>
  <c r="I698" i="2" l="1"/>
  <c r="D698" i="2"/>
  <c r="B698" i="2"/>
  <c r="F698" i="2"/>
  <c r="E698" i="2"/>
  <c r="J698" i="2" l="1"/>
  <c r="G698" i="2"/>
  <c r="L698" i="2" l="1"/>
  <c r="H698" i="2"/>
  <c r="C699" i="2" s="1"/>
  <c r="K699" i="2" s="1"/>
  <c r="I699" i="2" l="1"/>
  <c r="D699" i="2"/>
  <c r="B699" i="2"/>
  <c r="F699" i="2" s="1"/>
  <c r="E699" i="2"/>
  <c r="J699" i="2" l="1"/>
  <c r="G699" i="2"/>
  <c r="H699" i="2" l="1"/>
  <c r="C700" i="2" s="1"/>
  <c r="K700" i="2" s="1"/>
  <c r="L699" i="2"/>
  <c r="I700" i="2" l="1"/>
  <c r="D700" i="2"/>
  <c r="F700" i="2"/>
  <c r="B700" i="2"/>
  <c r="E700" i="2"/>
  <c r="J700" i="2" l="1"/>
  <c r="G700" i="2"/>
  <c r="L700" i="2" l="1"/>
  <c r="H700" i="2"/>
  <c r="C701" i="2" s="1"/>
  <c r="K701" i="2" s="1"/>
  <c r="I701" i="2" l="1"/>
  <c r="B701" i="2"/>
  <c r="D701" i="2"/>
  <c r="F701" i="2"/>
  <c r="E701" i="2"/>
  <c r="J701" i="2" l="1"/>
  <c r="G701" i="2"/>
  <c r="H701" i="2" l="1"/>
  <c r="C702" i="2" s="1"/>
  <c r="K702" i="2" s="1"/>
  <c r="L701" i="2"/>
  <c r="I702" i="2" l="1"/>
  <c r="D702" i="2"/>
  <c r="F702" i="2" s="1"/>
  <c r="B702" i="2"/>
  <c r="E702" i="2"/>
  <c r="G702" i="2" l="1"/>
  <c r="J702" i="2"/>
  <c r="L702" i="2" s="1"/>
  <c r="H702" i="2"/>
  <c r="C703" i="2" s="1"/>
  <c r="K703" i="2" s="1"/>
  <c r="I703" i="2" l="1"/>
  <c r="D703" i="2"/>
  <c r="B703" i="2"/>
  <c r="F703" i="2"/>
  <c r="E703" i="2"/>
  <c r="G703" i="2" l="1"/>
  <c r="J703" i="2"/>
  <c r="L703" i="2" l="1"/>
  <c r="H703" i="2"/>
  <c r="C704" i="2" s="1"/>
  <c r="K704" i="2" s="1"/>
  <c r="I704" i="2" l="1"/>
  <c r="D704" i="2"/>
  <c r="B704" i="2"/>
  <c r="F704" i="2" s="1"/>
  <c r="E704" i="2"/>
  <c r="G704" i="2" l="1"/>
  <c r="J704" i="2"/>
  <c r="H704" i="2" l="1"/>
  <c r="C705" i="2" s="1"/>
  <c r="K705" i="2" s="1"/>
  <c r="L704" i="2"/>
  <c r="I705" i="2" l="1"/>
  <c r="D705" i="2"/>
  <c r="B705" i="2"/>
  <c r="F705" i="2" s="1"/>
  <c r="E705" i="2"/>
  <c r="G705" i="2" l="1"/>
  <c r="H705" i="2" s="1"/>
  <c r="C706" i="2" s="1"/>
  <c r="K706" i="2" s="1"/>
  <c r="J705" i="2"/>
  <c r="L705" i="2"/>
  <c r="I706" i="2" l="1"/>
  <c r="B706" i="2"/>
  <c r="F706" i="2"/>
  <c r="D706" i="2"/>
  <c r="E706" i="2"/>
  <c r="G706" i="2" l="1"/>
  <c r="J706" i="2"/>
  <c r="H706" i="2"/>
  <c r="C707" i="2" s="1"/>
  <c r="K707" i="2" s="1"/>
  <c r="L706" i="2"/>
  <c r="I707" i="2" l="1"/>
  <c r="D707" i="2"/>
  <c r="B707" i="2"/>
  <c r="F707" i="2"/>
  <c r="E707" i="2"/>
  <c r="G707" i="2" l="1"/>
  <c r="H707" i="2" s="1"/>
  <c r="C708" i="2" s="1"/>
  <c r="K708" i="2" s="1"/>
  <c r="J707" i="2"/>
  <c r="L707" i="2"/>
  <c r="I708" i="2" l="1"/>
  <c r="B708" i="2"/>
  <c r="F708" i="2"/>
  <c r="D708" i="2"/>
  <c r="E708" i="2"/>
  <c r="J708" i="2" l="1"/>
  <c r="G708" i="2"/>
  <c r="L708" i="2" s="1"/>
  <c r="H708" i="2"/>
  <c r="C709" i="2" s="1"/>
  <c r="K709" i="2" s="1"/>
  <c r="I709" i="2" l="1"/>
  <c r="D709" i="2"/>
  <c r="B709" i="2"/>
  <c r="F709" i="2"/>
  <c r="E709" i="2"/>
  <c r="J709" i="2" l="1"/>
  <c r="G709" i="2"/>
  <c r="H709" i="2" s="1"/>
  <c r="C710" i="2" s="1"/>
  <c r="K710" i="2" s="1"/>
  <c r="I710" i="2" l="1"/>
  <c r="D710" i="2"/>
  <c r="B710" i="2"/>
  <c r="F710" i="2" s="1"/>
  <c r="L709" i="2"/>
  <c r="E710" i="2"/>
  <c r="G710" i="2" l="1"/>
  <c r="H710" i="2" s="1"/>
  <c r="C711" i="2" s="1"/>
  <c r="K711" i="2" s="1"/>
  <c r="J710" i="2"/>
  <c r="L710" i="2"/>
  <c r="I711" i="2" l="1"/>
  <c r="D711" i="2"/>
  <c r="B711" i="2"/>
  <c r="F711" i="2" s="1"/>
  <c r="E711" i="2"/>
  <c r="G711" i="2" l="1"/>
  <c r="H711" i="2" s="1"/>
  <c r="J711" i="2"/>
  <c r="C712" i="2"/>
  <c r="K712" i="2" s="1"/>
  <c r="L711" i="2"/>
  <c r="I712" i="2" l="1"/>
  <c r="D712" i="2"/>
  <c r="B712" i="2"/>
  <c r="F712" i="2" s="1"/>
  <c r="E712" i="2"/>
  <c r="G712" i="2" l="1"/>
  <c r="J712" i="2"/>
  <c r="L712" i="2" l="1"/>
  <c r="H712" i="2"/>
  <c r="C713" i="2" s="1"/>
  <c r="K713" i="2" s="1"/>
  <c r="I713" i="2" l="1"/>
  <c r="D713" i="2"/>
  <c r="B713" i="2"/>
  <c r="F713" i="2" s="1"/>
  <c r="E713" i="2"/>
  <c r="J713" i="2" l="1"/>
  <c r="G713" i="2"/>
  <c r="H713" i="2" l="1"/>
  <c r="C714" i="2" s="1"/>
  <c r="K714" i="2" s="1"/>
  <c r="L713" i="2"/>
  <c r="I714" i="2" l="1"/>
  <c r="D714" i="2"/>
  <c r="B714" i="2"/>
  <c r="F714" i="2" s="1"/>
  <c r="E714" i="2"/>
  <c r="G714" i="2" l="1"/>
  <c r="H714" i="2" s="1"/>
  <c r="C715" i="2" s="1"/>
  <c r="K715" i="2" s="1"/>
  <c r="J714" i="2"/>
  <c r="L714" i="2"/>
  <c r="I715" i="2" l="1"/>
  <c r="D715" i="2"/>
  <c r="B715" i="2"/>
  <c r="F715" i="2" s="1"/>
  <c r="E715" i="2"/>
  <c r="J715" i="2" l="1"/>
  <c r="G715" i="2"/>
  <c r="L715" i="2"/>
  <c r="H715" i="2"/>
  <c r="C716" i="2" s="1"/>
  <c r="K716" i="2" s="1"/>
  <c r="I716" i="2" l="1"/>
  <c r="B716" i="2"/>
  <c r="F716" i="2" s="1"/>
  <c r="D716" i="2"/>
  <c r="E716" i="2"/>
  <c r="J716" i="2" l="1"/>
  <c r="G716" i="2"/>
  <c r="L716" i="2" l="1"/>
  <c r="H716" i="2"/>
  <c r="C717" i="2" s="1"/>
  <c r="K717" i="2" s="1"/>
  <c r="I717" i="2" l="1"/>
  <c r="B717" i="2"/>
  <c r="F717" i="2" s="1"/>
  <c r="D717" i="2"/>
  <c r="E717" i="2"/>
  <c r="J717" i="2" l="1"/>
  <c r="G717" i="2"/>
  <c r="H717" i="2" l="1"/>
  <c r="C718" i="2" s="1"/>
  <c r="K718" i="2" s="1"/>
  <c r="L717" i="2"/>
  <c r="I718" i="2" l="1"/>
  <c r="D718" i="2"/>
  <c r="B718" i="2"/>
  <c r="F718" i="2" s="1"/>
  <c r="E718" i="2"/>
  <c r="H718" i="2" l="1"/>
  <c r="G718" i="2"/>
  <c r="C719" i="2"/>
  <c r="K719" i="2" s="1"/>
  <c r="J718" i="2"/>
  <c r="L718" i="2"/>
  <c r="I719" i="2" l="1"/>
  <c r="D719" i="2"/>
  <c r="F719" i="2" s="1"/>
  <c r="B719" i="2"/>
  <c r="E719" i="2"/>
  <c r="G719" i="2" l="1"/>
  <c r="J719" i="2"/>
  <c r="H719" i="2" l="1"/>
  <c r="C720" i="2" s="1"/>
  <c r="K720" i="2" s="1"/>
  <c r="L719" i="2"/>
  <c r="I720" i="2" l="1"/>
  <c r="B720" i="2"/>
  <c r="F720" i="2" s="1"/>
  <c r="D720" i="2"/>
  <c r="E720" i="2"/>
  <c r="G720" i="2" l="1"/>
  <c r="J720" i="2"/>
  <c r="H720" i="2" l="1"/>
  <c r="C721" i="2" s="1"/>
  <c r="K721" i="2" s="1"/>
  <c r="L720" i="2"/>
  <c r="I721" i="2" l="1"/>
  <c r="D721" i="2"/>
  <c r="B721" i="2"/>
  <c r="F721" i="2" s="1"/>
  <c r="E721" i="2"/>
  <c r="G721" i="2" l="1"/>
  <c r="H721" i="2" s="1"/>
  <c r="C722" i="2" s="1"/>
  <c r="K722" i="2" s="1"/>
  <c r="J721" i="2"/>
  <c r="L721" i="2"/>
  <c r="I722" i="2" l="1"/>
  <c r="D722" i="2"/>
  <c r="B722" i="2"/>
  <c r="F722" i="2" s="1"/>
  <c r="E722" i="2"/>
  <c r="J722" i="2" l="1"/>
  <c r="G722" i="2"/>
  <c r="L722" i="2" s="1"/>
  <c r="H722" i="2"/>
  <c r="C723" i="2" s="1"/>
  <c r="K723" i="2" s="1"/>
  <c r="I723" i="2" l="1"/>
  <c r="D723" i="2"/>
  <c r="B723" i="2"/>
  <c r="F723" i="2"/>
  <c r="E723" i="2"/>
  <c r="G723" i="2" l="1"/>
  <c r="J723" i="2"/>
  <c r="H723" i="2" l="1"/>
  <c r="C724" i="2" s="1"/>
  <c r="K724" i="2" s="1"/>
  <c r="L723" i="2"/>
  <c r="I724" i="2" l="1"/>
  <c r="B724" i="2"/>
  <c r="F724" i="2" s="1"/>
  <c r="D724" i="2"/>
  <c r="E724" i="2"/>
  <c r="J724" i="2" l="1"/>
  <c r="G724" i="2"/>
  <c r="L724" i="2" l="1"/>
  <c r="H724" i="2"/>
  <c r="C725" i="2" s="1"/>
  <c r="K725" i="2" s="1"/>
  <c r="I725" i="2" l="1"/>
  <c r="D725" i="2"/>
  <c r="B725" i="2"/>
  <c r="F725" i="2" s="1"/>
  <c r="E725" i="2"/>
  <c r="J725" i="2" l="1"/>
  <c r="G725" i="2"/>
  <c r="H725" i="2" l="1"/>
  <c r="C726" i="2" s="1"/>
  <c r="K726" i="2" s="1"/>
  <c r="L725" i="2"/>
  <c r="I726" i="2" l="1"/>
  <c r="D726" i="2"/>
  <c r="B726" i="2"/>
  <c r="F726" i="2" s="1"/>
  <c r="E726" i="2"/>
  <c r="G726" i="2" l="1"/>
  <c r="J726" i="2"/>
  <c r="L726" i="2" l="1"/>
  <c r="H726" i="2"/>
  <c r="C727" i="2" s="1"/>
  <c r="K727" i="2" s="1"/>
  <c r="I727" i="2" l="1"/>
  <c r="D727" i="2"/>
  <c r="B727" i="2"/>
  <c r="F727" i="2"/>
  <c r="E727" i="2"/>
  <c r="J727" i="2" l="1"/>
  <c r="G727" i="2"/>
  <c r="H727" i="2" l="1"/>
  <c r="C728" i="2" s="1"/>
  <c r="K728" i="2" s="1"/>
  <c r="L727" i="2"/>
  <c r="I728" i="2" l="1"/>
  <c r="D728" i="2"/>
  <c r="B728" i="2"/>
  <c r="F728" i="2" s="1"/>
  <c r="E728" i="2"/>
  <c r="G728" i="2" l="1"/>
  <c r="H728" i="2" s="1"/>
  <c r="C729" i="2" s="1"/>
  <c r="K729" i="2" s="1"/>
  <c r="J728" i="2"/>
  <c r="L728" i="2"/>
  <c r="I729" i="2" l="1"/>
  <c r="D729" i="2"/>
  <c r="B729" i="2"/>
  <c r="F729" i="2" s="1"/>
  <c r="E729" i="2"/>
  <c r="G729" i="2" l="1"/>
  <c r="J729" i="2"/>
  <c r="L729" i="2"/>
  <c r="H729" i="2"/>
  <c r="C730" i="2" s="1"/>
  <c r="K730" i="2" s="1"/>
  <c r="I730" i="2" l="1"/>
  <c r="D730" i="2"/>
  <c r="B730" i="2"/>
  <c r="F730" i="2" s="1"/>
  <c r="E730" i="2"/>
  <c r="J730" i="2" l="1"/>
  <c r="G730" i="2"/>
  <c r="L730" i="2" l="1"/>
  <c r="H730" i="2"/>
  <c r="C731" i="2" s="1"/>
  <c r="K731" i="2" s="1"/>
  <c r="I731" i="2" l="1"/>
  <c r="D731" i="2"/>
  <c r="B731" i="2"/>
  <c r="F731" i="2" s="1"/>
  <c r="E731" i="2"/>
  <c r="G731" i="2" l="1"/>
  <c r="J731" i="2"/>
  <c r="L731" i="2" l="1"/>
  <c r="H731" i="2"/>
  <c r="C732" i="2" s="1"/>
  <c r="K732" i="2" s="1"/>
  <c r="I732" i="2" l="1"/>
  <c r="B732" i="2"/>
  <c r="F732" i="2" s="1"/>
  <c r="D732" i="2"/>
  <c r="E732" i="2"/>
  <c r="G732" i="2" l="1"/>
  <c r="J732" i="2"/>
  <c r="H732" i="2" l="1"/>
  <c r="C733" i="2" s="1"/>
  <c r="K733" i="2" s="1"/>
  <c r="L732" i="2"/>
  <c r="I733" i="2" l="1"/>
  <c r="D733" i="2"/>
  <c r="B733" i="2"/>
  <c r="F733" i="2" s="1"/>
  <c r="E733" i="2"/>
  <c r="G733" i="2" l="1"/>
  <c r="H733" i="2" s="1"/>
  <c r="C734" i="2" s="1"/>
  <c r="K734" i="2" s="1"/>
  <c r="J733" i="2"/>
  <c r="L733" i="2"/>
  <c r="I734" i="2" l="1"/>
  <c r="D734" i="2"/>
  <c r="B734" i="2"/>
  <c r="F734" i="2" s="1"/>
  <c r="E734" i="2"/>
  <c r="G734" i="2" l="1"/>
  <c r="J734" i="2"/>
  <c r="H734" i="2" l="1"/>
  <c r="C735" i="2" s="1"/>
  <c r="K735" i="2" s="1"/>
  <c r="L734" i="2"/>
  <c r="I735" i="2" l="1"/>
  <c r="D735" i="2"/>
  <c r="B735" i="2"/>
  <c r="F735" i="2"/>
  <c r="E735" i="2"/>
  <c r="G735" i="2" l="1"/>
  <c r="J735" i="2"/>
  <c r="H735" i="2" l="1"/>
  <c r="C736" i="2" s="1"/>
  <c r="K736" i="2" s="1"/>
  <c r="L735" i="2"/>
  <c r="I736" i="2" l="1"/>
  <c r="B736" i="2"/>
  <c r="F736" i="2" s="1"/>
  <c r="D736" i="2"/>
  <c r="E736" i="2"/>
  <c r="G736" i="2" l="1"/>
  <c r="J736" i="2"/>
  <c r="H736" i="2" l="1"/>
  <c r="C737" i="2" s="1"/>
  <c r="K737" i="2" s="1"/>
  <c r="L736" i="2"/>
  <c r="I737" i="2" l="1"/>
  <c r="D737" i="2"/>
  <c r="B737" i="2"/>
  <c r="F737" i="2"/>
  <c r="E737" i="2"/>
  <c r="G737" i="2" l="1"/>
  <c r="J737" i="2"/>
  <c r="H737" i="2" l="1"/>
  <c r="C738" i="2" s="1"/>
  <c r="K738" i="2" s="1"/>
  <c r="L737" i="2"/>
  <c r="I738" i="2" l="1"/>
  <c r="D738" i="2"/>
  <c r="B738" i="2"/>
  <c r="F738" i="2" s="1"/>
  <c r="E738" i="2"/>
  <c r="J738" i="2" l="1"/>
  <c r="G738" i="2"/>
  <c r="L738" i="2" s="1"/>
  <c r="H738" i="2"/>
  <c r="C739" i="2" s="1"/>
  <c r="K739" i="2" s="1"/>
  <c r="I739" i="2" l="1"/>
  <c r="D739" i="2"/>
  <c r="B739" i="2"/>
  <c r="F739" i="2"/>
  <c r="E739" i="2"/>
  <c r="G739" i="2" l="1"/>
  <c r="J739" i="2"/>
  <c r="H739" i="2" l="1"/>
  <c r="C740" i="2" s="1"/>
  <c r="K740" i="2" s="1"/>
  <c r="L739" i="2"/>
  <c r="I740" i="2" l="1"/>
  <c r="B740" i="2"/>
  <c r="F740" i="2" s="1"/>
  <c r="D740" i="2"/>
  <c r="E740" i="2"/>
  <c r="G740" i="2" l="1"/>
  <c r="J740" i="2"/>
  <c r="L740" i="2" l="1"/>
  <c r="H740" i="2"/>
  <c r="C741" i="2" s="1"/>
  <c r="K741" i="2" s="1"/>
  <c r="I741" i="2" l="1"/>
  <c r="D741" i="2"/>
  <c r="B741" i="2"/>
  <c r="F741" i="2" s="1"/>
  <c r="E741" i="2"/>
  <c r="J741" i="2" l="1"/>
  <c r="G741" i="2"/>
  <c r="H741" i="2" l="1"/>
  <c r="C742" i="2" s="1"/>
  <c r="K742" i="2" s="1"/>
  <c r="L741" i="2"/>
  <c r="I742" i="2" l="1"/>
  <c r="B742" i="2"/>
  <c r="F742" i="2" s="1"/>
  <c r="D742" i="2"/>
  <c r="E742" i="2"/>
  <c r="J742" i="2" l="1"/>
  <c r="G742" i="2"/>
  <c r="H742" i="2" l="1"/>
  <c r="C743" i="2" s="1"/>
  <c r="K743" i="2" s="1"/>
  <c r="L742" i="2"/>
  <c r="I743" i="2" l="1"/>
  <c r="D743" i="2"/>
  <c r="B743" i="2"/>
  <c r="F743" i="2"/>
  <c r="E743" i="2"/>
  <c r="G743" i="2" l="1"/>
  <c r="J743" i="2"/>
  <c r="H743" i="2" l="1"/>
  <c r="C744" i="2" s="1"/>
  <c r="K744" i="2" s="1"/>
  <c r="L743" i="2"/>
  <c r="I744" i="2" l="1"/>
  <c r="B744" i="2"/>
  <c r="F744" i="2" s="1"/>
  <c r="D744" i="2"/>
  <c r="E744" i="2"/>
  <c r="G744" i="2" l="1"/>
  <c r="J744" i="2"/>
  <c r="L744" i="2" l="1"/>
  <c r="H744" i="2"/>
  <c r="C745" i="2" s="1"/>
  <c r="K745" i="2" s="1"/>
  <c r="I745" i="2" l="1"/>
  <c r="D745" i="2"/>
  <c r="B745" i="2"/>
  <c r="F745" i="2"/>
  <c r="E745" i="2"/>
  <c r="J745" i="2" l="1"/>
  <c r="G745" i="2"/>
  <c r="H745" i="2" l="1"/>
  <c r="C746" i="2" s="1"/>
  <c r="K746" i="2" s="1"/>
  <c r="L745" i="2"/>
  <c r="I746" i="2" l="1"/>
  <c r="D746" i="2"/>
  <c r="B746" i="2"/>
  <c r="F746" i="2" s="1"/>
  <c r="E746" i="2"/>
  <c r="G746" i="2" l="1"/>
  <c r="L746" i="2" s="1"/>
  <c r="J746" i="2"/>
  <c r="H746" i="2"/>
  <c r="C747" i="2" s="1"/>
  <c r="K747" i="2" s="1"/>
  <c r="I747" i="2" l="1"/>
  <c r="D747" i="2"/>
  <c r="B747" i="2"/>
  <c r="F747" i="2"/>
  <c r="E747" i="2"/>
  <c r="G747" i="2" l="1"/>
  <c r="H747" i="2" s="1"/>
  <c r="C748" i="2" s="1"/>
  <c r="K748" i="2" s="1"/>
  <c r="J747" i="2"/>
  <c r="I748" i="2" l="1"/>
  <c r="B748" i="2"/>
  <c r="F748" i="2" s="1"/>
  <c r="D748" i="2"/>
  <c r="L747" i="2"/>
  <c r="E748" i="2"/>
  <c r="J748" i="2" l="1"/>
  <c r="G748" i="2"/>
  <c r="L748" i="2" l="1"/>
  <c r="H748" i="2"/>
  <c r="C749" i="2" s="1"/>
  <c r="K749" i="2" s="1"/>
  <c r="I749" i="2" l="1"/>
  <c r="D749" i="2"/>
  <c r="B749" i="2"/>
  <c r="F749" i="2"/>
  <c r="E749" i="2"/>
  <c r="J749" i="2" l="1"/>
  <c r="G749" i="2"/>
  <c r="H749" i="2" s="1"/>
  <c r="C750" i="2" s="1"/>
  <c r="K750" i="2" s="1"/>
  <c r="L749" i="2"/>
  <c r="I750" i="2" l="1"/>
  <c r="D750" i="2"/>
  <c r="B750" i="2"/>
  <c r="F750" i="2" s="1"/>
  <c r="E750" i="2"/>
  <c r="J750" i="2" l="1"/>
  <c r="G750" i="2"/>
  <c r="H750" i="2" l="1"/>
  <c r="C751" i="2" s="1"/>
  <c r="K751" i="2" s="1"/>
  <c r="L750" i="2"/>
  <c r="I751" i="2" l="1"/>
  <c r="D751" i="2"/>
  <c r="B751" i="2"/>
  <c r="F751" i="2"/>
  <c r="E751" i="2"/>
  <c r="J751" i="2" l="1"/>
  <c r="G751" i="2"/>
  <c r="H751" i="2" l="1"/>
  <c r="C752" i="2" s="1"/>
  <c r="K752" i="2" s="1"/>
  <c r="L751" i="2"/>
  <c r="I752" i="2" l="1"/>
  <c r="B752" i="2"/>
  <c r="F752" i="2"/>
  <c r="D752" i="2"/>
  <c r="E752" i="2"/>
  <c r="G752" i="2" l="1"/>
  <c r="L752" i="2" s="1"/>
  <c r="J752" i="2"/>
  <c r="H752" i="2"/>
  <c r="C753" i="2" s="1"/>
  <c r="K753" i="2" s="1"/>
  <c r="I753" i="2" l="1"/>
  <c r="D753" i="2"/>
  <c r="B753" i="2"/>
  <c r="F753" i="2" s="1"/>
  <c r="E753" i="2"/>
  <c r="J753" i="2" l="1"/>
  <c r="G753" i="2"/>
  <c r="H753" i="2" s="1"/>
  <c r="C754" i="2" s="1"/>
  <c r="K754" i="2" s="1"/>
  <c r="L753" i="2"/>
  <c r="I754" i="2" l="1"/>
  <c r="B754" i="2"/>
  <c r="F754" i="2"/>
  <c r="D754" i="2"/>
  <c r="E754" i="2"/>
  <c r="J754" i="2" l="1"/>
  <c r="G754" i="2"/>
  <c r="L754" i="2" l="1"/>
  <c r="H754" i="2"/>
  <c r="C755" i="2" s="1"/>
  <c r="K755" i="2" s="1"/>
  <c r="I755" i="2" l="1"/>
  <c r="D755" i="2"/>
  <c r="B755" i="2"/>
  <c r="F755" i="2" s="1"/>
  <c r="E755" i="2"/>
  <c r="G755" i="2" l="1"/>
  <c r="L755" i="2" s="1"/>
  <c r="J755" i="2"/>
  <c r="H755" i="2"/>
  <c r="C756" i="2" s="1"/>
  <c r="K756" i="2" s="1"/>
  <c r="I756" i="2" l="1"/>
  <c r="B756" i="2"/>
  <c r="F756" i="2" s="1"/>
  <c r="D756" i="2"/>
  <c r="E756" i="2"/>
  <c r="G756" i="2" l="1"/>
  <c r="J756" i="2"/>
  <c r="H756" i="2" l="1"/>
  <c r="C757" i="2" s="1"/>
  <c r="K757" i="2" s="1"/>
  <c r="L756" i="2"/>
  <c r="I757" i="2" l="1"/>
  <c r="D757" i="2"/>
  <c r="B757" i="2"/>
  <c r="F757" i="2"/>
  <c r="E757" i="2"/>
  <c r="G757" i="2" l="1"/>
  <c r="J757" i="2"/>
  <c r="H757" i="2" l="1"/>
  <c r="C758" i="2" s="1"/>
  <c r="K758" i="2" s="1"/>
  <c r="L757" i="2"/>
  <c r="I758" i="2" l="1"/>
  <c r="B758" i="2"/>
  <c r="F758" i="2"/>
  <c r="D758" i="2"/>
  <c r="E758" i="2"/>
  <c r="G758" i="2" l="1"/>
  <c r="L758" i="2" s="1"/>
  <c r="J758" i="2"/>
  <c r="H758" i="2"/>
  <c r="C759" i="2" s="1"/>
  <c r="K759" i="2" s="1"/>
  <c r="I759" i="2" l="1"/>
  <c r="D759" i="2"/>
  <c r="B759" i="2"/>
  <c r="F759" i="2"/>
  <c r="E759" i="2"/>
  <c r="J759" i="2" l="1"/>
  <c r="G759" i="2"/>
  <c r="H759" i="2" l="1"/>
  <c r="C760" i="2" s="1"/>
  <c r="K760" i="2" s="1"/>
  <c r="L759" i="2"/>
  <c r="I760" i="2" l="1"/>
  <c r="D760" i="2"/>
  <c r="B760" i="2"/>
  <c r="F760" i="2" s="1"/>
  <c r="E760" i="2"/>
  <c r="J760" i="2" l="1"/>
  <c r="G760" i="2"/>
  <c r="L760" i="2" l="1"/>
  <c r="H760" i="2"/>
  <c r="C761" i="2" s="1"/>
  <c r="K761" i="2" s="1"/>
  <c r="I761" i="2" l="1"/>
  <c r="D761" i="2"/>
  <c r="B761" i="2"/>
  <c r="F761" i="2"/>
  <c r="E761" i="2"/>
  <c r="J761" i="2" l="1"/>
  <c r="G761" i="2"/>
  <c r="H761" i="2" l="1"/>
  <c r="C762" i="2" s="1"/>
  <c r="K762" i="2" s="1"/>
  <c r="L761" i="2"/>
  <c r="I762" i="2" l="1"/>
  <c r="B762" i="2"/>
  <c r="F762" i="2" s="1"/>
  <c r="D762" i="2"/>
  <c r="E762" i="2"/>
  <c r="G762" i="2" l="1"/>
  <c r="J762" i="2"/>
  <c r="L762" i="2" l="1"/>
  <c r="H762" i="2"/>
  <c r="C763" i="2" s="1"/>
  <c r="K763" i="2" s="1"/>
  <c r="I763" i="2" l="1"/>
  <c r="D763" i="2"/>
  <c r="B763" i="2"/>
  <c r="F763" i="2" s="1"/>
  <c r="E763" i="2"/>
  <c r="G763" i="2" l="1"/>
  <c r="J763" i="2"/>
  <c r="L763" i="2" l="1"/>
  <c r="H763" i="2"/>
  <c r="C764" i="2" s="1"/>
  <c r="K764" i="2" s="1"/>
  <c r="I764" i="2" l="1"/>
  <c r="B764" i="2"/>
  <c r="F764" i="2" s="1"/>
  <c r="D764" i="2"/>
  <c r="E764" i="2"/>
  <c r="J764" i="2" l="1"/>
  <c r="G764" i="2"/>
  <c r="L764" i="2" l="1"/>
  <c r="H764" i="2"/>
  <c r="C765" i="2" s="1"/>
  <c r="K765" i="2" s="1"/>
  <c r="I765" i="2" l="1"/>
  <c r="D765" i="2"/>
  <c r="B765" i="2"/>
  <c r="F765" i="2"/>
  <c r="E765" i="2"/>
  <c r="G765" i="2" l="1"/>
  <c r="J765" i="2"/>
  <c r="H765" i="2" l="1"/>
  <c r="C766" i="2" s="1"/>
  <c r="K766" i="2" s="1"/>
  <c r="L765" i="2"/>
  <c r="I766" i="2" l="1"/>
  <c r="B766" i="2"/>
  <c r="F766" i="2"/>
  <c r="D766" i="2"/>
  <c r="E766" i="2"/>
  <c r="G766" i="2" l="1"/>
  <c r="H766" i="2" s="1"/>
  <c r="C767" i="2" s="1"/>
  <c r="K767" i="2" s="1"/>
  <c r="J766" i="2"/>
  <c r="L766" i="2"/>
  <c r="I767" i="2" l="1"/>
  <c r="D767" i="2"/>
  <c r="B767" i="2"/>
  <c r="E767" i="2"/>
  <c r="F767" i="2" l="1"/>
  <c r="G767" i="2" l="1"/>
  <c r="J767" i="2"/>
  <c r="H767" i="2" l="1"/>
  <c r="C768" i="2" s="1"/>
  <c r="K768" i="2" s="1"/>
  <c r="L767" i="2"/>
  <c r="I768" i="2" l="1"/>
  <c r="D768" i="2"/>
  <c r="B768" i="2"/>
  <c r="F768" i="2"/>
  <c r="E768" i="2"/>
  <c r="J768" i="2" l="1"/>
  <c r="G768" i="2"/>
  <c r="H768" i="2" l="1"/>
  <c r="C769" i="2" s="1"/>
  <c r="K769" i="2" s="1"/>
  <c r="L768" i="2"/>
  <c r="I769" i="2" l="1"/>
  <c r="D769" i="2"/>
  <c r="B769" i="2"/>
  <c r="F769" i="2"/>
  <c r="E769" i="2"/>
  <c r="G769" i="2" l="1"/>
  <c r="J769" i="2"/>
  <c r="H769" i="2" l="1"/>
  <c r="C770" i="2" s="1"/>
  <c r="K770" i="2" s="1"/>
  <c r="L769" i="2"/>
  <c r="I770" i="2" l="1"/>
  <c r="B770" i="2"/>
  <c r="F770" i="2" s="1"/>
  <c r="D770" i="2"/>
  <c r="E770" i="2"/>
  <c r="J770" i="2" l="1"/>
  <c r="G770" i="2"/>
  <c r="L770" i="2" l="1"/>
  <c r="H770" i="2"/>
  <c r="C771" i="2" s="1"/>
  <c r="K771" i="2" s="1"/>
  <c r="I771" i="2" l="1"/>
  <c r="D771" i="2"/>
  <c r="B771" i="2"/>
  <c r="F771" i="2"/>
  <c r="E771" i="2"/>
  <c r="J771" i="2" l="1"/>
  <c r="G771" i="2"/>
  <c r="H771" i="2" s="1"/>
  <c r="C772" i="2" s="1"/>
  <c r="K772" i="2" s="1"/>
  <c r="L771" i="2"/>
  <c r="I772" i="2" l="1"/>
  <c r="D772" i="2"/>
  <c r="B772" i="2"/>
  <c r="F772" i="2" s="1"/>
  <c r="E772" i="2"/>
  <c r="G772" i="2" l="1"/>
  <c r="H772" i="2" s="1"/>
  <c r="C773" i="2" s="1"/>
  <c r="K773" i="2" s="1"/>
  <c r="J772" i="2"/>
  <c r="L772" i="2"/>
  <c r="I773" i="2" l="1"/>
  <c r="D773" i="2"/>
  <c r="B773" i="2"/>
  <c r="F773" i="2"/>
  <c r="E773" i="2"/>
  <c r="G773" i="2" l="1"/>
  <c r="J773" i="2"/>
  <c r="H773" i="2" l="1"/>
  <c r="C774" i="2" s="1"/>
  <c r="K774" i="2" s="1"/>
  <c r="L773" i="2"/>
  <c r="I774" i="2" l="1"/>
  <c r="D774" i="2"/>
  <c r="B774" i="2"/>
  <c r="F774" i="2" s="1"/>
  <c r="E774" i="2"/>
  <c r="J774" i="2" l="1"/>
  <c r="G774" i="2"/>
  <c r="L774" i="2" l="1"/>
  <c r="H774" i="2"/>
  <c r="C775" i="2" s="1"/>
  <c r="K775" i="2" s="1"/>
  <c r="I775" i="2" l="1"/>
  <c r="D775" i="2"/>
  <c r="B775" i="2"/>
  <c r="F775" i="2" s="1"/>
  <c r="E775" i="2"/>
  <c r="G775" i="2" l="1"/>
  <c r="J775" i="2"/>
  <c r="H775" i="2" l="1"/>
  <c r="C776" i="2" s="1"/>
  <c r="K776" i="2" s="1"/>
  <c r="L775" i="2"/>
  <c r="I776" i="2" l="1"/>
  <c r="B776" i="2"/>
  <c r="F776" i="2"/>
  <c r="D776" i="2"/>
  <c r="E776" i="2"/>
  <c r="G776" i="2" l="1"/>
  <c r="J776" i="2"/>
  <c r="H776" i="2"/>
  <c r="C777" i="2" s="1"/>
  <c r="K777" i="2" s="1"/>
  <c r="L776" i="2"/>
  <c r="I777" i="2" l="1"/>
  <c r="D777" i="2"/>
  <c r="B777" i="2"/>
  <c r="F777" i="2"/>
  <c r="E777" i="2"/>
  <c r="J777" i="2" l="1"/>
  <c r="G777" i="2"/>
  <c r="H777" i="2" l="1"/>
  <c r="C778" i="2" s="1"/>
  <c r="K778" i="2" s="1"/>
  <c r="L777" i="2"/>
  <c r="I778" i="2" l="1"/>
  <c r="D778" i="2"/>
  <c r="B778" i="2"/>
  <c r="F778" i="2" s="1"/>
  <c r="E778" i="2"/>
  <c r="J778" i="2" l="1"/>
  <c r="G778" i="2"/>
  <c r="L778" i="2"/>
  <c r="H778" i="2"/>
  <c r="C779" i="2" s="1"/>
  <c r="K779" i="2" s="1"/>
  <c r="I779" i="2" l="1"/>
  <c r="D779" i="2"/>
  <c r="B779" i="2"/>
  <c r="F779" i="2" s="1"/>
  <c r="E779" i="2"/>
  <c r="J779" i="2" l="1"/>
  <c r="G779" i="2"/>
  <c r="H779" i="2" s="1"/>
  <c r="C780" i="2" s="1"/>
  <c r="K780" i="2" s="1"/>
  <c r="L779" i="2"/>
  <c r="I780" i="2" l="1"/>
  <c r="B780" i="2"/>
  <c r="F780" i="2" s="1"/>
  <c r="D780" i="2"/>
  <c r="E780" i="2"/>
  <c r="J780" i="2" l="1"/>
  <c r="G780" i="2"/>
  <c r="L780" i="2" l="1"/>
  <c r="H780" i="2"/>
  <c r="C781" i="2" s="1"/>
  <c r="K781" i="2" s="1"/>
  <c r="I781" i="2" l="1"/>
  <c r="D781" i="2"/>
  <c r="B781" i="2"/>
  <c r="F781" i="2" s="1"/>
  <c r="E781" i="2"/>
  <c r="G781" i="2" l="1"/>
  <c r="H781" i="2" s="1"/>
  <c r="C782" i="2" s="1"/>
  <c r="K782" i="2" s="1"/>
  <c r="J781" i="2"/>
  <c r="L781" i="2"/>
  <c r="I782" i="2" l="1"/>
  <c r="B782" i="2"/>
  <c r="F782" i="2"/>
  <c r="D782" i="2"/>
  <c r="E782" i="2"/>
  <c r="G782" i="2" l="1"/>
  <c r="L782" i="2" s="1"/>
  <c r="J782" i="2"/>
  <c r="H782" i="2" l="1"/>
  <c r="C783" i="2" s="1"/>
  <c r="K783" i="2" s="1"/>
  <c r="I783" i="2" l="1"/>
  <c r="D783" i="2"/>
  <c r="B783" i="2"/>
  <c r="F783" i="2"/>
  <c r="E783" i="2"/>
  <c r="J783" i="2" l="1"/>
  <c r="G783" i="2"/>
  <c r="H783" i="2" s="1"/>
  <c r="C784" i="2" s="1"/>
  <c r="K784" i="2" s="1"/>
  <c r="L783" i="2"/>
  <c r="I784" i="2" l="1"/>
  <c r="D784" i="2"/>
  <c r="B784" i="2"/>
  <c r="F784" i="2" s="1"/>
  <c r="E784" i="2"/>
  <c r="L784" i="2" l="1"/>
  <c r="J784" i="2"/>
  <c r="G784" i="2"/>
  <c r="H784" i="2"/>
  <c r="C785" i="2" s="1"/>
  <c r="K785" i="2" s="1"/>
  <c r="I785" i="2" l="1"/>
  <c r="D785" i="2"/>
  <c r="B785" i="2"/>
  <c r="F785" i="2"/>
  <c r="E785" i="2"/>
  <c r="J785" i="2" l="1"/>
  <c r="G785" i="2"/>
  <c r="L785" i="2" s="1"/>
  <c r="H785" i="2"/>
  <c r="C786" i="2" s="1"/>
  <c r="K786" i="2" s="1"/>
  <c r="I786" i="2" l="1"/>
  <c r="D786" i="2"/>
  <c r="B786" i="2"/>
  <c r="F786" i="2"/>
  <c r="E786" i="2"/>
  <c r="G786" i="2" l="1"/>
  <c r="L786" i="2" s="1"/>
  <c r="J786" i="2"/>
  <c r="H786" i="2"/>
  <c r="C787" i="2" s="1"/>
  <c r="K787" i="2" s="1"/>
  <c r="I787" i="2" l="1"/>
  <c r="B787" i="2"/>
  <c r="F787" i="2" s="1"/>
  <c r="D787" i="2"/>
  <c r="E787" i="2"/>
  <c r="G787" i="2" l="1"/>
  <c r="J787" i="2"/>
  <c r="L787" i="2" l="1"/>
  <c r="H787" i="2"/>
  <c r="C788" i="2" s="1"/>
  <c r="K788" i="2" s="1"/>
  <c r="I788" i="2" l="1"/>
  <c r="B788" i="2"/>
  <c r="D788" i="2"/>
  <c r="F788" i="2"/>
  <c r="E788" i="2"/>
  <c r="G788" i="2" l="1"/>
  <c r="J788" i="2"/>
  <c r="L788" i="2"/>
  <c r="H788" i="2"/>
  <c r="C789" i="2" s="1"/>
  <c r="K789" i="2" s="1"/>
  <c r="I789" i="2" l="1"/>
  <c r="D789" i="2"/>
  <c r="B789" i="2"/>
  <c r="F789" i="2" s="1"/>
  <c r="E789" i="2"/>
  <c r="G789" i="2" l="1"/>
  <c r="J789" i="2"/>
  <c r="H789" i="2" l="1"/>
  <c r="C790" i="2" s="1"/>
  <c r="K790" i="2" s="1"/>
  <c r="L789" i="2"/>
  <c r="I790" i="2" l="1"/>
  <c r="D790" i="2"/>
  <c r="B790" i="2"/>
  <c r="F790" i="2" s="1"/>
  <c r="E790" i="2"/>
  <c r="G790" i="2" l="1"/>
  <c r="J790" i="2"/>
  <c r="H790" i="2" l="1"/>
  <c r="C791" i="2" s="1"/>
  <c r="K791" i="2" s="1"/>
  <c r="L790" i="2"/>
  <c r="I791" i="2" l="1"/>
  <c r="D791" i="2"/>
  <c r="B791" i="2"/>
  <c r="F791" i="2" s="1"/>
  <c r="E791" i="2"/>
  <c r="J791" i="2" l="1"/>
  <c r="G791" i="2"/>
  <c r="H791" i="2" l="1"/>
  <c r="C792" i="2" s="1"/>
  <c r="K792" i="2" s="1"/>
  <c r="L791" i="2"/>
  <c r="I792" i="2" l="1"/>
  <c r="D792" i="2"/>
  <c r="B792" i="2"/>
  <c r="F792" i="2" s="1"/>
  <c r="E792" i="2"/>
  <c r="G792" i="2" l="1"/>
  <c r="L792" i="2" s="1"/>
  <c r="J792" i="2"/>
  <c r="H792" i="2"/>
  <c r="C793" i="2" s="1"/>
  <c r="K793" i="2" s="1"/>
  <c r="I793" i="2" l="1"/>
  <c r="D793" i="2"/>
  <c r="B793" i="2"/>
  <c r="F793" i="2" s="1"/>
  <c r="E793" i="2"/>
  <c r="G793" i="2" l="1"/>
  <c r="H793" i="2" s="1"/>
  <c r="C794" i="2" s="1"/>
  <c r="K794" i="2" s="1"/>
  <c r="J793" i="2"/>
  <c r="L793" i="2"/>
  <c r="I794" i="2" l="1"/>
  <c r="D794" i="2"/>
  <c r="B794" i="2"/>
  <c r="F794" i="2" s="1"/>
  <c r="E794" i="2"/>
  <c r="G794" i="2" l="1"/>
  <c r="H794" i="2" s="1"/>
  <c r="C795" i="2" s="1"/>
  <c r="K795" i="2" s="1"/>
  <c r="J794" i="2"/>
  <c r="L794" i="2"/>
  <c r="I795" i="2" l="1"/>
  <c r="D795" i="2"/>
  <c r="B795" i="2"/>
  <c r="F795" i="2"/>
  <c r="E795" i="2"/>
  <c r="G795" i="2" l="1"/>
  <c r="J795" i="2"/>
  <c r="H795" i="2" l="1"/>
  <c r="C796" i="2" s="1"/>
  <c r="K796" i="2" s="1"/>
  <c r="L795" i="2"/>
  <c r="I796" i="2" l="1"/>
  <c r="B796" i="2"/>
  <c r="D796" i="2"/>
  <c r="F796" i="2"/>
  <c r="E796" i="2"/>
  <c r="J796" i="2" l="1"/>
  <c r="G796" i="2"/>
  <c r="L796" i="2"/>
  <c r="H796" i="2"/>
  <c r="C797" i="2" s="1"/>
  <c r="K797" i="2" s="1"/>
  <c r="I797" i="2" l="1"/>
  <c r="D797" i="2"/>
  <c r="B797" i="2"/>
  <c r="F797" i="2"/>
  <c r="E797" i="2"/>
  <c r="G797" i="2" l="1"/>
  <c r="J797" i="2"/>
  <c r="H797" i="2" l="1"/>
  <c r="C798" i="2" s="1"/>
  <c r="K798" i="2" s="1"/>
  <c r="L797" i="2"/>
  <c r="I798" i="2" l="1"/>
  <c r="B798" i="2"/>
  <c r="D798" i="2"/>
  <c r="F798" i="2"/>
  <c r="E798" i="2"/>
  <c r="J798" i="2" l="1"/>
  <c r="G798" i="2"/>
  <c r="L798" i="2" s="1"/>
  <c r="H798" i="2"/>
  <c r="C799" i="2" s="1"/>
  <c r="K799" i="2" s="1"/>
  <c r="I799" i="2" l="1"/>
  <c r="D799" i="2"/>
  <c r="B799" i="2"/>
  <c r="F799" i="2"/>
  <c r="E799" i="2"/>
  <c r="G799" i="2" l="1"/>
  <c r="J799" i="2"/>
  <c r="L799" i="2" l="1"/>
  <c r="H799" i="2"/>
  <c r="C800" i="2" s="1"/>
  <c r="K800" i="2" s="1"/>
  <c r="I800" i="2" l="1"/>
  <c r="D800" i="2"/>
  <c r="B800" i="2"/>
  <c r="F800" i="2"/>
  <c r="E800" i="2"/>
  <c r="J800" i="2" l="1"/>
  <c r="G800" i="2"/>
  <c r="H800" i="2" l="1"/>
  <c r="C801" i="2" s="1"/>
  <c r="K801" i="2" s="1"/>
  <c r="L800" i="2"/>
  <c r="I801" i="2" l="1"/>
  <c r="D801" i="2"/>
  <c r="B801" i="2"/>
  <c r="F801" i="2" s="1"/>
  <c r="E801" i="2"/>
  <c r="G801" i="2" l="1"/>
  <c r="J801" i="2"/>
  <c r="L801" i="2" l="1"/>
  <c r="H801" i="2"/>
  <c r="C802" i="2" s="1"/>
  <c r="K802" i="2" s="1"/>
  <c r="I802" i="2" l="1"/>
  <c r="D802" i="2"/>
  <c r="B802" i="2"/>
  <c r="F802" i="2" s="1"/>
  <c r="E802" i="2"/>
  <c r="G802" i="2" l="1"/>
  <c r="J802" i="2"/>
  <c r="L802" i="2" l="1"/>
  <c r="H802" i="2"/>
  <c r="C803" i="2" s="1"/>
  <c r="K803" i="2" s="1"/>
  <c r="I803" i="2" l="1"/>
  <c r="D803" i="2"/>
  <c r="B803" i="2"/>
  <c r="F803" i="2"/>
  <c r="E803" i="2"/>
  <c r="J803" i="2" l="1"/>
  <c r="G803" i="2"/>
  <c r="H803" i="2" l="1"/>
  <c r="C804" i="2" s="1"/>
  <c r="K804" i="2" s="1"/>
  <c r="L803" i="2"/>
  <c r="I804" i="2" l="1"/>
  <c r="D804" i="2"/>
  <c r="B804" i="2"/>
  <c r="F804" i="2" s="1"/>
  <c r="E804" i="2"/>
  <c r="G804" i="2" l="1"/>
  <c r="J804" i="2"/>
  <c r="H804" i="2"/>
  <c r="C805" i="2" s="1"/>
  <c r="K805" i="2" s="1"/>
  <c r="L804" i="2"/>
  <c r="I805" i="2" l="1"/>
  <c r="D805" i="2"/>
  <c r="B805" i="2"/>
  <c r="F805" i="2"/>
  <c r="E805" i="2"/>
  <c r="J805" i="2" l="1"/>
  <c r="G805" i="2"/>
  <c r="H805" i="2" l="1"/>
  <c r="C806" i="2" s="1"/>
  <c r="K806" i="2" s="1"/>
  <c r="L805" i="2"/>
  <c r="I806" i="2" l="1"/>
  <c r="B806" i="2"/>
  <c r="F806" i="2"/>
  <c r="D806" i="2"/>
  <c r="E806" i="2"/>
  <c r="G806" i="2" l="1"/>
  <c r="L806" i="2" s="1"/>
  <c r="J806" i="2"/>
  <c r="H806" i="2"/>
  <c r="C807" i="2" s="1"/>
  <c r="K807" i="2" s="1"/>
  <c r="I807" i="2" l="1"/>
  <c r="D807" i="2"/>
  <c r="B807" i="2"/>
  <c r="F807" i="2"/>
  <c r="E807" i="2"/>
  <c r="G807" i="2" l="1"/>
  <c r="H807" i="2" s="1"/>
  <c r="C808" i="2" s="1"/>
  <c r="K808" i="2" s="1"/>
  <c r="J807" i="2"/>
  <c r="L807" i="2"/>
  <c r="I808" i="2" l="1"/>
  <c r="D808" i="2"/>
  <c r="B808" i="2"/>
  <c r="F808" i="2"/>
  <c r="E808" i="2"/>
  <c r="G808" i="2" l="1"/>
  <c r="H808" i="2" s="1"/>
  <c r="C809" i="2" s="1"/>
  <c r="K809" i="2" s="1"/>
  <c r="J808" i="2"/>
  <c r="L808" i="2"/>
  <c r="I809" i="2" l="1"/>
  <c r="D809" i="2"/>
  <c r="B809" i="2"/>
  <c r="F809" i="2"/>
  <c r="E809" i="2"/>
  <c r="J809" i="2" l="1"/>
  <c r="G809" i="2"/>
  <c r="L809" i="2" l="1"/>
  <c r="H809" i="2"/>
  <c r="C810" i="2" s="1"/>
  <c r="K810" i="2" s="1"/>
  <c r="I810" i="2" l="1"/>
  <c r="B810" i="2"/>
  <c r="F810" i="2" s="1"/>
  <c r="D810" i="2"/>
  <c r="E810" i="2"/>
  <c r="G810" i="2" l="1"/>
  <c r="J810" i="2"/>
  <c r="L810" i="2" l="1"/>
  <c r="H810" i="2"/>
  <c r="C811" i="2" s="1"/>
  <c r="K811" i="2" s="1"/>
  <c r="I811" i="2" l="1"/>
  <c r="D811" i="2"/>
  <c r="B811" i="2"/>
  <c r="F811" i="2"/>
  <c r="E811" i="2"/>
  <c r="J811" i="2" l="1"/>
  <c r="G811" i="2"/>
  <c r="H811" i="2" l="1"/>
  <c r="C812" i="2" s="1"/>
  <c r="K812" i="2" s="1"/>
  <c r="L811" i="2"/>
  <c r="I812" i="2" l="1"/>
  <c r="D812" i="2"/>
  <c r="B812" i="2"/>
  <c r="F812" i="2" s="1"/>
  <c r="E812" i="2"/>
  <c r="J812" i="2" l="1"/>
  <c r="G812" i="2"/>
  <c r="L812" i="2" l="1"/>
  <c r="H812" i="2"/>
  <c r="C813" i="2" s="1"/>
  <c r="K813" i="2" s="1"/>
  <c r="I813" i="2" l="1"/>
  <c r="D813" i="2"/>
  <c r="B813" i="2"/>
  <c r="F813" i="2"/>
  <c r="E813" i="2"/>
  <c r="G813" i="2" l="1"/>
  <c r="J813" i="2"/>
  <c r="L813" i="2" l="1"/>
  <c r="H813" i="2"/>
  <c r="C814" i="2" s="1"/>
  <c r="K814" i="2" s="1"/>
  <c r="I814" i="2" l="1"/>
  <c r="B814" i="2"/>
  <c r="F814" i="2"/>
  <c r="D814" i="2"/>
  <c r="E814" i="2"/>
  <c r="J814" i="2" l="1"/>
  <c r="G814" i="2"/>
  <c r="H814" i="2" s="1"/>
  <c r="C815" i="2" s="1"/>
  <c r="K815" i="2" s="1"/>
  <c r="L814" i="2"/>
  <c r="I815" i="2" l="1"/>
  <c r="D815" i="2"/>
  <c r="B815" i="2"/>
  <c r="F815" i="2"/>
  <c r="E815" i="2"/>
  <c r="J815" i="2" l="1"/>
  <c r="G815" i="2"/>
  <c r="H815" i="2" l="1"/>
  <c r="C816" i="2" s="1"/>
  <c r="K816" i="2" s="1"/>
  <c r="L815" i="2"/>
  <c r="I816" i="2" l="1"/>
  <c r="B816" i="2"/>
  <c r="F816" i="2"/>
  <c r="D816" i="2"/>
  <c r="E816" i="2"/>
  <c r="J816" i="2" l="1"/>
  <c r="G816" i="2"/>
  <c r="H816" i="2"/>
  <c r="C817" i="2" s="1"/>
  <c r="K817" i="2" s="1"/>
  <c r="L816" i="2"/>
  <c r="I817" i="2" l="1"/>
  <c r="D817" i="2"/>
  <c r="B817" i="2"/>
  <c r="F817" i="2" s="1"/>
  <c r="E817" i="2"/>
  <c r="J817" i="2" l="1"/>
  <c r="G817" i="2"/>
  <c r="L817" i="2" s="1"/>
  <c r="H817" i="2"/>
  <c r="C818" i="2" s="1"/>
  <c r="K818" i="2" s="1"/>
  <c r="I818" i="2" l="1"/>
  <c r="B818" i="2"/>
  <c r="F818" i="2"/>
  <c r="D818" i="2"/>
  <c r="E818" i="2"/>
  <c r="J818" i="2" l="1"/>
  <c r="L818" i="2" s="1"/>
  <c r="G818" i="2"/>
  <c r="H818" i="2" s="1"/>
  <c r="C819" i="2" s="1"/>
  <c r="K819" i="2" s="1"/>
  <c r="I819" i="2" l="1"/>
  <c r="D819" i="2"/>
  <c r="B819" i="2"/>
  <c r="F819" i="2" s="1"/>
  <c r="E819" i="2"/>
  <c r="J819" i="2" l="1"/>
  <c r="G819" i="2"/>
  <c r="H819" i="2" l="1"/>
  <c r="C820" i="2" s="1"/>
  <c r="K820" i="2" s="1"/>
  <c r="L819" i="2"/>
  <c r="I820" i="2" l="1"/>
  <c r="D820" i="2"/>
  <c r="B820" i="2"/>
  <c r="F820" i="2"/>
  <c r="E820" i="2"/>
  <c r="J820" i="2" l="1"/>
  <c r="G820" i="2"/>
  <c r="H820" i="2" l="1"/>
  <c r="C821" i="2" s="1"/>
  <c r="K821" i="2" s="1"/>
  <c r="L820" i="2"/>
  <c r="I821" i="2" l="1"/>
  <c r="D821" i="2"/>
  <c r="B821" i="2"/>
  <c r="F821" i="2" s="1"/>
  <c r="E821" i="2"/>
  <c r="J821" i="2" l="1"/>
  <c r="G821" i="2"/>
  <c r="H821" i="2" s="1"/>
  <c r="C822" i="2" s="1"/>
  <c r="K822" i="2" s="1"/>
  <c r="L821" i="2"/>
  <c r="I822" i="2" l="1"/>
  <c r="B822" i="2"/>
  <c r="F822" i="2"/>
  <c r="D822" i="2"/>
  <c r="E822" i="2"/>
  <c r="G822" i="2" l="1"/>
  <c r="J822" i="2"/>
  <c r="L822" i="2" l="1"/>
  <c r="H822" i="2"/>
  <c r="C823" i="2" s="1"/>
  <c r="K823" i="2" s="1"/>
  <c r="I823" i="2" l="1"/>
  <c r="D823" i="2"/>
  <c r="B823" i="2"/>
  <c r="F823" i="2" s="1"/>
  <c r="E823" i="2"/>
  <c r="J823" i="2" l="1"/>
  <c r="G823" i="2"/>
  <c r="H823" i="2" s="1"/>
  <c r="C824" i="2" s="1"/>
  <c r="K824" i="2" s="1"/>
  <c r="L823" i="2"/>
  <c r="I824" i="2" l="1"/>
  <c r="B824" i="2"/>
  <c r="F824" i="2"/>
  <c r="D824" i="2"/>
  <c r="E824" i="2"/>
  <c r="J824" i="2" l="1"/>
  <c r="G824" i="2"/>
  <c r="L824" i="2" s="1"/>
  <c r="H824" i="2"/>
  <c r="C825" i="2" s="1"/>
  <c r="K825" i="2" s="1"/>
  <c r="I825" i="2" l="1"/>
  <c r="D825" i="2"/>
  <c r="B825" i="2"/>
  <c r="F825" i="2"/>
  <c r="E825" i="2"/>
  <c r="J825" i="2" l="1"/>
  <c r="G825" i="2"/>
  <c r="H825" i="2" l="1"/>
  <c r="C826" i="2" s="1"/>
  <c r="K826" i="2" s="1"/>
  <c r="L825" i="2"/>
  <c r="I826" i="2" l="1"/>
  <c r="B826" i="2"/>
  <c r="F826" i="2" s="1"/>
  <c r="D826" i="2"/>
  <c r="E826" i="2"/>
  <c r="G826" i="2" l="1"/>
  <c r="L826" i="2" s="1"/>
  <c r="J826" i="2"/>
  <c r="H826" i="2"/>
  <c r="C827" i="2" s="1"/>
  <c r="K827" i="2" s="1"/>
  <c r="I827" i="2" l="1"/>
  <c r="D827" i="2"/>
  <c r="B827" i="2"/>
  <c r="F827" i="2"/>
  <c r="E827" i="2"/>
  <c r="J827" i="2" l="1"/>
  <c r="G827" i="2"/>
  <c r="H827" i="2" l="1"/>
  <c r="C828" i="2" s="1"/>
  <c r="K828" i="2" s="1"/>
  <c r="L827" i="2"/>
  <c r="I828" i="2" l="1"/>
  <c r="B828" i="2"/>
  <c r="F828" i="2" s="1"/>
  <c r="D828" i="2"/>
  <c r="E828" i="2"/>
  <c r="J828" i="2" l="1"/>
  <c r="G828" i="2"/>
  <c r="L828" i="2" s="1"/>
  <c r="H828" i="2"/>
  <c r="C829" i="2" s="1"/>
  <c r="K829" i="2" s="1"/>
  <c r="I829" i="2" l="1"/>
  <c r="D829" i="2"/>
  <c r="B829" i="2"/>
  <c r="F829" i="2"/>
  <c r="E829" i="2"/>
  <c r="G829" i="2" l="1"/>
  <c r="J829" i="2"/>
  <c r="H829" i="2" l="1"/>
  <c r="C830" i="2" s="1"/>
  <c r="K830" i="2" s="1"/>
  <c r="L829" i="2"/>
  <c r="I830" i="2" l="1"/>
  <c r="B830" i="2"/>
  <c r="F830" i="2" s="1"/>
  <c r="D830" i="2"/>
  <c r="E830" i="2"/>
  <c r="G830" i="2" l="1"/>
  <c r="J830" i="2"/>
  <c r="L830" i="2" l="1"/>
  <c r="H830" i="2"/>
  <c r="C831" i="2" s="1"/>
  <c r="K831" i="2" s="1"/>
  <c r="I831" i="2" l="1"/>
  <c r="B831" i="2"/>
  <c r="F831" i="2" s="1"/>
  <c r="D831" i="2"/>
  <c r="E831" i="2"/>
  <c r="G831" i="2" l="1"/>
  <c r="H831" i="2" s="1"/>
  <c r="C832" i="2" s="1"/>
  <c r="K832" i="2" s="1"/>
  <c r="J831" i="2"/>
  <c r="I832" i="2" l="1"/>
  <c r="D832" i="2"/>
  <c r="B832" i="2"/>
  <c r="F832" i="2" s="1"/>
  <c r="L831" i="2"/>
  <c r="E832" i="2"/>
  <c r="G832" i="2" l="1"/>
  <c r="H832" i="2" s="1"/>
  <c r="C833" i="2" s="1"/>
  <c r="K833" i="2" s="1"/>
  <c r="J832" i="2"/>
  <c r="L832" i="2"/>
  <c r="I833" i="2" l="1"/>
  <c r="D833" i="2"/>
  <c r="B833" i="2"/>
  <c r="F833" i="2" s="1"/>
  <c r="E833" i="2"/>
  <c r="J833" i="2" l="1"/>
  <c r="G833" i="2"/>
  <c r="H833" i="2" s="1"/>
  <c r="C834" i="2" s="1"/>
  <c r="K834" i="2" s="1"/>
  <c r="L833" i="2"/>
  <c r="I834" i="2" l="1"/>
  <c r="B834" i="2"/>
  <c r="F834" i="2" s="1"/>
  <c r="D834" i="2"/>
  <c r="E834" i="2"/>
  <c r="G834" i="2" l="1"/>
  <c r="J834" i="2"/>
  <c r="H834" i="2" l="1"/>
  <c r="C835" i="2" s="1"/>
  <c r="K835" i="2" s="1"/>
  <c r="L834" i="2"/>
  <c r="I835" i="2" l="1"/>
  <c r="D835" i="2"/>
  <c r="B835" i="2"/>
  <c r="F835" i="2" s="1"/>
  <c r="E835" i="2"/>
  <c r="G835" i="2" l="1"/>
  <c r="H835" i="2" s="1"/>
  <c r="C836" i="2" s="1"/>
  <c r="K836" i="2" s="1"/>
  <c r="J835" i="2"/>
  <c r="L835" i="2"/>
  <c r="I836" i="2" l="1"/>
  <c r="B836" i="2"/>
  <c r="D836" i="2"/>
  <c r="E836" i="2"/>
  <c r="F836" i="2" l="1"/>
  <c r="G836" i="2" l="1"/>
  <c r="J836" i="2"/>
  <c r="L836" i="2" l="1"/>
  <c r="H836" i="2"/>
  <c r="C837" i="2" s="1"/>
  <c r="K837" i="2" s="1"/>
  <c r="I837" i="2" l="1"/>
  <c r="D837" i="2"/>
  <c r="B837" i="2"/>
  <c r="F837" i="2" s="1"/>
  <c r="E837" i="2"/>
  <c r="J837" i="2" l="1"/>
  <c r="G837" i="2"/>
  <c r="L837" i="2" s="1"/>
  <c r="H837" i="2" l="1"/>
  <c r="C838" i="2" s="1"/>
  <c r="K838" i="2" s="1"/>
  <c r="I838" i="2" l="1"/>
  <c r="B838" i="2"/>
  <c r="F838" i="2"/>
  <c r="D838" i="2"/>
  <c r="E838" i="2"/>
  <c r="G838" i="2" l="1"/>
  <c r="L838" i="2" s="1"/>
  <c r="J838" i="2"/>
  <c r="H838" i="2"/>
  <c r="C839" i="2" s="1"/>
  <c r="K839" i="2" s="1"/>
  <c r="I839" i="2" l="1"/>
  <c r="D839" i="2"/>
  <c r="B839" i="2"/>
  <c r="F839" i="2" s="1"/>
  <c r="E839" i="2"/>
  <c r="J839" i="2" l="1"/>
  <c r="G839" i="2"/>
  <c r="H839" i="2" s="1"/>
  <c r="C840" i="2" s="1"/>
  <c r="K840" i="2" s="1"/>
  <c r="L839" i="2"/>
  <c r="I840" i="2" l="1"/>
  <c r="D840" i="2"/>
  <c r="B840" i="2"/>
  <c r="F840" i="2" s="1"/>
  <c r="E840" i="2"/>
  <c r="J840" i="2" l="1"/>
  <c r="G840" i="2"/>
  <c r="L840" i="2" l="1"/>
  <c r="H840" i="2"/>
  <c r="C841" i="2" s="1"/>
  <c r="K841" i="2" s="1"/>
  <c r="I841" i="2" l="1"/>
  <c r="D841" i="2"/>
  <c r="B841" i="2"/>
  <c r="F841" i="2" s="1"/>
  <c r="E841" i="2"/>
  <c r="J841" i="2" l="1"/>
  <c r="G841" i="2"/>
  <c r="H841" i="2" s="1"/>
  <c r="C842" i="2" s="1"/>
  <c r="K842" i="2" s="1"/>
  <c r="L841" i="2"/>
  <c r="I842" i="2" l="1"/>
  <c r="B842" i="2"/>
  <c r="F842" i="2"/>
  <c r="D842" i="2"/>
  <c r="E842" i="2"/>
  <c r="G842" i="2" l="1"/>
  <c r="J842" i="2"/>
  <c r="L842" i="2" l="1"/>
  <c r="H842" i="2"/>
  <c r="C843" i="2" s="1"/>
  <c r="K843" i="2" s="1"/>
  <c r="I843" i="2" l="1"/>
  <c r="D843" i="2"/>
  <c r="B843" i="2"/>
  <c r="F843" i="2" s="1"/>
  <c r="E843" i="2"/>
  <c r="G843" i="2" l="1"/>
  <c r="J843" i="2"/>
  <c r="H843" i="2" l="1"/>
  <c r="C844" i="2" s="1"/>
  <c r="K844" i="2" s="1"/>
  <c r="L843" i="2"/>
  <c r="I844" i="2" l="1"/>
  <c r="B844" i="2"/>
  <c r="D844" i="2"/>
  <c r="F844" i="2"/>
  <c r="E844" i="2"/>
  <c r="G844" i="2" l="1"/>
  <c r="J844" i="2"/>
  <c r="H844" i="2" l="1"/>
  <c r="C845" i="2" s="1"/>
  <c r="K845" i="2" s="1"/>
  <c r="L844" i="2"/>
  <c r="I845" i="2" l="1"/>
  <c r="D845" i="2"/>
  <c r="B845" i="2"/>
  <c r="F845" i="2" s="1"/>
  <c r="E845" i="2"/>
  <c r="G845" i="2" l="1"/>
  <c r="J845" i="2"/>
  <c r="H845" i="2" l="1"/>
  <c r="C846" i="2" s="1"/>
  <c r="K846" i="2" s="1"/>
  <c r="L845" i="2"/>
  <c r="I846" i="2" l="1"/>
  <c r="B846" i="2"/>
  <c r="F846" i="2" s="1"/>
  <c r="D846" i="2"/>
  <c r="E846" i="2"/>
  <c r="G846" i="2" l="1"/>
  <c r="J846" i="2"/>
  <c r="L846" i="2" l="1"/>
  <c r="H846" i="2"/>
  <c r="C847" i="2" s="1"/>
  <c r="K847" i="2" s="1"/>
  <c r="I847" i="2" l="1"/>
  <c r="D847" i="2"/>
  <c r="B847" i="2"/>
  <c r="F847" i="2" s="1"/>
  <c r="E847" i="2"/>
  <c r="J847" i="2" l="1"/>
  <c r="G847" i="2"/>
  <c r="H847" i="2" l="1"/>
  <c r="C848" i="2" s="1"/>
  <c r="K848" i="2" s="1"/>
  <c r="L847" i="2"/>
  <c r="I848" i="2" l="1"/>
  <c r="D848" i="2"/>
  <c r="B848" i="2"/>
  <c r="F848" i="2" s="1"/>
  <c r="E848" i="2"/>
  <c r="G848" i="2" l="1"/>
  <c r="J848" i="2"/>
  <c r="L848" i="2" l="1"/>
  <c r="H848" i="2"/>
  <c r="C849" i="2" s="1"/>
  <c r="K849" i="2" s="1"/>
  <c r="I849" i="2" l="1"/>
  <c r="D849" i="2"/>
  <c r="B849" i="2"/>
  <c r="F849" i="2" s="1"/>
  <c r="E849" i="2"/>
  <c r="J849" i="2" l="1"/>
  <c r="G849" i="2"/>
  <c r="H849" i="2" l="1"/>
  <c r="C850" i="2" s="1"/>
  <c r="K850" i="2" s="1"/>
  <c r="L849" i="2"/>
  <c r="I850" i="2" l="1"/>
  <c r="D850" i="2"/>
  <c r="B850" i="2"/>
  <c r="F850" i="2" s="1"/>
  <c r="E850" i="2"/>
  <c r="G850" i="2" l="1"/>
  <c r="H850" i="2" s="1"/>
  <c r="C851" i="2" s="1"/>
  <c r="K851" i="2" s="1"/>
  <c r="J850" i="2"/>
  <c r="L850" i="2"/>
  <c r="I851" i="2" l="1"/>
  <c r="D851" i="2"/>
  <c r="B851" i="2"/>
  <c r="F851" i="2"/>
  <c r="E851" i="2"/>
  <c r="J851" i="2" l="1"/>
  <c r="G851" i="2"/>
  <c r="H851" i="2" l="1"/>
  <c r="C852" i="2" s="1"/>
  <c r="K852" i="2" s="1"/>
  <c r="L851" i="2"/>
  <c r="I852" i="2" l="1"/>
  <c r="B852" i="2"/>
  <c r="F852" i="2" s="1"/>
  <c r="D852" i="2"/>
  <c r="E852" i="2"/>
  <c r="J852" i="2" l="1"/>
  <c r="G852" i="2"/>
  <c r="H852" i="2" l="1"/>
  <c r="C853" i="2" s="1"/>
  <c r="K853" i="2" s="1"/>
  <c r="L852" i="2"/>
  <c r="I853" i="2" l="1"/>
  <c r="D853" i="2"/>
  <c r="B853" i="2"/>
  <c r="F853" i="2"/>
  <c r="E853" i="2"/>
  <c r="J853" i="2" l="1"/>
  <c r="G853" i="2"/>
  <c r="H853" i="2" l="1"/>
  <c r="C854" i="2" s="1"/>
  <c r="K854" i="2" s="1"/>
  <c r="L853" i="2"/>
  <c r="I854" i="2" l="1"/>
  <c r="D854" i="2"/>
  <c r="B854" i="2"/>
  <c r="F854" i="2" s="1"/>
  <c r="E854" i="2"/>
  <c r="G854" i="2" l="1"/>
  <c r="J854" i="2"/>
  <c r="H854" i="2"/>
  <c r="C855" i="2" s="1"/>
  <c r="K855" i="2" s="1"/>
  <c r="I855" i="2" l="1"/>
  <c r="B855" i="2"/>
  <c r="F855" i="2" s="1"/>
  <c r="L854" i="2"/>
  <c r="D855" i="2" s="1"/>
  <c r="E855" i="2"/>
  <c r="G855" i="2" l="1"/>
  <c r="J855" i="2"/>
  <c r="H855" i="2" l="1"/>
  <c r="C856" i="2" s="1"/>
  <c r="K856" i="2" s="1"/>
  <c r="L855" i="2"/>
  <c r="I856" i="2" l="1"/>
  <c r="D856" i="2"/>
  <c r="B856" i="2"/>
  <c r="F856" i="2" s="1"/>
  <c r="E856" i="2"/>
  <c r="J856" i="2" l="1"/>
  <c r="G856" i="2"/>
  <c r="L856" i="2" l="1"/>
  <c r="H856" i="2"/>
  <c r="C857" i="2" s="1"/>
  <c r="K857" i="2" s="1"/>
  <c r="I857" i="2" l="1"/>
  <c r="D857" i="2"/>
  <c r="B857" i="2"/>
  <c r="F857" i="2"/>
  <c r="E857" i="2"/>
  <c r="J857" i="2" l="1"/>
  <c r="G857" i="2"/>
  <c r="H857" i="2" l="1"/>
  <c r="C858" i="2" s="1"/>
  <c r="K858" i="2" s="1"/>
  <c r="L857" i="2"/>
  <c r="I858" i="2" l="1"/>
  <c r="B858" i="2"/>
  <c r="F858" i="2" s="1"/>
  <c r="D858" i="2"/>
  <c r="E858" i="2"/>
  <c r="J858" i="2" l="1"/>
  <c r="G858" i="2"/>
  <c r="H858" i="2" l="1"/>
  <c r="C859" i="2" s="1"/>
  <c r="K859" i="2" s="1"/>
  <c r="L858" i="2"/>
  <c r="I859" i="2" l="1"/>
  <c r="D859" i="2"/>
  <c r="B859" i="2"/>
  <c r="F859" i="2" s="1"/>
  <c r="E859" i="2"/>
  <c r="G859" i="2" l="1"/>
  <c r="J859" i="2"/>
  <c r="H859" i="2" l="1"/>
  <c r="C860" i="2" s="1"/>
  <c r="K860" i="2" s="1"/>
  <c r="L859" i="2"/>
  <c r="I860" i="2" l="1"/>
  <c r="D860" i="2"/>
  <c r="B860" i="2"/>
  <c r="F860" i="2" s="1"/>
  <c r="E860" i="2"/>
  <c r="J860" i="2" l="1"/>
  <c r="G860" i="2"/>
  <c r="L860" i="2" s="1"/>
  <c r="H860" i="2"/>
  <c r="C861" i="2" s="1"/>
  <c r="K861" i="2" s="1"/>
  <c r="I861" i="2" l="1"/>
  <c r="D861" i="2"/>
  <c r="B861" i="2"/>
  <c r="F861" i="2"/>
  <c r="E861" i="2"/>
  <c r="G861" i="2" l="1"/>
  <c r="J861" i="2"/>
  <c r="H861" i="2" l="1"/>
  <c r="C862" i="2" s="1"/>
  <c r="K862" i="2" s="1"/>
  <c r="L861" i="2"/>
  <c r="I862" i="2" l="1"/>
  <c r="D862" i="2"/>
  <c r="B862" i="2"/>
  <c r="F862" i="2" s="1"/>
  <c r="E862" i="2"/>
  <c r="G862" i="2" l="1"/>
  <c r="H862" i="2" s="1"/>
  <c r="C863" i="2" s="1"/>
  <c r="K863" i="2" s="1"/>
  <c r="J862" i="2"/>
  <c r="L862" i="2"/>
  <c r="I863" i="2" l="1"/>
  <c r="D863" i="2"/>
  <c r="B863" i="2"/>
  <c r="F863" i="2"/>
  <c r="E863" i="2"/>
  <c r="J863" i="2" l="1"/>
  <c r="G863" i="2"/>
  <c r="H863" i="2" s="1"/>
  <c r="C864" i="2" s="1"/>
  <c r="K864" i="2" s="1"/>
  <c r="L863" i="2"/>
  <c r="I864" i="2" l="1"/>
  <c r="D864" i="2"/>
  <c r="B864" i="2"/>
  <c r="F864" i="2" s="1"/>
  <c r="E864" i="2"/>
  <c r="J864" i="2" l="1"/>
  <c r="G864" i="2"/>
  <c r="L864" i="2" l="1"/>
  <c r="H864" i="2"/>
  <c r="C865" i="2" s="1"/>
  <c r="K865" i="2" s="1"/>
  <c r="I865" i="2" l="1"/>
  <c r="D865" i="2"/>
  <c r="B865" i="2"/>
  <c r="F865" i="2"/>
  <c r="E865" i="2"/>
  <c r="G865" i="2" l="1"/>
  <c r="J865" i="2"/>
  <c r="H865" i="2" l="1"/>
  <c r="C866" i="2" s="1"/>
  <c r="K866" i="2" s="1"/>
  <c r="L865" i="2"/>
  <c r="I866" i="2" l="1"/>
  <c r="B866" i="2"/>
  <c r="F866" i="2"/>
  <c r="D866" i="2"/>
  <c r="E866" i="2"/>
  <c r="J866" i="2" l="1"/>
  <c r="G866" i="2"/>
  <c r="H866" i="2" l="1"/>
  <c r="C867" i="2" s="1"/>
  <c r="K867" i="2" s="1"/>
  <c r="L866" i="2"/>
  <c r="I867" i="2" l="1"/>
  <c r="D867" i="2"/>
  <c r="B867" i="2"/>
  <c r="F867" i="2"/>
  <c r="E867" i="2"/>
  <c r="G867" i="2" l="1"/>
  <c r="H867" i="2" s="1"/>
  <c r="C868" i="2" s="1"/>
  <c r="K868" i="2" s="1"/>
  <c r="J867" i="2"/>
  <c r="L867" i="2"/>
  <c r="I868" i="2" l="1"/>
  <c r="D868" i="2"/>
  <c r="B868" i="2"/>
  <c r="F868" i="2" s="1"/>
  <c r="E868" i="2"/>
  <c r="J868" i="2" l="1"/>
  <c r="G868" i="2"/>
  <c r="L868" i="2" l="1"/>
  <c r="H868" i="2"/>
  <c r="C869" i="2" s="1"/>
  <c r="K869" i="2" s="1"/>
  <c r="I869" i="2" l="1"/>
  <c r="D869" i="2"/>
  <c r="B869" i="2"/>
  <c r="F869" i="2"/>
  <c r="E869" i="2"/>
  <c r="J869" i="2" l="1"/>
  <c r="G869" i="2"/>
  <c r="H869" i="2" l="1"/>
  <c r="C870" i="2" s="1"/>
  <c r="K870" i="2" s="1"/>
  <c r="L869" i="2"/>
  <c r="I870" i="2" l="1"/>
  <c r="B870" i="2"/>
  <c r="F870" i="2" s="1"/>
  <c r="D870" i="2"/>
  <c r="E870" i="2"/>
  <c r="G870" i="2" l="1"/>
  <c r="J870" i="2"/>
  <c r="L870" i="2" l="1"/>
  <c r="H870" i="2"/>
  <c r="C871" i="2" s="1"/>
  <c r="K871" i="2" s="1"/>
  <c r="I871" i="2" l="1"/>
  <c r="D871" i="2"/>
  <c r="B871" i="2"/>
  <c r="F871" i="2" s="1"/>
  <c r="E871" i="2"/>
  <c r="J871" i="2" l="1"/>
  <c r="G871" i="2"/>
  <c r="H871" i="2"/>
  <c r="C872" i="2" s="1"/>
  <c r="K872" i="2" s="1"/>
  <c r="L871" i="2"/>
  <c r="I872" i="2" l="1"/>
  <c r="B872" i="2"/>
  <c r="F872" i="2" s="1"/>
  <c r="D872" i="2"/>
  <c r="E872" i="2"/>
  <c r="J872" i="2" l="1"/>
  <c r="G872" i="2"/>
  <c r="H872" i="2" l="1"/>
  <c r="C873" i="2" s="1"/>
  <c r="K873" i="2" s="1"/>
  <c r="L872" i="2"/>
  <c r="I873" i="2" l="1"/>
  <c r="D873" i="2"/>
  <c r="B873" i="2"/>
  <c r="F873" i="2" s="1"/>
  <c r="E873" i="2"/>
  <c r="J873" i="2" l="1"/>
  <c r="G873" i="2"/>
  <c r="H873" i="2" s="1"/>
  <c r="C874" i="2" s="1"/>
  <c r="K874" i="2" s="1"/>
  <c r="L873" i="2"/>
  <c r="I874" i="2" l="1"/>
  <c r="B874" i="2"/>
  <c r="F874" i="2"/>
  <c r="D874" i="2"/>
  <c r="E874" i="2"/>
  <c r="J874" i="2" l="1"/>
  <c r="G874" i="2"/>
  <c r="H874" i="2"/>
  <c r="C875" i="2" s="1"/>
  <c r="K875" i="2" s="1"/>
  <c r="L874" i="2"/>
  <c r="I875" i="2" l="1"/>
  <c r="D875" i="2"/>
  <c r="B875" i="2"/>
  <c r="F875" i="2" s="1"/>
  <c r="E875" i="2"/>
  <c r="G875" i="2" l="1"/>
  <c r="H875" i="2" s="1"/>
  <c r="C876" i="2" s="1"/>
  <c r="K876" i="2" s="1"/>
  <c r="J875" i="2"/>
  <c r="L875" i="2"/>
  <c r="I876" i="2" l="1"/>
  <c r="D876" i="2"/>
  <c r="B876" i="2"/>
  <c r="F876" i="2" s="1"/>
  <c r="E876" i="2"/>
  <c r="J876" i="2" l="1"/>
  <c r="G876" i="2"/>
  <c r="L876" i="2" l="1"/>
  <c r="H876" i="2"/>
  <c r="C877" i="2" s="1"/>
  <c r="K877" i="2" s="1"/>
  <c r="I877" i="2" l="1"/>
  <c r="D877" i="2"/>
  <c r="B877" i="2"/>
  <c r="F877" i="2"/>
  <c r="E877" i="2"/>
  <c r="J877" i="2" l="1"/>
  <c r="G877" i="2"/>
  <c r="H877" i="2" l="1"/>
  <c r="C878" i="2" s="1"/>
  <c r="K878" i="2" s="1"/>
  <c r="L877" i="2"/>
  <c r="I878" i="2" l="1"/>
  <c r="B878" i="2"/>
  <c r="F878" i="2" s="1"/>
  <c r="D878" i="2"/>
  <c r="E878" i="2"/>
  <c r="G878" i="2" l="1"/>
  <c r="J878" i="2"/>
  <c r="H878" i="2" l="1"/>
  <c r="C879" i="2" s="1"/>
  <c r="K879" i="2" s="1"/>
  <c r="L878" i="2"/>
  <c r="I879" i="2" l="1"/>
  <c r="D879" i="2"/>
  <c r="B879" i="2"/>
  <c r="E879" i="2"/>
  <c r="F879" i="2" l="1"/>
  <c r="J879" i="2" l="1"/>
  <c r="G879" i="2"/>
  <c r="H879" i="2" l="1"/>
  <c r="C880" i="2" s="1"/>
  <c r="K880" i="2" s="1"/>
  <c r="L879" i="2"/>
  <c r="I880" i="2" l="1"/>
  <c r="D880" i="2"/>
  <c r="B880" i="2"/>
  <c r="F880" i="2" s="1"/>
  <c r="E880" i="2"/>
  <c r="G880" i="2" l="1"/>
  <c r="H880" i="2" s="1"/>
  <c r="C881" i="2" s="1"/>
  <c r="K881" i="2" s="1"/>
  <c r="J880" i="2"/>
  <c r="L880" i="2"/>
  <c r="I881" i="2" l="1"/>
  <c r="D881" i="2"/>
  <c r="B881" i="2"/>
  <c r="F881" i="2"/>
  <c r="E881" i="2"/>
  <c r="G881" i="2" l="1"/>
  <c r="H881" i="2" s="1"/>
  <c r="C882" i="2" s="1"/>
  <c r="K882" i="2" s="1"/>
  <c r="J881" i="2"/>
  <c r="L881" i="2"/>
  <c r="I882" i="2" l="1"/>
  <c r="D882" i="2"/>
  <c r="B882" i="2"/>
  <c r="F882" i="2" s="1"/>
  <c r="E882" i="2"/>
  <c r="G882" i="2" l="1"/>
  <c r="H882" i="2" s="1"/>
  <c r="C883" i="2" s="1"/>
  <c r="K883" i="2" s="1"/>
  <c r="J882" i="2"/>
  <c r="L882" i="2"/>
  <c r="I883" i="2" l="1"/>
  <c r="D883" i="2"/>
  <c r="B883" i="2"/>
  <c r="F883" i="2"/>
  <c r="E883" i="2"/>
  <c r="J883" i="2" l="1"/>
  <c r="G883" i="2"/>
  <c r="H883" i="2" s="1"/>
  <c r="C884" i="2" s="1"/>
  <c r="K884" i="2" s="1"/>
  <c r="L883" i="2"/>
  <c r="I884" i="2" l="1"/>
  <c r="B884" i="2"/>
  <c r="F884" i="2"/>
  <c r="D884" i="2"/>
  <c r="E884" i="2"/>
  <c r="G884" i="2" l="1"/>
  <c r="J884" i="2"/>
  <c r="H884" i="2"/>
  <c r="C885" i="2" s="1"/>
  <c r="K885" i="2" s="1"/>
  <c r="L884" i="2"/>
  <c r="I885" i="2" l="1"/>
  <c r="D885" i="2"/>
  <c r="B885" i="2"/>
  <c r="F885" i="2"/>
  <c r="E885" i="2"/>
  <c r="J885" i="2" l="1"/>
  <c r="G885" i="2"/>
  <c r="H885" i="2" l="1"/>
  <c r="C886" i="2" s="1"/>
  <c r="K886" i="2" s="1"/>
  <c r="L885" i="2"/>
  <c r="I886" i="2" l="1"/>
  <c r="B886" i="2"/>
  <c r="F886" i="2" s="1"/>
  <c r="D886" i="2"/>
  <c r="E886" i="2"/>
  <c r="G886" i="2" l="1"/>
  <c r="J886" i="2"/>
  <c r="L886" i="2" l="1"/>
  <c r="H886" i="2"/>
  <c r="C887" i="2" s="1"/>
  <c r="K887" i="2" s="1"/>
  <c r="I887" i="2" l="1"/>
  <c r="D887" i="2"/>
  <c r="B887" i="2"/>
  <c r="F887" i="2"/>
  <c r="E887" i="2"/>
  <c r="G887" i="2" l="1"/>
  <c r="J887" i="2"/>
  <c r="H887" i="2" l="1"/>
  <c r="C888" i="2" s="1"/>
  <c r="K888" i="2" s="1"/>
  <c r="L887" i="2"/>
  <c r="I888" i="2" l="1"/>
  <c r="D888" i="2"/>
  <c r="B888" i="2"/>
  <c r="F888" i="2" s="1"/>
  <c r="E888" i="2"/>
  <c r="G888" i="2" l="1"/>
  <c r="L888" i="2" s="1"/>
  <c r="J888" i="2"/>
  <c r="H888" i="2"/>
  <c r="C889" i="2" s="1"/>
  <c r="K889" i="2" s="1"/>
  <c r="I889" i="2" l="1"/>
  <c r="D889" i="2"/>
  <c r="B889" i="2"/>
  <c r="F889" i="2"/>
  <c r="E889" i="2"/>
  <c r="G889" i="2" l="1"/>
  <c r="J889" i="2"/>
  <c r="H889" i="2" l="1"/>
  <c r="C890" i="2" s="1"/>
  <c r="K890" i="2" s="1"/>
  <c r="L889" i="2"/>
  <c r="I890" i="2" l="1"/>
  <c r="D890" i="2"/>
  <c r="B890" i="2"/>
  <c r="F890" i="2" s="1"/>
  <c r="E890" i="2"/>
  <c r="J890" i="2" l="1"/>
  <c r="G890" i="2"/>
  <c r="H890" i="2"/>
  <c r="C891" i="2" s="1"/>
  <c r="K891" i="2" s="1"/>
  <c r="L890" i="2"/>
  <c r="I891" i="2" l="1"/>
  <c r="D891" i="2"/>
  <c r="B891" i="2"/>
  <c r="F891" i="2" s="1"/>
  <c r="E891" i="2"/>
  <c r="J891" i="2" l="1"/>
  <c r="G891" i="2"/>
  <c r="H891" i="2" s="1"/>
  <c r="C892" i="2" s="1"/>
  <c r="K892" i="2" s="1"/>
  <c r="L891" i="2"/>
  <c r="I892" i="2" l="1"/>
  <c r="B892" i="2"/>
  <c r="F892" i="2"/>
  <c r="D892" i="2"/>
  <c r="E892" i="2"/>
  <c r="J892" i="2" l="1"/>
  <c r="G892" i="2"/>
  <c r="H892" i="2"/>
  <c r="C893" i="2" s="1"/>
  <c r="K893" i="2" s="1"/>
  <c r="L892" i="2"/>
  <c r="I893" i="2" l="1"/>
  <c r="D893" i="2"/>
  <c r="B893" i="2"/>
  <c r="F893" i="2" s="1"/>
  <c r="E893" i="2"/>
  <c r="G893" i="2" l="1"/>
  <c r="H893" i="2" s="1"/>
  <c r="C894" i="2" s="1"/>
  <c r="K894" i="2" s="1"/>
  <c r="J893" i="2"/>
  <c r="L893" i="2"/>
  <c r="I894" i="2" l="1"/>
  <c r="D894" i="2"/>
  <c r="B894" i="2"/>
  <c r="F894" i="2" s="1"/>
  <c r="E894" i="2"/>
  <c r="J894" i="2" l="1"/>
  <c r="G894" i="2"/>
  <c r="L894" i="2" l="1"/>
  <c r="H894" i="2"/>
  <c r="C895" i="2" s="1"/>
  <c r="K895" i="2" s="1"/>
  <c r="I895" i="2" l="1"/>
  <c r="D895" i="2"/>
  <c r="B895" i="2"/>
  <c r="F895" i="2"/>
  <c r="E895" i="2"/>
  <c r="J895" i="2" l="1"/>
  <c r="G895" i="2"/>
  <c r="H895" i="2" l="1"/>
  <c r="C896" i="2" s="1"/>
  <c r="K896" i="2" s="1"/>
  <c r="L895" i="2"/>
  <c r="I896" i="2" l="1"/>
  <c r="B896" i="2"/>
  <c r="F896" i="2" s="1"/>
  <c r="D896" i="2"/>
  <c r="E896" i="2"/>
  <c r="G896" i="2" l="1"/>
  <c r="J896" i="2"/>
  <c r="L896" i="2" l="1"/>
  <c r="H896" i="2"/>
  <c r="C897" i="2" s="1"/>
  <c r="K897" i="2" s="1"/>
  <c r="I897" i="2" l="1"/>
  <c r="D897" i="2"/>
  <c r="B897" i="2"/>
  <c r="F897" i="2" s="1"/>
  <c r="E897" i="2"/>
  <c r="G897" i="2" l="1"/>
  <c r="H897" i="2" s="1"/>
  <c r="C898" i="2" s="1"/>
  <c r="K898" i="2" s="1"/>
  <c r="J897" i="2"/>
  <c r="L897" i="2"/>
  <c r="I898" i="2" l="1"/>
  <c r="B898" i="2"/>
  <c r="F898" i="2"/>
  <c r="D898" i="2"/>
  <c r="E898" i="2"/>
  <c r="J898" i="2" l="1"/>
  <c r="G898" i="2"/>
  <c r="H898" i="2"/>
  <c r="C899" i="2" s="1"/>
  <c r="K899" i="2" s="1"/>
  <c r="L898" i="2"/>
  <c r="I899" i="2" l="1"/>
  <c r="D899" i="2"/>
  <c r="B899" i="2"/>
  <c r="F899" i="2"/>
  <c r="E899" i="2"/>
  <c r="G899" i="2" l="1"/>
  <c r="J899" i="2"/>
  <c r="H899" i="2" l="1"/>
  <c r="C900" i="2" s="1"/>
  <c r="K900" i="2" s="1"/>
  <c r="L899" i="2"/>
  <c r="I900" i="2" l="1"/>
  <c r="D900" i="2"/>
  <c r="B900" i="2"/>
  <c r="F900" i="2" s="1"/>
  <c r="E900" i="2"/>
  <c r="G900" i="2" l="1"/>
  <c r="H900" i="2" s="1"/>
  <c r="C901" i="2" s="1"/>
  <c r="K901" i="2" s="1"/>
  <c r="J900" i="2"/>
  <c r="L900" i="2"/>
  <c r="I901" i="2" l="1"/>
  <c r="D901" i="2"/>
  <c r="B901" i="2"/>
  <c r="F901" i="2" s="1"/>
  <c r="E901" i="2"/>
  <c r="G901" i="2" l="1"/>
  <c r="J901" i="2"/>
  <c r="L901" i="2"/>
  <c r="H901" i="2"/>
  <c r="C902" i="2" s="1"/>
  <c r="K902" i="2" s="1"/>
  <c r="I902" i="2" l="1"/>
  <c r="B902" i="2"/>
  <c r="F902" i="2" s="1"/>
  <c r="D902" i="2"/>
  <c r="E902" i="2"/>
  <c r="G902" i="2" l="1"/>
  <c r="J902" i="2"/>
  <c r="H902" i="2" l="1"/>
  <c r="C903" i="2" s="1"/>
  <c r="K903" i="2" s="1"/>
  <c r="L902" i="2"/>
  <c r="I903" i="2" l="1"/>
  <c r="D903" i="2"/>
  <c r="B903" i="2"/>
  <c r="F903" i="2"/>
  <c r="E903" i="2"/>
  <c r="G903" i="2" l="1"/>
  <c r="J903" i="2"/>
  <c r="H903" i="2" l="1"/>
  <c r="C904" i="2" s="1"/>
  <c r="K904" i="2" s="1"/>
  <c r="L903" i="2"/>
  <c r="I904" i="2" l="1"/>
  <c r="D904" i="2"/>
  <c r="B904" i="2"/>
  <c r="F904" i="2" s="1"/>
  <c r="E904" i="2"/>
  <c r="G904" i="2" l="1"/>
  <c r="H904" i="2" s="1"/>
  <c r="C905" i="2" s="1"/>
  <c r="K905" i="2" s="1"/>
  <c r="J904" i="2"/>
  <c r="L904" i="2"/>
  <c r="I905" i="2" l="1"/>
  <c r="D905" i="2"/>
  <c r="B905" i="2"/>
  <c r="F905" i="2"/>
  <c r="E905" i="2"/>
  <c r="G905" i="2" l="1"/>
  <c r="J905" i="2"/>
  <c r="H905" i="2" l="1"/>
  <c r="C906" i="2" s="1"/>
  <c r="K906" i="2" s="1"/>
  <c r="L905" i="2"/>
  <c r="I906" i="2" l="1"/>
  <c r="B906" i="2"/>
  <c r="F906" i="2"/>
  <c r="D906" i="2"/>
  <c r="E906" i="2"/>
  <c r="G906" i="2" l="1"/>
  <c r="L906" i="2" s="1"/>
  <c r="J906" i="2"/>
  <c r="H906" i="2"/>
  <c r="C907" i="2" s="1"/>
  <c r="K907" i="2" s="1"/>
  <c r="I907" i="2" l="1"/>
  <c r="D907" i="2"/>
  <c r="B907" i="2"/>
  <c r="F907" i="2"/>
  <c r="E907" i="2"/>
  <c r="J907" i="2" l="1"/>
  <c r="G907" i="2"/>
  <c r="H907" i="2" l="1"/>
  <c r="C908" i="2" s="1"/>
  <c r="K908" i="2" s="1"/>
  <c r="L907" i="2"/>
  <c r="I908" i="2" l="1"/>
  <c r="D908" i="2"/>
  <c r="B908" i="2"/>
  <c r="F908" i="2" s="1"/>
  <c r="E908" i="2"/>
  <c r="J908" i="2" l="1"/>
  <c r="G908" i="2"/>
  <c r="H908" i="2" s="1"/>
  <c r="C909" i="2" s="1"/>
  <c r="K909" i="2" s="1"/>
  <c r="L908" i="2"/>
  <c r="I909" i="2" l="1"/>
  <c r="D909" i="2"/>
  <c r="B909" i="2"/>
  <c r="F909" i="2"/>
  <c r="E909" i="2"/>
  <c r="G909" i="2" l="1"/>
  <c r="J909" i="2"/>
  <c r="L909" i="2" l="1"/>
  <c r="H909" i="2"/>
  <c r="C910" i="2" s="1"/>
  <c r="K910" i="2" s="1"/>
  <c r="I910" i="2" l="1"/>
  <c r="D910" i="2"/>
  <c r="B910" i="2"/>
  <c r="F910" i="2" s="1"/>
  <c r="E910" i="2"/>
  <c r="J910" i="2" l="1"/>
  <c r="G910" i="2"/>
  <c r="H910" i="2" l="1"/>
  <c r="C911" i="2" s="1"/>
  <c r="K911" i="2" s="1"/>
  <c r="L910" i="2"/>
  <c r="I911" i="2" l="1"/>
  <c r="D911" i="2"/>
  <c r="B911" i="2"/>
  <c r="F911" i="2" s="1"/>
  <c r="E911" i="2"/>
  <c r="L911" i="2" l="1"/>
  <c r="G911" i="2"/>
  <c r="H911" i="2" s="1"/>
  <c r="C912" i="2" s="1"/>
  <c r="K912" i="2" s="1"/>
  <c r="J911" i="2"/>
  <c r="I912" i="2" l="1"/>
  <c r="B912" i="2"/>
  <c r="F912" i="2" s="1"/>
  <c r="D912" i="2"/>
  <c r="E912" i="2"/>
  <c r="J912" i="2" l="1"/>
  <c r="G912" i="2"/>
  <c r="H912" i="2" l="1"/>
  <c r="C913" i="2" s="1"/>
  <c r="K913" i="2" s="1"/>
  <c r="L912" i="2"/>
  <c r="I913" i="2" l="1"/>
  <c r="D913" i="2"/>
  <c r="B913" i="2"/>
  <c r="F913" i="2" s="1"/>
  <c r="E913" i="2"/>
  <c r="G913" i="2" l="1"/>
  <c r="L913" i="2" s="1"/>
  <c r="J913" i="2"/>
  <c r="H913" i="2"/>
  <c r="C914" i="2" s="1"/>
  <c r="K914" i="2" s="1"/>
  <c r="I914" i="2" l="1"/>
  <c r="D914" i="2"/>
  <c r="B914" i="2"/>
  <c r="F914" i="2" s="1"/>
  <c r="E914" i="2"/>
  <c r="G914" i="2" l="1"/>
  <c r="H914" i="2" s="1"/>
  <c r="C915" i="2" s="1"/>
  <c r="K915" i="2" s="1"/>
  <c r="J914" i="2"/>
  <c r="L914" i="2"/>
  <c r="I915" i="2" l="1"/>
  <c r="D915" i="2"/>
  <c r="B915" i="2"/>
  <c r="F915" i="2"/>
  <c r="E915" i="2"/>
  <c r="J915" i="2" l="1"/>
  <c r="G915" i="2"/>
  <c r="H915" i="2" s="1"/>
  <c r="C916" i="2" s="1"/>
  <c r="K916" i="2" s="1"/>
  <c r="I916" i="2" l="1"/>
  <c r="D916" i="2"/>
  <c r="B916" i="2"/>
  <c r="F916" i="2" s="1"/>
  <c r="L915" i="2"/>
  <c r="E916" i="2"/>
  <c r="J916" i="2" l="1"/>
  <c r="G916" i="2"/>
  <c r="L916" i="2"/>
  <c r="H916" i="2"/>
  <c r="C917" i="2" s="1"/>
  <c r="K917" i="2" s="1"/>
  <c r="I917" i="2" l="1"/>
  <c r="D917" i="2"/>
  <c r="B917" i="2"/>
  <c r="F917" i="2"/>
  <c r="E917" i="2"/>
  <c r="G917" i="2" l="1"/>
  <c r="J917" i="2"/>
  <c r="L917" i="2" l="1"/>
  <c r="H917" i="2"/>
  <c r="C918" i="2" s="1"/>
  <c r="K918" i="2" s="1"/>
  <c r="I918" i="2" l="1"/>
  <c r="D918" i="2"/>
  <c r="B918" i="2"/>
  <c r="F918" i="2" s="1"/>
  <c r="E918" i="2"/>
  <c r="G918" i="2" l="1"/>
  <c r="H918" i="2" s="1"/>
  <c r="C919" i="2" s="1"/>
  <c r="K919" i="2" s="1"/>
  <c r="J918" i="2"/>
  <c r="L918" i="2"/>
  <c r="I919" i="2" l="1"/>
  <c r="D919" i="2"/>
  <c r="B919" i="2"/>
  <c r="F919" i="2" s="1"/>
  <c r="E919" i="2"/>
  <c r="J919" i="2" l="1"/>
  <c r="G919" i="2"/>
  <c r="L919" i="2" s="1"/>
  <c r="H919" i="2"/>
  <c r="C920" i="2" s="1"/>
  <c r="K920" i="2" s="1"/>
  <c r="I920" i="2" l="1"/>
  <c r="D920" i="2"/>
  <c r="B920" i="2"/>
  <c r="F920" i="2" s="1"/>
  <c r="E920" i="2"/>
  <c r="G920" i="2" l="1"/>
  <c r="L920" i="2" s="1"/>
  <c r="J920" i="2"/>
  <c r="H920" i="2"/>
  <c r="C921" i="2" s="1"/>
  <c r="K921" i="2" s="1"/>
  <c r="I921" i="2" l="1"/>
  <c r="B921" i="2"/>
  <c r="F921" i="2" s="1"/>
  <c r="D921" i="2"/>
  <c r="E921" i="2"/>
  <c r="J921" i="2" l="1"/>
  <c r="G921" i="2"/>
  <c r="H921" i="2" l="1"/>
  <c r="C922" i="2" s="1"/>
  <c r="K922" i="2" s="1"/>
  <c r="L921" i="2"/>
  <c r="I922" i="2" l="1"/>
  <c r="B922" i="2"/>
  <c r="D922" i="2"/>
  <c r="F922" i="2"/>
  <c r="E922" i="2"/>
  <c r="J922" i="2" l="1"/>
  <c r="G922" i="2"/>
  <c r="H922" i="2" s="1"/>
  <c r="C923" i="2" s="1"/>
  <c r="K923" i="2" s="1"/>
  <c r="L922" i="2"/>
  <c r="I923" i="2" l="1"/>
  <c r="D923" i="2"/>
  <c r="B923" i="2"/>
  <c r="F923" i="2" s="1"/>
  <c r="E923" i="2"/>
  <c r="J923" i="2" l="1"/>
  <c r="G923" i="2"/>
  <c r="H923" i="2" l="1"/>
  <c r="C924" i="2" s="1"/>
  <c r="K924" i="2" s="1"/>
  <c r="L923" i="2"/>
  <c r="I924" i="2" l="1"/>
  <c r="D924" i="2"/>
  <c r="B924" i="2"/>
  <c r="F924" i="2" s="1"/>
  <c r="E924" i="2"/>
  <c r="J924" i="2" l="1"/>
  <c r="G924" i="2"/>
  <c r="L924" i="2" s="1"/>
  <c r="H924" i="2"/>
  <c r="C925" i="2" s="1"/>
  <c r="K925" i="2" s="1"/>
  <c r="I925" i="2" l="1"/>
  <c r="B925" i="2"/>
  <c r="F925" i="2"/>
  <c r="D925" i="2"/>
  <c r="E925" i="2"/>
  <c r="J925" i="2" l="1"/>
  <c r="G925" i="2"/>
  <c r="L925" i="2"/>
  <c r="H925" i="2"/>
  <c r="C926" i="2" s="1"/>
  <c r="K926" i="2" s="1"/>
  <c r="I926" i="2" l="1"/>
  <c r="B926" i="2"/>
  <c r="F926" i="2"/>
  <c r="D926" i="2"/>
  <c r="E926" i="2"/>
  <c r="J926" i="2" l="1"/>
  <c r="G926" i="2"/>
  <c r="H926" i="2" l="1"/>
  <c r="C927" i="2" s="1"/>
  <c r="K927" i="2" s="1"/>
  <c r="L926" i="2"/>
  <c r="I927" i="2" l="1"/>
  <c r="B927" i="2"/>
  <c r="D927" i="2"/>
  <c r="F927" i="2"/>
  <c r="E927" i="2"/>
  <c r="J927" i="2" l="1"/>
  <c r="G927" i="2"/>
  <c r="H927" i="2" l="1"/>
  <c r="C928" i="2" s="1"/>
  <c r="K928" i="2" s="1"/>
  <c r="L927" i="2"/>
  <c r="I928" i="2" l="1"/>
  <c r="D928" i="2"/>
  <c r="B928" i="2"/>
  <c r="F928" i="2"/>
  <c r="E928" i="2"/>
  <c r="G928" i="2" l="1"/>
  <c r="J928" i="2"/>
  <c r="L928" i="2" l="1"/>
  <c r="H928" i="2"/>
  <c r="C929" i="2" s="1"/>
  <c r="K929" i="2" s="1"/>
  <c r="I929" i="2" l="1"/>
  <c r="B929" i="2"/>
  <c r="F929" i="2"/>
  <c r="D929" i="2"/>
  <c r="E929" i="2"/>
  <c r="G929" i="2" l="1"/>
  <c r="J929" i="2"/>
  <c r="H929" i="2"/>
  <c r="C930" i="2" s="1"/>
  <c r="K930" i="2" s="1"/>
  <c r="L929" i="2"/>
  <c r="I930" i="2" l="1"/>
  <c r="D930" i="2"/>
  <c r="B930" i="2"/>
  <c r="F930" i="2" s="1"/>
  <c r="E930" i="2"/>
  <c r="G930" i="2" l="1"/>
  <c r="L930" i="2" s="1"/>
  <c r="J930" i="2"/>
  <c r="H930" i="2"/>
  <c r="C931" i="2" s="1"/>
  <c r="K931" i="2" s="1"/>
  <c r="I931" i="2" l="1"/>
  <c r="D931" i="2"/>
  <c r="B931" i="2"/>
  <c r="F931" i="2"/>
  <c r="E931" i="2"/>
  <c r="G931" i="2" l="1"/>
  <c r="J931" i="2"/>
  <c r="H931" i="2" l="1"/>
  <c r="C932" i="2" s="1"/>
  <c r="K932" i="2" s="1"/>
  <c r="L931" i="2"/>
  <c r="I932" i="2" l="1"/>
  <c r="B932" i="2"/>
  <c r="F932" i="2" s="1"/>
  <c r="D932" i="2"/>
  <c r="E932" i="2"/>
  <c r="J932" i="2" l="1"/>
  <c r="G932" i="2"/>
  <c r="L932" i="2" l="1"/>
  <c r="H932" i="2"/>
  <c r="C933" i="2" s="1"/>
  <c r="K933" i="2" s="1"/>
  <c r="I933" i="2" l="1"/>
  <c r="D933" i="2"/>
  <c r="B933" i="2"/>
  <c r="F933" i="2" s="1"/>
  <c r="E933" i="2"/>
  <c r="G933" i="2" l="1"/>
  <c r="J933" i="2"/>
  <c r="H933" i="2" l="1"/>
  <c r="C934" i="2" s="1"/>
  <c r="K934" i="2" s="1"/>
  <c r="L933" i="2"/>
  <c r="I934" i="2" l="1"/>
  <c r="D934" i="2"/>
  <c r="B934" i="2"/>
  <c r="F934" i="2" s="1"/>
  <c r="E934" i="2"/>
  <c r="G934" i="2" l="1"/>
  <c r="H934" i="2" s="1"/>
  <c r="C935" i="2" s="1"/>
  <c r="K935" i="2" s="1"/>
  <c r="J934" i="2"/>
  <c r="L934" i="2"/>
  <c r="I935" i="2" l="1"/>
  <c r="D935" i="2"/>
  <c r="B935" i="2"/>
  <c r="F935" i="2"/>
  <c r="E935" i="2"/>
  <c r="J935" i="2" l="1"/>
  <c r="G935" i="2"/>
  <c r="H935" i="2" l="1"/>
  <c r="C936" i="2" s="1"/>
  <c r="K936" i="2" s="1"/>
  <c r="L935" i="2"/>
  <c r="I936" i="2" l="1"/>
  <c r="D936" i="2"/>
  <c r="B936" i="2"/>
  <c r="F936" i="2" s="1"/>
  <c r="E936" i="2"/>
  <c r="G936" i="2" l="1"/>
  <c r="L936" i="2" s="1"/>
  <c r="J936" i="2"/>
  <c r="H936" i="2"/>
  <c r="C937" i="2" s="1"/>
  <c r="K937" i="2" s="1"/>
  <c r="I937" i="2" l="1"/>
  <c r="B937" i="2"/>
  <c r="F937" i="2"/>
  <c r="D937" i="2"/>
  <c r="E937" i="2"/>
  <c r="G937" i="2" l="1"/>
  <c r="L937" i="2" s="1"/>
  <c r="J937" i="2"/>
  <c r="H937" i="2"/>
  <c r="C938" i="2" s="1"/>
  <c r="K938" i="2" s="1"/>
  <c r="I938" i="2" l="1"/>
  <c r="D938" i="2"/>
  <c r="B938" i="2"/>
  <c r="F938" i="2"/>
  <c r="E938" i="2"/>
  <c r="G938" i="2" l="1"/>
  <c r="J938" i="2"/>
  <c r="H938" i="2" l="1"/>
  <c r="C939" i="2" s="1"/>
  <c r="K939" i="2" s="1"/>
  <c r="L938" i="2"/>
  <c r="I939" i="2" l="1"/>
  <c r="D939" i="2"/>
  <c r="B939" i="2"/>
  <c r="F939" i="2"/>
  <c r="E939" i="2"/>
  <c r="J939" i="2" l="1"/>
  <c r="G939" i="2"/>
  <c r="H939" i="2" l="1"/>
  <c r="C940" i="2" s="1"/>
  <c r="K940" i="2" s="1"/>
  <c r="L939" i="2"/>
  <c r="I940" i="2" l="1"/>
  <c r="D940" i="2"/>
  <c r="B940" i="2"/>
  <c r="F940" i="2" s="1"/>
  <c r="E940" i="2"/>
  <c r="G940" i="2" l="1"/>
  <c r="H940" i="2" s="1"/>
  <c r="C941" i="2" s="1"/>
  <c r="K941" i="2" s="1"/>
  <c r="J940" i="2"/>
  <c r="L940" i="2"/>
  <c r="I941" i="2" l="1"/>
  <c r="D941" i="2"/>
  <c r="B941" i="2"/>
  <c r="F941" i="2"/>
  <c r="E941" i="2"/>
  <c r="G941" i="2" l="1"/>
  <c r="J941" i="2"/>
  <c r="H941" i="2" l="1"/>
  <c r="C942" i="2" s="1"/>
  <c r="K942" i="2" s="1"/>
  <c r="L941" i="2"/>
  <c r="I942" i="2" l="1"/>
  <c r="F942" i="2"/>
  <c r="D942" i="2"/>
  <c r="B942" i="2"/>
  <c r="E942" i="2"/>
  <c r="G942" i="2" l="1"/>
  <c r="L942" i="2" s="1"/>
  <c r="J942" i="2"/>
  <c r="H942" i="2" l="1"/>
  <c r="C943" i="2" s="1"/>
  <c r="K943" i="2" s="1"/>
  <c r="I943" i="2" l="1"/>
  <c r="D943" i="2"/>
  <c r="B943" i="2"/>
  <c r="F943" i="2" s="1"/>
  <c r="E943" i="2"/>
  <c r="J943" i="2" l="1"/>
  <c r="G943" i="2"/>
  <c r="H943" i="2" l="1"/>
  <c r="C944" i="2" s="1"/>
  <c r="K944" i="2" s="1"/>
  <c r="L943" i="2"/>
  <c r="I944" i="2" l="1"/>
  <c r="B944" i="2"/>
  <c r="F944" i="2" s="1"/>
  <c r="D944" i="2"/>
  <c r="E944" i="2"/>
  <c r="G944" i="2" l="1"/>
  <c r="J944" i="2"/>
  <c r="H944" i="2" l="1"/>
  <c r="C945" i="2" s="1"/>
  <c r="K945" i="2" s="1"/>
  <c r="L944" i="2"/>
  <c r="I945" i="2" l="1"/>
  <c r="B945" i="2"/>
  <c r="D945" i="2"/>
  <c r="F945" i="2" s="1"/>
  <c r="E945" i="2"/>
  <c r="G945" i="2" l="1"/>
  <c r="J945" i="2"/>
  <c r="L945" i="2" l="1"/>
  <c r="H945" i="2"/>
  <c r="C946" i="2" s="1"/>
  <c r="K946" i="2" s="1"/>
  <c r="I946" i="2" l="1"/>
  <c r="B946" i="2"/>
  <c r="F946" i="2" s="1"/>
  <c r="D946" i="2"/>
  <c r="E946" i="2"/>
  <c r="G946" i="2" l="1"/>
  <c r="J946" i="2"/>
  <c r="H946" i="2" l="1"/>
  <c r="C947" i="2" s="1"/>
  <c r="K947" i="2" s="1"/>
  <c r="L946" i="2"/>
  <c r="I947" i="2" l="1"/>
  <c r="D947" i="2"/>
  <c r="B947" i="2"/>
  <c r="F947" i="2"/>
  <c r="E947" i="2"/>
  <c r="J947" i="2" l="1"/>
  <c r="G947" i="2"/>
  <c r="H947" i="2" l="1"/>
  <c r="C948" i="2" s="1"/>
  <c r="K948" i="2" s="1"/>
  <c r="L947" i="2"/>
  <c r="I948" i="2" l="1"/>
  <c r="D948" i="2"/>
  <c r="B948" i="2"/>
  <c r="F948" i="2" s="1"/>
  <c r="E948" i="2"/>
  <c r="G948" i="2" l="1"/>
  <c r="J948" i="2"/>
  <c r="L948" i="2" l="1"/>
  <c r="H948" i="2"/>
  <c r="C949" i="2" s="1"/>
  <c r="K949" i="2" s="1"/>
  <c r="I949" i="2" l="1"/>
  <c r="D949" i="2"/>
  <c r="B949" i="2"/>
  <c r="F949" i="2"/>
  <c r="E949" i="2"/>
  <c r="G949" i="2" l="1"/>
  <c r="J949" i="2"/>
  <c r="H949" i="2" l="1"/>
  <c r="C950" i="2" s="1"/>
  <c r="K950" i="2" s="1"/>
  <c r="L949" i="2"/>
  <c r="I950" i="2" l="1"/>
  <c r="D950" i="2"/>
  <c r="B950" i="2"/>
  <c r="F950" i="2" s="1"/>
  <c r="E950" i="2"/>
  <c r="G950" i="2" l="1"/>
  <c r="J950" i="2"/>
  <c r="L950" i="2" l="1"/>
  <c r="H950" i="2"/>
  <c r="C951" i="2" s="1"/>
  <c r="K951" i="2" s="1"/>
  <c r="I951" i="2" l="1"/>
  <c r="D951" i="2"/>
  <c r="B951" i="2"/>
  <c r="F951" i="2" s="1"/>
  <c r="E951" i="2"/>
  <c r="J951" i="2" l="1"/>
  <c r="G951" i="2"/>
  <c r="H951" i="2" l="1"/>
  <c r="C952" i="2" s="1"/>
  <c r="K952" i="2" s="1"/>
  <c r="L951" i="2"/>
  <c r="I952" i="2" l="1"/>
  <c r="B952" i="2"/>
  <c r="F952" i="2" s="1"/>
  <c r="D952" i="2"/>
  <c r="E952" i="2"/>
  <c r="G952" i="2" l="1"/>
  <c r="J952" i="2"/>
  <c r="H952" i="2" l="1"/>
  <c r="C953" i="2" s="1"/>
  <c r="K953" i="2" s="1"/>
  <c r="L952" i="2"/>
  <c r="I953" i="2" l="1"/>
  <c r="D953" i="2"/>
  <c r="B953" i="2"/>
  <c r="F953" i="2" s="1"/>
  <c r="E953" i="2"/>
  <c r="G953" i="2" l="1"/>
  <c r="J953" i="2"/>
  <c r="H953" i="2"/>
  <c r="C954" i="2" s="1"/>
  <c r="K954" i="2" s="1"/>
  <c r="L953" i="2"/>
  <c r="I954" i="2" l="1"/>
  <c r="B954" i="2"/>
  <c r="F954" i="2" s="1"/>
  <c r="D954" i="2"/>
  <c r="E954" i="2"/>
  <c r="G954" i="2" l="1"/>
  <c r="H954" i="2" s="1"/>
  <c r="C955" i="2" s="1"/>
  <c r="K955" i="2" s="1"/>
  <c r="J954" i="2"/>
  <c r="I955" i="2" l="1"/>
  <c r="D955" i="2"/>
  <c r="B955" i="2"/>
  <c r="F955" i="2"/>
  <c r="L954" i="2"/>
  <c r="E955" i="2"/>
  <c r="J955" i="2" l="1"/>
  <c r="G955" i="2"/>
  <c r="H955" i="2" l="1"/>
  <c r="C956" i="2" s="1"/>
  <c r="K956" i="2" s="1"/>
  <c r="L955" i="2"/>
  <c r="I956" i="2" l="1"/>
  <c r="D956" i="2"/>
  <c r="B956" i="2"/>
  <c r="F956" i="2" s="1"/>
  <c r="E956" i="2"/>
  <c r="J956" i="2" l="1"/>
  <c r="G956" i="2"/>
  <c r="H956" i="2" s="1"/>
  <c r="C957" i="2" s="1"/>
  <c r="K957" i="2" s="1"/>
  <c r="L956" i="2"/>
  <c r="I957" i="2" l="1"/>
  <c r="D957" i="2"/>
  <c r="B957" i="2"/>
  <c r="F957" i="2" s="1"/>
  <c r="E957" i="2"/>
  <c r="G957" i="2" l="1"/>
  <c r="H957" i="2" s="1"/>
  <c r="C958" i="2" s="1"/>
  <c r="K958" i="2" s="1"/>
  <c r="J957" i="2"/>
  <c r="L957" i="2"/>
  <c r="I958" i="2" l="1"/>
  <c r="D958" i="2"/>
  <c r="B958" i="2"/>
  <c r="F958" i="2" s="1"/>
  <c r="E958" i="2"/>
  <c r="J958" i="2" l="1"/>
  <c r="G958" i="2"/>
  <c r="H958" i="2" l="1"/>
  <c r="C959" i="2" s="1"/>
  <c r="K959" i="2" s="1"/>
  <c r="L958" i="2"/>
  <c r="I959" i="2" l="1"/>
  <c r="D959" i="2"/>
  <c r="B959" i="2"/>
  <c r="F959" i="2"/>
  <c r="E959" i="2"/>
  <c r="G959" i="2" l="1"/>
  <c r="J959" i="2"/>
  <c r="H959" i="2" l="1"/>
  <c r="C960" i="2" s="1"/>
  <c r="K960" i="2" s="1"/>
  <c r="L959" i="2"/>
  <c r="I960" i="2" l="1"/>
  <c r="B960" i="2"/>
  <c r="F960" i="2"/>
  <c r="D960" i="2"/>
  <c r="E960" i="2"/>
  <c r="G960" i="2" l="1"/>
  <c r="J960" i="2"/>
  <c r="L960" i="2" l="1"/>
  <c r="H960" i="2"/>
  <c r="C961" i="2" s="1"/>
  <c r="K961" i="2" s="1"/>
  <c r="I961" i="2" l="1"/>
  <c r="B961" i="2"/>
  <c r="F961" i="2"/>
  <c r="D961" i="2"/>
  <c r="E961" i="2"/>
  <c r="G961" i="2" l="1"/>
  <c r="H961" i="2" s="1"/>
  <c r="C962" i="2" s="1"/>
  <c r="K962" i="2" s="1"/>
  <c r="J961" i="2"/>
  <c r="L961" i="2"/>
  <c r="I962" i="2" l="1"/>
  <c r="B962" i="2"/>
  <c r="F962" i="2"/>
  <c r="D962" i="2"/>
  <c r="E962" i="2"/>
  <c r="J962" i="2" l="1"/>
  <c r="G962" i="2"/>
  <c r="L962" i="2" l="1"/>
  <c r="H962" i="2"/>
  <c r="C963" i="2" s="1"/>
  <c r="K963" i="2" s="1"/>
  <c r="I963" i="2" l="1"/>
  <c r="D963" i="2"/>
  <c r="B963" i="2"/>
  <c r="F963" i="2"/>
  <c r="E963" i="2"/>
  <c r="J963" i="2" l="1"/>
  <c r="G963" i="2"/>
  <c r="H963" i="2" l="1"/>
  <c r="C964" i="2" s="1"/>
  <c r="K964" i="2" s="1"/>
  <c r="L963" i="2"/>
  <c r="I964" i="2" l="1"/>
  <c r="B964" i="2"/>
  <c r="F964" i="2" s="1"/>
  <c r="D964" i="2"/>
  <c r="E964" i="2"/>
  <c r="G964" i="2" l="1"/>
  <c r="J964" i="2"/>
  <c r="H964" i="2" l="1"/>
  <c r="C965" i="2" s="1"/>
  <c r="K965" i="2" s="1"/>
  <c r="L964" i="2"/>
  <c r="I965" i="2" l="1"/>
  <c r="D965" i="2"/>
  <c r="B965" i="2"/>
  <c r="F965" i="2"/>
  <c r="E965" i="2"/>
  <c r="J965" i="2" l="1"/>
  <c r="G965" i="2"/>
  <c r="H965" i="2" l="1"/>
  <c r="C966" i="2" s="1"/>
  <c r="K966" i="2" s="1"/>
  <c r="L965" i="2"/>
  <c r="I966" i="2" l="1"/>
  <c r="B966" i="2"/>
  <c r="D966" i="2"/>
  <c r="F966" i="2"/>
  <c r="E966" i="2"/>
  <c r="J966" i="2" l="1"/>
  <c r="G966" i="2"/>
  <c r="H966" i="2" l="1"/>
  <c r="C967" i="2" s="1"/>
  <c r="K967" i="2" s="1"/>
  <c r="L966" i="2"/>
  <c r="I967" i="2" l="1"/>
  <c r="D967" i="2"/>
  <c r="B967" i="2"/>
  <c r="F967" i="2"/>
  <c r="E967" i="2"/>
  <c r="G967" i="2" l="1"/>
  <c r="H967" i="2" s="1"/>
  <c r="C968" i="2" s="1"/>
  <c r="K968" i="2" s="1"/>
  <c r="J967" i="2"/>
  <c r="L967" i="2"/>
  <c r="I968" i="2" l="1"/>
  <c r="D968" i="2"/>
  <c r="B968" i="2"/>
  <c r="F968" i="2" s="1"/>
  <c r="E968" i="2"/>
  <c r="J968" i="2" l="1"/>
  <c r="G968" i="2"/>
  <c r="H968" i="2" s="1"/>
  <c r="C969" i="2" s="1"/>
  <c r="K969" i="2" s="1"/>
  <c r="L968" i="2"/>
  <c r="I969" i="2" l="1"/>
  <c r="D969" i="2"/>
  <c r="B969" i="2"/>
  <c r="F969" i="2" s="1"/>
  <c r="E969" i="2"/>
  <c r="J969" i="2" l="1"/>
  <c r="G969" i="2"/>
  <c r="H969" i="2" s="1"/>
  <c r="C970" i="2" s="1"/>
  <c r="K970" i="2" s="1"/>
  <c r="L969" i="2"/>
  <c r="I970" i="2" l="1"/>
  <c r="D970" i="2"/>
  <c r="B970" i="2"/>
  <c r="F970" i="2" s="1"/>
  <c r="E970" i="2"/>
  <c r="G970" i="2" l="1"/>
  <c r="H970" i="2" s="1"/>
  <c r="C971" i="2" s="1"/>
  <c r="K971" i="2" s="1"/>
  <c r="J970" i="2"/>
  <c r="L970" i="2"/>
  <c r="I971" i="2" l="1"/>
  <c r="D971" i="2"/>
  <c r="B971" i="2"/>
  <c r="F971" i="2" s="1"/>
  <c r="E971" i="2"/>
  <c r="G971" i="2" l="1"/>
  <c r="J971" i="2"/>
  <c r="L971" i="2" l="1"/>
  <c r="H971" i="2"/>
  <c r="C972" i="2" s="1"/>
  <c r="K972" i="2" s="1"/>
  <c r="I972" i="2" l="1"/>
  <c r="B972" i="2"/>
  <c r="F972" i="2"/>
  <c r="D972" i="2"/>
  <c r="E972" i="2"/>
  <c r="G972" i="2" l="1"/>
  <c r="J972" i="2"/>
  <c r="H972" i="2"/>
  <c r="C973" i="2" s="1"/>
  <c r="K973" i="2" s="1"/>
  <c r="L972" i="2"/>
  <c r="I973" i="2" l="1"/>
  <c r="D973" i="2"/>
  <c r="B973" i="2"/>
  <c r="F973" i="2"/>
  <c r="E973" i="2"/>
  <c r="G973" i="2" l="1"/>
  <c r="J973" i="2"/>
  <c r="H973" i="2" l="1"/>
  <c r="C974" i="2" s="1"/>
  <c r="K974" i="2" s="1"/>
  <c r="L973" i="2"/>
  <c r="I974" i="2" l="1"/>
  <c r="B974" i="2"/>
  <c r="F974" i="2"/>
  <c r="D974" i="2"/>
  <c r="E974" i="2"/>
  <c r="J974" i="2" l="1"/>
  <c r="G974" i="2"/>
  <c r="L974" i="2" s="1"/>
  <c r="H974" i="2"/>
  <c r="C975" i="2" s="1"/>
  <c r="K975" i="2" s="1"/>
  <c r="I975" i="2" l="1"/>
  <c r="D975" i="2"/>
  <c r="F975" i="2" s="1"/>
  <c r="B975" i="2"/>
  <c r="E975" i="2"/>
  <c r="G975" i="2" l="1"/>
  <c r="J975" i="2"/>
  <c r="H975" i="2" l="1"/>
  <c r="C976" i="2" s="1"/>
  <c r="K976" i="2" s="1"/>
  <c r="L975" i="2"/>
  <c r="I976" i="2" l="1"/>
  <c r="D976" i="2"/>
  <c r="B976" i="2"/>
  <c r="F976" i="2" s="1"/>
  <c r="E976" i="2"/>
  <c r="J976" i="2" l="1"/>
  <c r="G976" i="2"/>
  <c r="L976" i="2" l="1"/>
  <c r="H976" i="2"/>
  <c r="C977" i="2" s="1"/>
  <c r="K977" i="2" s="1"/>
  <c r="I977" i="2" l="1"/>
  <c r="D977" i="2"/>
  <c r="B977" i="2"/>
  <c r="F977" i="2"/>
  <c r="E977" i="2"/>
  <c r="J977" i="2" l="1"/>
  <c r="G977" i="2"/>
  <c r="L977" i="2" l="1"/>
  <c r="H977" i="2"/>
  <c r="C978" i="2" s="1"/>
  <c r="K978" i="2" s="1"/>
  <c r="I978" i="2" l="1"/>
  <c r="D978" i="2"/>
  <c r="B978" i="2"/>
  <c r="F978" i="2" s="1"/>
  <c r="E978" i="2"/>
  <c r="G978" i="2" l="1"/>
  <c r="J978" i="2"/>
  <c r="L978" i="2" l="1"/>
  <c r="H978" i="2"/>
  <c r="C979" i="2" s="1"/>
  <c r="K979" i="2" s="1"/>
  <c r="I979" i="2" l="1"/>
  <c r="D979" i="2"/>
  <c r="B979" i="2"/>
  <c r="F979" i="2" s="1"/>
  <c r="E979" i="2"/>
  <c r="J979" i="2" l="1"/>
  <c r="G979" i="2"/>
  <c r="L979" i="2" l="1"/>
  <c r="H979" i="2"/>
  <c r="C980" i="2" s="1"/>
  <c r="K980" i="2" s="1"/>
  <c r="I980" i="2" l="1"/>
  <c r="D980" i="2"/>
  <c r="B980" i="2"/>
  <c r="F980" i="2" s="1"/>
  <c r="E980" i="2"/>
  <c r="G980" i="2" l="1"/>
  <c r="H980" i="2" s="1"/>
  <c r="C981" i="2" s="1"/>
  <c r="K981" i="2" s="1"/>
  <c r="J980" i="2"/>
  <c r="L980" i="2"/>
  <c r="I981" i="2" l="1"/>
  <c r="D981" i="2"/>
  <c r="B981" i="2"/>
  <c r="F981" i="2" s="1"/>
  <c r="E981" i="2"/>
  <c r="G981" i="2" l="1"/>
  <c r="H981" i="2" s="1"/>
  <c r="C982" i="2" s="1"/>
  <c r="K982" i="2" s="1"/>
  <c r="J981" i="2"/>
  <c r="L981" i="2"/>
  <c r="I982" i="2" l="1"/>
  <c r="B982" i="2"/>
  <c r="F982" i="2" s="1"/>
  <c r="D982" i="2"/>
  <c r="E982" i="2"/>
  <c r="J982" i="2" l="1"/>
  <c r="G982" i="2"/>
  <c r="L982" i="2" l="1"/>
  <c r="H982" i="2"/>
  <c r="C983" i="2" s="1"/>
  <c r="K983" i="2" s="1"/>
  <c r="I983" i="2" l="1"/>
  <c r="D983" i="2"/>
  <c r="B983" i="2"/>
  <c r="F983" i="2" s="1"/>
  <c r="E983" i="2"/>
  <c r="G983" i="2" l="1"/>
  <c r="J983" i="2"/>
  <c r="L983" i="2" l="1"/>
  <c r="H983" i="2"/>
  <c r="C984" i="2" s="1"/>
  <c r="K984" i="2" s="1"/>
  <c r="I984" i="2" l="1"/>
  <c r="B984" i="2"/>
  <c r="F984" i="2"/>
  <c r="D984" i="2"/>
  <c r="E984" i="2"/>
  <c r="J984" i="2" l="1"/>
  <c r="G984" i="2"/>
  <c r="H984" i="2"/>
  <c r="C985" i="2" s="1"/>
  <c r="K985" i="2" s="1"/>
  <c r="L984" i="2"/>
  <c r="I985" i="2" l="1"/>
  <c r="D985" i="2"/>
  <c r="B985" i="2"/>
  <c r="F985" i="2" s="1"/>
  <c r="E985" i="2"/>
  <c r="G985" i="2" l="1"/>
  <c r="H985" i="2" s="1"/>
  <c r="C986" i="2" s="1"/>
  <c r="K986" i="2" s="1"/>
  <c r="J985" i="2"/>
  <c r="L985" i="2"/>
  <c r="I986" i="2" l="1"/>
  <c r="D986" i="2"/>
  <c r="B986" i="2"/>
  <c r="F986" i="2" s="1"/>
  <c r="E986" i="2"/>
  <c r="G986" i="2" l="1"/>
  <c r="H986" i="2" s="1"/>
  <c r="C987" i="2" s="1"/>
  <c r="K987" i="2" s="1"/>
  <c r="J986" i="2"/>
  <c r="L986" i="2"/>
  <c r="I987" i="2" l="1"/>
  <c r="D987" i="2"/>
  <c r="B987" i="2"/>
  <c r="F987" i="2" s="1"/>
  <c r="E987" i="2"/>
  <c r="J987" i="2" l="1"/>
  <c r="G987" i="2"/>
  <c r="H987" i="2" l="1"/>
  <c r="C988" i="2" s="1"/>
  <c r="K988" i="2" s="1"/>
  <c r="L987" i="2"/>
  <c r="I988" i="2" l="1"/>
  <c r="D988" i="2"/>
  <c r="B988" i="2"/>
  <c r="F988" i="2"/>
  <c r="E988" i="2"/>
  <c r="G988" i="2" l="1"/>
  <c r="J988" i="2"/>
  <c r="L988" i="2" l="1"/>
  <c r="H988" i="2"/>
  <c r="C989" i="2" s="1"/>
  <c r="K989" i="2" s="1"/>
  <c r="I989" i="2" l="1"/>
  <c r="D989" i="2"/>
  <c r="B989" i="2"/>
  <c r="F989" i="2"/>
  <c r="E989" i="2"/>
  <c r="J989" i="2" l="1"/>
  <c r="G989" i="2"/>
  <c r="H989" i="2" l="1"/>
  <c r="C990" i="2" s="1"/>
  <c r="K990" i="2" s="1"/>
  <c r="L989" i="2"/>
  <c r="I990" i="2" l="1"/>
  <c r="B990" i="2"/>
  <c r="F990" i="2" s="1"/>
  <c r="D990" i="2"/>
  <c r="E990" i="2"/>
  <c r="J990" i="2" l="1"/>
  <c r="G990" i="2"/>
  <c r="H990" i="2" l="1"/>
  <c r="C991" i="2" s="1"/>
  <c r="K991" i="2" s="1"/>
  <c r="L990" i="2"/>
  <c r="I991" i="2" l="1"/>
  <c r="B991" i="2"/>
  <c r="F991" i="2"/>
  <c r="D991" i="2"/>
  <c r="E991" i="2"/>
  <c r="G991" i="2" l="1"/>
  <c r="J991" i="2"/>
  <c r="H991" i="2"/>
  <c r="C992" i="2" s="1"/>
  <c r="K992" i="2" s="1"/>
  <c r="L991" i="2"/>
  <c r="I992" i="2" l="1"/>
  <c r="D992" i="2"/>
  <c r="B992" i="2"/>
  <c r="F992" i="2" s="1"/>
  <c r="E992" i="2"/>
  <c r="G992" i="2" l="1"/>
  <c r="H992" i="2" s="1"/>
  <c r="C993" i="2" s="1"/>
  <c r="K993" i="2" s="1"/>
  <c r="J992" i="2"/>
  <c r="L992" i="2"/>
  <c r="I993" i="2" l="1"/>
  <c r="D993" i="2"/>
  <c r="B993" i="2"/>
  <c r="F993" i="2" s="1"/>
  <c r="E993" i="2"/>
  <c r="G993" i="2" l="1"/>
  <c r="H993" i="2" s="1"/>
  <c r="C994" i="2" s="1"/>
  <c r="K994" i="2" s="1"/>
  <c r="J993" i="2"/>
  <c r="L993" i="2"/>
  <c r="I994" i="2" l="1"/>
  <c r="B994" i="2"/>
  <c r="F994" i="2"/>
  <c r="D994" i="2"/>
  <c r="E994" i="2"/>
  <c r="G994" i="2" l="1"/>
  <c r="J994" i="2"/>
  <c r="L994" i="2" l="1"/>
  <c r="H994" i="2"/>
  <c r="C995" i="2" s="1"/>
  <c r="K995" i="2" s="1"/>
  <c r="I995" i="2" l="1"/>
  <c r="D995" i="2"/>
  <c r="B995" i="2"/>
  <c r="F995" i="2"/>
  <c r="E995" i="2"/>
  <c r="G995" i="2" l="1"/>
  <c r="H995" i="2" s="1"/>
  <c r="C996" i="2" s="1"/>
  <c r="K996" i="2" s="1"/>
  <c r="J995" i="2"/>
  <c r="L995" i="2"/>
  <c r="I996" i="2" l="1"/>
  <c r="D996" i="2"/>
  <c r="B996" i="2"/>
  <c r="F996" i="2" s="1"/>
  <c r="E996" i="2"/>
  <c r="G996" i="2" l="1"/>
  <c r="H996" i="2" s="1"/>
  <c r="C997" i="2" s="1"/>
  <c r="K997" i="2" s="1"/>
  <c r="J996" i="2"/>
  <c r="L996" i="2"/>
  <c r="I997" i="2" l="1"/>
  <c r="D997" i="2"/>
  <c r="B997" i="2"/>
  <c r="F997" i="2" s="1"/>
  <c r="E997" i="2"/>
  <c r="G997" i="2" l="1"/>
  <c r="H997" i="2" s="1"/>
  <c r="C998" i="2" s="1"/>
  <c r="K998" i="2" s="1"/>
  <c r="J997" i="2"/>
  <c r="L997" i="2"/>
  <c r="I998" i="2" l="1"/>
  <c r="D998" i="2"/>
  <c r="B998" i="2"/>
  <c r="F998" i="2" s="1"/>
  <c r="E998" i="2"/>
  <c r="J998" i="2" l="1"/>
  <c r="G998" i="2"/>
  <c r="H998" i="2" s="1"/>
  <c r="C999" i="2" s="1"/>
  <c r="K999" i="2" s="1"/>
  <c r="L998" i="2"/>
  <c r="I999" i="2" l="1"/>
  <c r="D999" i="2"/>
  <c r="B999" i="2"/>
  <c r="F999" i="2" s="1"/>
  <c r="E999" i="2"/>
  <c r="J999" i="2" l="1"/>
  <c r="G999" i="2"/>
  <c r="H999" i="2" s="1"/>
  <c r="C1000" i="2" s="1"/>
  <c r="K1000" i="2" s="1"/>
  <c r="L999" i="2"/>
  <c r="I1000" i="2" l="1"/>
  <c r="B1000" i="2"/>
  <c r="F1000" i="2"/>
  <c r="D1000" i="2"/>
  <c r="E1000" i="2"/>
  <c r="J1000" i="2" l="1"/>
  <c r="G1000" i="2"/>
  <c r="H1000" i="2"/>
  <c r="C1001" i="2" s="1"/>
  <c r="K1001" i="2" s="1"/>
  <c r="L1000" i="2"/>
  <c r="I1001" i="2" l="1"/>
  <c r="D1001" i="2"/>
  <c r="B1001" i="2"/>
  <c r="F1001" i="2"/>
  <c r="E1001" i="2"/>
  <c r="G1001" i="2" l="1"/>
  <c r="H1001" i="2" s="1"/>
  <c r="C1002" i="2" s="1"/>
  <c r="K1002" i="2" s="1"/>
  <c r="J1001" i="2"/>
  <c r="L1001" i="2"/>
  <c r="I1002" i="2" l="1"/>
  <c r="D1002" i="2"/>
  <c r="B1002" i="2"/>
  <c r="F1002" i="2" s="1"/>
  <c r="E1002" i="2"/>
  <c r="G1002" i="2" l="1"/>
  <c r="J1002" i="2"/>
  <c r="H1002" i="2"/>
  <c r="C1003" i="2" s="1"/>
  <c r="K1003" i="2" s="1"/>
  <c r="L1002" i="2"/>
  <c r="I1003" i="2" l="1"/>
  <c r="D1003" i="2"/>
  <c r="B1003" i="2"/>
  <c r="F1003" i="2" s="1"/>
  <c r="E1003" i="2"/>
  <c r="G1003" i="2" l="1"/>
  <c r="J1003" i="2"/>
  <c r="L1003" i="2" l="1"/>
  <c r="H1003" i="2"/>
  <c r="C1004" i="2" s="1"/>
  <c r="K1004" i="2" s="1"/>
  <c r="I1004" i="2" l="1"/>
  <c r="D1004" i="2"/>
  <c r="B1004" i="2"/>
  <c r="F1004" i="2"/>
  <c r="E1004" i="2"/>
  <c r="J1004" i="2" l="1"/>
  <c r="G1004" i="2"/>
  <c r="H1004" i="2" s="1"/>
  <c r="C1005" i="2" s="1"/>
  <c r="K1005" i="2" s="1"/>
  <c r="L1004" i="2"/>
  <c r="I1005" i="2" l="1"/>
  <c r="D1005" i="2"/>
  <c r="B1005" i="2"/>
  <c r="F1005" i="2"/>
  <c r="E1005" i="2"/>
  <c r="J1005" i="2" l="1"/>
  <c r="G1005" i="2"/>
  <c r="H1005" i="2" l="1"/>
  <c r="C1006" i="2" s="1"/>
  <c r="K1006" i="2" s="1"/>
  <c r="L1005" i="2"/>
  <c r="I1006" i="2" l="1"/>
  <c r="D1006" i="2"/>
  <c r="B1006" i="2"/>
  <c r="F1006" i="2" s="1"/>
  <c r="E1006" i="2"/>
  <c r="G1006" i="2" l="1"/>
  <c r="J1006" i="2"/>
  <c r="L1006" i="2"/>
  <c r="H1006" i="2"/>
  <c r="C1007" i="2" s="1"/>
  <c r="K1007" i="2" s="1"/>
  <c r="I1007" i="2" l="1"/>
  <c r="D1007" i="2"/>
  <c r="B1007" i="2"/>
  <c r="F1007" i="2" s="1"/>
  <c r="E1007" i="2"/>
  <c r="J1007" i="2" l="1"/>
  <c r="G1007" i="2"/>
  <c r="H1007" i="2" l="1"/>
  <c r="C1008" i="2" s="1"/>
  <c r="K1008" i="2" s="1"/>
  <c r="L1007" i="2"/>
  <c r="I1008" i="2" l="1"/>
  <c r="F1008" i="2"/>
  <c r="B1008" i="2"/>
  <c r="D1008" i="2"/>
  <c r="E1008" i="2"/>
  <c r="J1008" i="2" l="1"/>
  <c r="G1008" i="2"/>
  <c r="H1008" i="2" s="1"/>
  <c r="C1009" i="2" s="1"/>
  <c r="K1009" i="2" s="1"/>
  <c r="I1009" i="2" l="1"/>
  <c r="D1009" i="2"/>
  <c r="B1009" i="2"/>
  <c r="F1009" i="2"/>
  <c r="L1008" i="2"/>
  <c r="E1009" i="2"/>
  <c r="J1009" i="2" l="1"/>
  <c r="G1009" i="2"/>
  <c r="H1009" i="2" s="1"/>
  <c r="C1010" i="2" s="1"/>
  <c r="K1010" i="2" s="1"/>
  <c r="I1010" i="2" l="1"/>
  <c r="D1010" i="2"/>
  <c r="F1010" i="2"/>
  <c r="B1010" i="2"/>
  <c r="L1009" i="2"/>
  <c r="E1010" i="2"/>
  <c r="G1010" i="2" l="1"/>
  <c r="J1010" i="2"/>
  <c r="L1010" i="2" l="1"/>
  <c r="H1010" i="2"/>
  <c r="C1011" i="2" s="1"/>
  <c r="K1011" i="2" s="1"/>
  <c r="I1011" i="2" l="1"/>
  <c r="D1011" i="2"/>
  <c r="B1011" i="2"/>
  <c r="F1011" i="2"/>
  <c r="E1011" i="2"/>
  <c r="G1011" i="2" l="1"/>
  <c r="H1011" i="2" s="1"/>
  <c r="C1012" i="2" s="1"/>
  <c r="K1012" i="2" s="1"/>
  <c r="J1011" i="2"/>
  <c r="L1011" i="2"/>
  <c r="I1012" i="2" l="1"/>
  <c r="D1012" i="2"/>
  <c r="B1012" i="2"/>
  <c r="F1012" i="2"/>
  <c r="E1012" i="2"/>
  <c r="G1012" i="2" l="1"/>
  <c r="J1012" i="2"/>
  <c r="H1012" i="2" l="1"/>
  <c r="C1013" i="2" s="1"/>
  <c r="K1013" i="2" s="1"/>
  <c r="L1012" i="2"/>
  <c r="I1013" i="2" l="1"/>
  <c r="D1013" i="2"/>
  <c r="B1013" i="2"/>
  <c r="F1013" i="2" s="1"/>
  <c r="E1013" i="2"/>
  <c r="J1013" i="2" l="1"/>
  <c r="G1013" i="2"/>
  <c r="H1013" i="2" l="1"/>
  <c r="C1014" i="2" s="1"/>
  <c r="K1014" i="2" s="1"/>
  <c r="L1013" i="2"/>
  <c r="I1014" i="2" l="1"/>
  <c r="D1014" i="2"/>
  <c r="B1014" i="2"/>
  <c r="F1014" i="2" s="1"/>
  <c r="E1014" i="2"/>
  <c r="J1014" i="2" l="1"/>
  <c r="G1014" i="2"/>
  <c r="H1014" i="2" s="1"/>
  <c r="C1015" i="2" s="1"/>
  <c r="K1015" i="2" s="1"/>
  <c r="L1014" i="2"/>
  <c r="I1015" i="2" l="1"/>
  <c r="D1015" i="2"/>
  <c r="B1015" i="2"/>
  <c r="F1015" i="2" s="1"/>
  <c r="E1015" i="2"/>
  <c r="G1015" i="2" l="1"/>
  <c r="H1015" i="2" s="1"/>
  <c r="C1016" i="2" s="1"/>
  <c r="K1016" i="2" s="1"/>
  <c r="J1015" i="2"/>
  <c r="L1015" i="2"/>
  <c r="I1016" i="2" l="1"/>
  <c r="D1016" i="2"/>
  <c r="B1016" i="2"/>
  <c r="F1016" i="2" s="1"/>
  <c r="E1016" i="2"/>
  <c r="G1016" i="2" l="1"/>
  <c r="J1016" i="2"/>
  <c r="L1016" i="2" l="1"/>
  <c r="H1016" i="2"/>
  <c r="C1017" i="2" s="1"/>
  <c r="K1017" i="2" s="1"/>
  <c r="I1017" i="2" l="1"/>
  <c r="D1017" i="2"/>
  <c r="B1017" i="2"/>
  <c r="F1017" i="2" s="1"/>
  <c r="E1017" i="2"/>
  <c r="G1017" i="2" l="1"/>
  <c r="J1017" i="2"/>
  <c r="L1017" i="2" l="1"/>
  <c r="H1017" i="2"/>
  <c r="C1018" i="2" s="1"/>
  <c r="K1018" i="2" s="1"/>
  <c r="I1018" i="2" l="1"/>
  <c r="D1018" i="2"/>
  <c r="B1018" i="2"/>
  <c r="F1018" i="2" s="1"/>
  <c r="E1018" i="2"/>
  <c r="J1018" i="2" l="1"/>
  <c r="G1018" i="2"/>
  <c r="H1018" i="2" s="1"/>
  <c r="C1019" i="2" s="1"/>
  <c r="K1019" i="2" s="1"/>
  <c r="L1018" i="2"/>
  <c r="I1019" i="2" l="1"/>
  <c r="D1019" i="2"/>
  <c r="B1019" i="2"/>
  <c r="F1019" i="2" s="1"/>
  <c r="E1019" i="2"/>
  <c r="J1019" i="2" l="1"/>
  <c r="G1019" i="2"/>
  <c r="H1019" i="2" l="1"/>
  <c r="C1020" i="2" s="1"/>
  <c r="K1020" i="2" s="1"/>
  <c r="L1019" i="2"/>
  <c r="I1020" i="2" l="1"/>
  <c r="D1020" i="2"/>
  <c r="B1020" i="2"/>
  <c r="F1020" i="2" s="1"/>
  <c r="E1020" i="2"/>
  <c r="J1020" i="2" l="1"/>
  <c r="G1020" i="2"/>
  <c r="H1020" i="2" s="1"/>
  <c r="C1021" i="2" s="1"/>
  <c r="K1021" i="2" s="1"/>
  <c r="L1020" i="2"/>
  <c r="I1021" i="2" l="1"/>
  <c r="D1021" i="2"/>
  <c r="B1021" i="2"/>
  <c r="F1021" i="2" s="1"/>
  <c r="E1021" i="2"/>
  <c r="J1021" i="2" l="1"/>
  <c r="G1021" i="2"/>
  <c r="H1021" i="2" s="1"/>
  <c r="C1022" i="2" s="1"/>
  <c r="K1022" i="2" s="1"/>
  <c r="L1021" i="2"/>
  <c r="I1022" i="2" l="1"/>
  <c r="D1022" i="2"/>
  <c r="B1022" i="2"/>
  <c r="F1022" i="2" s="1"/>
  <c r="E1022" i="2"/>
  <c r="J1022" i="2" l="1"/>
  <c r="G1022" i="2"/>
  <c r="L1022" i="2"/>
  <c r="H1022" i="2"/>
  <c r="C1023" i="2" s="1"/>
  <c r="K1023" i="2" s="1"/>
  <c r="I1023" i="2" l="1"/>
  <c r="D1023" i="2"/>
  <c r="B1023" i="2"/>
  <c r="F1023" i="2"/>
  <c r="E1023" i="2"/>
  <c r="G1023" i="2" l="1"/>
  <c r="J1023" i="2"/>
  <c r="H1023" i="2" l="1"/>
  <c r="C1024" i="2" s="1"/>
  <c r="K1024" i="2" s="1"/>
  <c r="L1023" i="2"/>
  <c r="I1024" i="2" l="1"/>
  <c r="B1024" i="2"/>
  <c r="F1024" i="2" s="1"/>
  <c r="D1024" i="2"/>
  <c r="E1024" i="2"/>
  <c r="G1024" i="2" l="1"/>
  <c r="J1024" i="2"/>
  <c r="L1024" i="2" l="1"/>
  <c r="H1024" i="2"/>
  <c r="C1025" i="2" s="1"/>
  <c r="K1025" i="2" s="1"/>
  <c r="I1025" i="2" l="1"/>
  <c r="D1025" i="2"/>
  <c r="B1025" i="2"/>
  <c r="F1025" i="2"/>
  <c r="E1025" i="2"/>
  <c r="G1025" i="2" l="1"/>
  <c r="J1025" i="2"/>
  <c r="H1025" i="2" l="1"/>
  <c r="C1026" i="2" s="1"/>
  <c r="K1026" i="2" s="1"/>
  <c r="L1025" i="2"/>
  <c r="I1026" i="2" l="1"/>
  <c r="B1026" i="2"/>
  <c r="F1026" i="2" s="1"/>
  <c r="D1026" i="2"/>
  <c r="E1026" i="2"/>
  <c r="G1026" i="2" l="1"/>
  <c r="J1026" i="2"/>
  <c r="H1026" i="2" l="1"/>
  <c r="C1027" i="2" s="1"/>
  <c r="K1027" i="2" s="1"/>
  <c r="L1026" i="2"/>
  <c r="I1027" i="2" l="1"/>
  <c r="D1027" i="2"/>
  <c r="B1027" i="2"/>
  <c r="F1027" i="2" s="1"/>
  <c r="E1027" i="2"/>
  <c r="G1027" i="2" l="1"/>
  <c r="H1027" i="2" s="1"/>
  <c r="C1028" i="2" s="1"/>
  <c r="K1028" i="2" s="1"/>
  <c r="J1027" i="2"/>
  <c r="L1027" i="2"/>
  <c r="I1028" i="2" l="1"/>
  <c r="B1028" i="2"/>
  <c r="F1028" i="2"/>
  <c r="D1028" i="2"/>
  <c r="E1028" i="2"/>
  <c r="G1028" i="2" l="1"/>
  <c r="J1028" i="2"/>
  <c r="H1028" i="2"/>
  <c r="C1029" i="2" s="1"/>
  <c r="K1029" i="2" s="1"/>
  <c r="L1028" i="2"/>
  <c r="I1029" i="2" l="1"/>
  <c r="D1029" i="2"/>
  <c r="B1029" i="2"/>
  <c r="F1029" i="2" s="1"/>
  <c r="E1029" i="2"/>
  <c r="J1029" i="2" l="1"/>
  <c r="G1029" i="2"/>
  <c r="H1029" i="2" s="1"/>
  <c r="C1030" i="2" s="1"/>
  <c r="K1030" i="2" s="1"/>
  <c r="L1029" i="2"/>
  <c r="I1030" i="2" l="1"/>
  <c r="B1030" i="2"/>
  <c r="F1030" i="2" s="1"/>
  <c r="D1030" i="2"/>
  <c r="E1030" i="2"/>
  <c r="G1030" i="2" l="1"/>
  <c r="J1030" i="2"/>
  <c r="L1030" i="2" l="1"/>
  <c r="H1030" i="2"/>
  <c r="C1031" i="2" s="1"/>
  <c r="K1031" i="2" s="1"/>
  <c r="I1031" i="2" l="1"/>
  <c r="D1031" i="2"/>
  <c r="B1031" i="2"/>
  <c r="F1031" i="2" s="1"/>
  <c r="E1031" i="2"/>
  <c r="J1031" i="2" l="1"/>
  <c r="G1031" i="2"/>
  <c r="H1031" i="2" s="1"/>
  <c r="C1032" i="2" s="1"/>
  <c r="K1032" i="2" s="1"/>
  <c r="L1031" i="2"/>
  <c r="I1032" i="2" l="1"/>
  <c r="D1032" i="2"/>
  <c r="B1032" i="2"/>
  <c r="F1032" i="2" s="1"/>
  <c r="E1032" i="2"/>
  <c r="G1032" i="2" l="1"/>
  <c r="H1032" i="2" s="1"/>
  <c r="C1033" i="2" s="1"/>
  <c r="K1033" i="2" s="1"/>
  <c r="J1032" i="2"/>
  <c r="L1032" i="2"/>
  <c r="I1033" i="2" l="1"/>
  <c r="D1033" i="2"/>
  <c r="B1033" i="2"/>
  <c r="F1033" i="2"/>
  <c r="E1033" i="2"/>
  <c r="J1033" i="2" l="1"/>
  <c r="G1033" i="2"/>
  <c r="H1033" i="2" l="1"/>
  <c r="C1034" i="2" s="1"/>
  <c r="K1034" i="2" s="1"/>
  <c r="L1033" i="2"/>
  <c r="I1034" i="2" l="1"/>
  <c r="B1034" i="2"/>
  <c r="F1034" i="2"/>
  <c r="D1034" i="2"/>
  <c r="E1034" i="2"/>
  <c r="G1034" i="2" l="1"/>
  <c r="L1034" i="2" s="1"/>
  <c r="J1034" i="2"/>
  <c r="H1034" i="2"/>
  <c r="C1035" i="2" s="1"/>
  <c r="K1035" i="2" s="1"/>
  <c r="I1035" i="2" l="1"/>
  <c r="B1035" i="2"/>
  <c r="F1035" i="2" s="1"/>
  <c r="D1035" i="2"/>
  <c r="E1035" i="2"/>
  <c r="J1035" i="2" l="1"/>
  <c r="G1035" i="2"/>
  <c r="H1035" i="2" l="1"/>
  <c r="C1036" i="2" s="1"/>
  <c r="K1036" i="2" s="1"/>
  <c r="L1035" i="2"/>
  <c r="I1036" i="2" l="1"/>
  <c r="D1036" i="2"/>
  <c r="B1036" i="2"/>
  <c r="F1036" i="2" s="1"/>
  <c r="E1036" i="2"/>
  <c r="G1036" i="2" l="1"/>
  <c r="H1036" i="2" s="1"/>
  <c r="C1037" i="2" s="1"/>
  <c r="K1037" i="2" s="1"/>
  <c r="J1036" i="2"/>
  <c r="L1036" i="2"/>
  <c r="I1037" i="2" l="1"/>
  <c r="D1037" i="2"/>
  <c r="B1037" i="2"/>
  <c r="F1037" i="2"/>
  <c r="E1037" i="2"/>
  <c r="G1037" i="2" l="1"/>
  <c r="J1037" i="2"/>
  <c r="H1037" i="2" l="1"/>
  <c r="C1038" i="2" s="1"/>
  <c r="K1038" i="2" s="1"/>
  <c r="L1037" i="2"/>
  <c r="I1038" i="2" l="1"/>
  <c r="D1038" i="2"/>
  <c r="B1038" i="2"/>
  <c r="F1038" i="2" s="1"/>
  <c r="E1038" i="2"/>
  <c r="G1038" i="2" l="1"/>
  <c r="H1038" i="2" s="1"/>
  <c r="C1039" i="2" s="1"/>
  <c r="K1039" i="2" s="1"/>
  <c r="J1038" i="2"/>
  <c r="L1038" i="2"/>
  <c r="I1039" i="2" l="1"/>
  <c r="D1039" i="2"/>
  <c r="B1039" i="2"/>
  <c r="F1039" i="2" s="1"/>
  <c r="E1039" i="2"/>
  <c r="J1039" i="2" l="1"/>
  <c r="G1039" i="2"/>
  <c r="H1039" i="2" s="1"/>
  <c r="C1040" i="2" s="1"/>
  <c r="K1040" i="2" s="1"/>
  <c r="L1039" i="2"/>
  <c r="I1040" i="2" l="1"/>
  <c r="B1040" i="2"/>
  <c r="F1040" i="2" s="1"/>
  <c r="D1040" i="2"/>
  <c r="E1040" i="2"/>
  <c r="J1040" i="2" l="1"/>
  <c r="G1040" i="2"/>
  <c r="L1040" i="2" l="1"/>
  <c r="H1040" i="2"/>
  <c r="C1041" i="2" s="1"/>
  <c r="K1041" i="2" s="1"/>
  <c r="I1041" i="2" l="1"/>
  <c r="D1041" i="2"/>
  <c r="B1041" i="2"/>
  <c r="F1041" i="2" s="1"/>
  <c r="E1041" i="2"/>
  <c r="J1041" i="2" l="1"/>
  <c r="G1041" i="2"/>
  <c r="H1041" i="2" s="1"/>
  <c r="C1042" i="2" s="1"/>
  <c r="K1042" i="2" s="1"/>
  <c r="L1041" i="2"/>
  <c r="I1042" i="2" l="1"/>
  <c r="D1042" i="2"/>
  <c r="B1042" i="2"/>
  <c r="F1042" i="2" s="1"/>
  <c r="E1042" i="2"/>
  <c r="G1042" i="2" l="1"/>
  <c r="J1042" i="2"/>
  <c r="L1042" i="2" l="1"/>
  <c r="H1042" i="2"/>
  <c r="C1043" i="2" s="1"/>
  <c r="K1043" i="2" s="1"/>
  <c r="I1043" i="2" l="1"/>
  <c r="D1043" i="2"/>
  <c r="B1043" i="2"/>
  <c r="F1043" i="2" s="1"/>
  <c r="E1043" i="2"/>
  <c r="J1043" i="2" l="1"/>
  <c r="G1043" i="2"/>
  <c r="H1043" i="2" s="1"/>
  <c r="C1044" i="2" s="1"/>
  <c r="K1044" i="2" s="1"/>
  <c r="L1043" i="2"/>
  <c r="I1044" i="2" l="1"/>
  <c r="B1044" i="2"/>
  <c r="F1044" i="2"/>
  <c r="D1044" i="2"/>
  <c r="E1044" i="2"/>
  <c r="G1044" i="2" l="1"/>
  <c r="J1044" i="2"/>
  <c r="H1044" i="2"/>
  <c r="C1045" i="2" s="1"/>
  <c r="K1045" i="2" s="1"/>
  <c r="L1044" i="2"/>
  <c r="I1045" i="2" l="1"/>
  <c r="D1045" i="2"/>
  <c r="B1045" i="2"/>
  <c r="F1045" i="2" s="1"/>
  <c r="E1045" i="2"/>
  <c r="J1045" i="2" l="1"/>
  <c r="G1045" i="2"/>
  <c r="H1045" i="2" l="1"/>
  <c r="C1046" i="2" s="1"/>
  <c r="K1046" i="2" s="1"/>
  <c r="L1045" i="2"/>
  <c r="I1046" i="2" l="1"/>
  <c r="B1046" i="2"/>
  <c r="F1046" i="2" s="1"/>
  <c r="D1046" i="2"/>
  <c r="E1046" i="2"/>
  <c r="G1046" i="2" l="1"/>
  <c r="J1046" i="2"/>
  <c r="H1046" i="2" l="1"/>
  <c r="C1047" i="2" s="1"/>
  <c r="K1047" i="2" s="1"/>
  <c r="L1046" i="2"/>
  <c r="I1047" i="2" l="1"/>
  <c r="D1047" i="2"/>
  <c r="B1047" i="2"/>
  <c r="F1047" i="2"/>
  <c r="E1047" i="2"/>
  <c r="J1047" i="2" l="1"/>
  <c r="G1047" i="2"/>
  <c r="H1047" i="2" l="1"/>
  <c r="C1048" i="2" s="1"/>
  <c r="K1048" i="2" s="1"/>
  <c r="L1047" i="2"/>
  <c r="I1048" i="2" l="1"/>
  <c r="B1048" i="2"/>
  <c r="F1048" i="2"/>
  <c r="D1048" i="2"/>
  <c r="E1048" i="2"/>
  <c r="G1048" i="2" l="1"/>
  <c r="L1048" i="2" s="1"/>
  <c r="J1048" i="2"/>
  <c r="H1048" i="2"/>
  <c r="C1049" i="2" s="1"/>
  <c r="K1049" i="2" s="1"/>
  <c r="I1049" i="2" l="1"/>
  <c r="D1049" i="2"/>
  <c r="B1049" i="2"/>
  <c r="F1049" i="2" s="1"/>
  <c r="E1049" i="2"/>
  <c r="J1049" i="2" l="1"/>
  <c r="G1049" i="2"/>
  <c r="L1049" i="2" l="1"/>
  <c r="H1049" i="2"/>
  <c r="C1050" i="2" s="1"/>
  <c r="K1050" i="2" s="1"/>
  <c r="I1050" i="2" l="1"/>
  <c r="B1050" i="2"/>
  <c r="F1050" i="2"/>
  <c r="D1050" i="2"/>
  <c r="E1050" i="2"/>
  <c r="G1050" i="2" l="1"/>
  <c r="J1050" i="2"/>
  <c r="H1050" i="2" l="1"/>
  <c r="C1051" i="2" s="1"/>
  <c r="K1051" i="2" s="1"/>
  <c r="L1050" i="2"/>
  <c r="I1051" i="2" l="1"/>
  <c r="D1051" i="2"/>
  <c r="B1051" i="2"/>
  <c r="F1051" i="2" s="1"/>
  <c r="E1051" i="2"/>
  <c r="J1051" i="2" l="1"/>
  <c r="G1051" i="2"/>
  <c r="H1051" i="2" s="1"/>
  <c r="C1052" i="2" s="1"/>
  <c r="K1052" i="2" s="1"/>
  <c r="L1051" i="2"/>
  <c r="I1052" i="2" l="1"/>
  <c r="D1052" i="2"/>
  <c r="B1052" i="2"/>
  <c r="F1052" i="2"/>
  <c r="E1052" i="2"/>
  <c r="J1052" i="2" l="1"/>
  <c r="G1052" i="2"/>
  <c r="H1052" i="2" l="1"/>
  <c r="C1053" i="2" s="1"/>
  <c r="K1053" i="2" s="1"/>
  <c r="L1052" i="2"/>
  <c r="I1053" i="2" l="1"/>
  <c r="D1053" i="2"/>
  <c r="B1053" i="2"/>
  <c r="F1053" i="2"/>
  <c r="E1053" i="2"/>
  <c r="G1053" i="2" l="1"/>
  <c r="J1053" i="2"/>
  <c r="H1053" i="2" l="1"/>
  <c r="C1054" i="2" s="1"/>
  <c r="K1054" i="2" s="1"/>
  <c r="L1053" i="2"/>
  <c r="I1054" i="2" l="1"/>
  <c r="D1054" i="2"/>
  <c r="B1054" i="2"/>
  <c r="F1054" i="2" s="1"/>
  <c r="E1054" i="2"/>
  <c r="G1054" i="2" l="1"/>
  <c r="J1054" i="2"/>
  <c r="H1054" i="2" l="1"/>
  <c r="C1055" i="2" s="1"/>
  <c r="K1055" i="2" s="1"/>
  <c r="L1054" i="2"/>
  <c r="I1055" i="2" l="1"/>
  <c r="D1055" i="2"/>
  <c r="B1055" i="2"/>
  <c r="F1055" i="2" s="1"/>
  <c r="E1055" i="2"/>
  <c r="J1055" i="2" l="1"/>
  <c r="G1055" i="2"/>
  <c r="L1055" i="2" l="1"/>
  <c r="H1055" i="2"/>
  <c r="C1056" i="2" s="1"/>
  <c r="K1056" i="2" s="1"/>
  <c r="I1056" i="2" l="1"/>
  <c r="B1056" i="2"/>
  <c r="F1056" i="2" s="1"/>
  <c r="D1056" i="2"/>
  <c r="E1056" i="2"/>
  <c r="G1056" i="2" l="1"/>
  <c r="J1056" i="2"/>
  <c r="H1056" i="2" l="1"/>
  <c r="C1057" i="2" s="1"/>
  <c r="K1057" i="2" s="1"/>
  <c r="L1056" i="2"/>
  <c r="I1057" i="2" l="1"/>
  <c r="F1057" i="2"/>
  <c r="B1057" i="2"/>
  <c r="D1057" i="2"/>
  <c r="E1057" i="2"/>
  <c r="G1057" i="2" l="1"/>
  <c r="J1057" i="2"/>
  <c r="L1057" i="2" l="1"/>
  <c r="H1057" i="2"/>
  <c r="C1058" i="2" s="1"/>
  <c r="K1058" i="2" s="1"/>
  <c r="I1058" i="2" l="1"/>
  <c r="B1058" i="2"/>
  <c r="F1058" i="2" s="1"/>
  <c r="D1058" i="2"/>
  <c r="E1058" i="2"/>
  <c r="J1058" i="2" l="1"/>
  <c r="G1058" i="2"/>
  <c r="L1058" i="2" l="1"/>
  <c r="H1058" i="2"/>
  <c r="C1059" i="2" s="1"/>
  <c r="K1059" i="2" s="1"/>
  <c r="I1059" i="2" l="1"/>
  <c r="D1059" i="2"/>
  <c r="B1059" i="2"/>
  <c r="F1059" i="2"/>
  <c r="E1059" i="2"/>
  <c r="J1059" i="2" l="1"/>
  <c r="G1059" i="2"/>
  <c r="H1059" i="2" l="1"/>
  <c r="C1060" i="2" s="1"/>
  <c r="K1060" i="2" s="1"/>
  <c r="L1059" i="2"/>
  <c r="I1060" i="2" l="1"/>
  <c r="D1060" i="2"/>
  <c r="B1060" i="2"/>
  <c r="F1060" i="2" s="1"/>
  <c r="E1060" i="2"/>
  <c r="G1060" i="2" l="1"/>
  <c r="J1060" i="2"/>
  <c r="L1060" i="2"/>
  <c r="H1060" i="2"/>
  <c r="C1061" i="2" s="1"/>
  <c r="K1061" i="2" s="1"/>
  <c r="I1061" i="2" l="1"/>
  <c r="D1061" i="2"/>
  <c r="B1061" i="2"/>
  <c r="F1061" i="2"/>
  <c r="E1061" i="2"/>
  <c r="J1061" i="2" l="1"/>
  <c r="G1061" i="2"/>
  <c r="H1061" i="2" l="1"/>
  <c r="C1062" i="2" s="1"/>
  <c r="K1062" i="2" s="1"/>
  <c r="L1061" i="2"/>
  <c r="I1062" i="2" l="1"/>
  <c r="D1062" i="2"/>
  <c r="B1062" i="2"/>
  <c r="F1062" i="2" s="1"/>
  <c r="E1062" i="2"/>
  <c r="G1062" i="2" l="1"/>
  <c r="H1062" i="2" s="1"/>
  <c r="C1063" i="2" s="1"/>
  <c r="K1063" i="2" s="1"/>
  <c r="J1062" i="2"/>
  <c r="L1062" i="2"/>
  <c r="I1063" i="2" l="1"/>
  <c r="D1063" i="2"/>
  <c r="B1063" i="2"/>
  <c r="F1063" i="2"/>
  <c r="E1063" i="2"/>
  <c r="J1063" i="2" l="1"/>
  <c r="G1063" i="2"/>
  <c r="H1063" i="2" s="1"/>
  <c r="C1064" i="2" s="1"/>
  <c r="K1064" i="2" s="1"/>
  <c r="I1064" i="2" l="1"/>
  <c r="D1064" i="2"/>
  <c r="B1064" i="2"/>
  <c r="F1064" i="2" s="1"/>
  <c r="L1063" i="2"/>
  <c r="E1064" i="2"/>
  <c r="G1064" i="2" l="1"/>
  <c r="L1064" i="2" s="1"/>
  <c r="J1064" i="2"/>
  <c r="H1064" i="2"/>
  <c r="C1065" i="2" s="1"/>
  <c r="K1065" i="2" s="1"/>
  <c r="I1065" i="2" l="1"/>
  <c r="D1065" i="2"/>
  <c r="B1065" i="2"/>
  <c r="F1065" i="2" s="1"/>
  <c r="E1065" i="2"/>
  <c r="J1065" i="2" l="1"/>
  <c r="G1065" i="2"/>
  <c r="H1065" i="2" s="1"/>
  <c r="C1066" i="2" s="1"/>
  <c r="K1066" i="2" s="1"/>
  <c r="L1065" i="2"/>
  <c r="I1066" i="2" l="1"/>
  <c r="B1066" i="2"/>
  <c r="F1066" i="2"/>
  <c r="D1066" i="2"/>
  <c r="E1066" i="2"/>
  <c r="G1066" i="2" l="1"/>
  <c r="J1066" i="2"/>
  <c r="H1066" i="2" l="1"/>
  <c r="C1067" i="2" s="1"/>
  <c r="K1067" i="2" s="1"/>
  <c r="L1066" i="2"/>
  <c r="I1067" i="2" l="1"/>
  <c r="D1067" i="2"/>
  <c r="B1067" i="2"/>
  <c r="F1067" i="2"/>
  <c r="E1067" i="2"/>
  <c r="G1067" i="2" l="1"/>
  <c r="J1067" i="2"/>
  <c r="H1067" i="2" l="1"/>
  <c r="C1068" i="2" s="1"/>
  <c r="K1068" i="2" s="1"/>
  <c r="L1067" i="2"/>
  <c r="I1068" i="2" l="1"/>
  <c r="D1068" i="2"/>
  <c r="B1068" i="2"/>
  <c r="F1068" i="2"/>
  <c r="E1068" i="2"/>
  <c r="J1068" i="2" l="1"/>
  <c r="G1068" i="2"/>
  <c r="H1068" i="2" l="1"/>
  <c r="C1069" i="2" s="1"/>
  <c r="K1069" i="2" s="1"/>
  <c r="L1068" i="2"/>
  <c r="I1069" i="2" l="1"/>
  <c r="D1069" i="2"/>
  <c r="B1069" i="2"/>
  <c r="F1069" i="2" s="1"/>
  <c r="E1069" i="2"/>
  <c r="G1069" i="2" l="1"/>
  <c r="H1069" i="2" s="1"/>
  <c r="C1070" i="2" s="1"/>
  <c r="K1070" i="2" s="1"/>
  <c r="J1069" i="2"/>
  <c r="L1069" i="2"/>
  <c r="I1070" i="2" l="1"/>
  <c r="B1070" i="2"/>
  <c r="F1070" i="2" s="1"/>
  <c r="D1070" i="2"/>
  <c r="E1070" i="2"/>
  <c r="G1070" i="2" l="1"/>
  <c r="J1070" i="2"/>
  <c r="L1070" i="2" l="1"/>
  <c r="H1070" i="2"/>
  <c r="C1071" i="2" s="1"/>
  <c r="K1071" i="2" s="1"/>
  <c r="I1071" i="2" l="1"/>
  <c r="D1071" i="2"/>
  <c r="B1071" i="2"/>
  <c r="F1071" i="2"/>
  <c r="E1071" i="2"/>
  <c r="G1071" i="2" l="1"/>
  <c r="J1071" i="2"/>
  <c r="H1071" i="2" l="1"/>
  <c r="C1072" i="2" s="1"/>
  <c r="K1072" i="2" s="1"/>
  <c r="L1071" i="2"/>
  <c r="I1072" i="2" l="1"/>
  <c r="D1072" i="2"/>
  <c r="B1072" i="2"/>
  <c r="F1072" i="2" s="1"/>
  <c r="E1072" i="2"/>
  <c r="G1072" i="2" l="1"/>
  <c r="J1072" i="2"/>
  <c r="L1072" i="2" l="1"/>
  <c r="H1072" i="2"/>
  <c r="C1073" i="2" s="1"/>
  <c r="K1073" i="2" s="1"/>
  <c r="I1073" i="2" l="1"/>
  <c r="F1073" i="2"/>
  <c r="B1073" i="2"/>
  <c r="D1073" i="2"/>
  <c r="E1073" i="2"/>
  <c r="J1073" i="2" l="1"/>
  <c r="G1073" i="2"/>
  <c r="H1073" i="2" l="1"/>
  <c r="C1074" i="2" s="1"/>
  <c r="K1074" i="2" s="1"/>
  <c r="L1073" i="2"/>
  <c r="I1074" i="2" l="1"/>
  <c r="D1074" i="2"/>
  <c r="B1074" i="2"/>
  <c r="F1074" i="2" s="1"/>
  <c r="E1074" i="2"/>
  <c r="G1074" i="2" l="1"/>
  <c r="L1074" i="2" s="1"/>
  <c r="J1074" i="2"/>
  <c r="H1074" i="2"/>
  <c r="C1075" i="2" s="1"/>
  <c r="K1075" i="2" s="1"/>
  <c r="I1075" i="2" l="1"/>
  <c r="D1075" i="2"/>
  <c r="B1075" i="2"/>
  <c r="F1075" i="2" s="1"/>
  <c r="E1075" i="2"/>
  <c r="J1075" i="2" l="1"/>
  <c r="G1075" i="2"/>
  <c r="H1075" i="2" l="1"/>
  <c r="C1076" i="2" s="1"/>
  <c r="K1076" i="2" s="1"/>
  <c r="L1075" i="2"/>
  <c r="I1076" i="2" l="1"/>
  <c r="J1076" i="2" s="1"/>
  <c r="D1076" i="2"/>
  <c r="H1076" i="2"/>
  <c r="E1076" i="2"/>
  <c r="F1076" i="2"/>
  <c r="L1076" i="2"/>
  <c r="B1076" i="2"/>
  <c r="C1077" i="2" l="1"/>
  <c r="K1077" i="2" s="1"/>
  <c r="G1076" i="2"/>
  <c r="I1077" i="2" l="1"/>
  <c r="L1077" i="2"/>
  <c r="F1077" i="2"/>
  <c r="D1077" i="2"/>
  <c r="H1077" i="2"/>
  <c r="C1078" i="2" s="1"/>
  <c r="K1078" i="2" s="1"/>
  <c r="E1077" i="2"/>
  <c r="B1077" i="2"/>
  <c r="J1077" i="2"/>
  <c r="G1077" i="2"/>
  <c r="I1078" i="2" l="1"/>
  <c r="B1078" i="2"/>
  <c r="F1078" i="2"/>
  <c r="D1078" i="2"/>
  <c r="E1078" i="2"/>
  <c r="L1078" i="2"/>
  <c r="H1078" i="2"/>
  <c r="C1079" i="2" l="1"/>
  <c r="K1079" i="2" s="1"/>
  <c r="J1078" i="2"/>
  <c r="G1078" i="2"/>
  <c r="I1079" i="2" l="1"/>
  <c r="E1079" i="2"/>
  <c r="L1079" i="2"/>
  <c r="D1079" i="2"/>
  <c r="B1079" i="2"/>
  <c r="H1079" i="2"/>
  <c r="F1079" i="2"/>
  <c r="J1079" i="2" l="1"/>
  <c r="G1079" i="2"/>
  <c r="C1080" i="2"/>
  <c r="K1080" i="2" s="1"/>
  <c r="I1080" i="2" l="1"/>
  <c r="E1080" i="2"/>
  <c r="L1080" i="2"/>
  <c r="H1080" i="2"/>
  <c r="B1080" i="2"/>
  <c r="F1080" i="2"/>
  <c r="D1080" i="2"/>
  <c r="G1080" i="2" l="1"/>
  <c r="C1081" i="2"/>
  <c r="K1081" i="2" s="1"/>
  <c r="J1080" i="2"/>
  <c r="I1081" i="2" l="1"/>
  <c r="D1081" i="2"/>
  <c r="B1081" i="2"/>
  <c r="F1081" i="2"/>
  <c r="E1081" i="2"/>
  <c r="L1081" i="2"/>
  <c r="H1081" i="2"/>
  <c r="G1081" i="2" l="1"/>
  <c r="C1082" i="2"/>
  <c r="K1082" i="2" s="1"/>
  <c r="J1081" i="2"/>
  <c r="I1082" i="2" l="1"/>
  <c r="F1082" i="2"/>
  <c r="L1082" i="2"/>
  <c r="E1082" i="2"/>
  <c r="B1082" i="2"/>
  <c r="H1082" i="2"/>
  <c r="D1082" i="2"/>
  <c r="C1083" i="2" l="1"/>
  <c r="K1083" i="2" s="1"/>
  <c r="J1082" i="2"/>
  <c r="G1082" i="2"/>
  <c r="I1083" i="2" l="1"/>
  <c r="D1083" i="2"/>
  <c r="B1083" i="2"/>
  <c r="H1083" i="2"/>
  <c r="E1083" i="2"/>
  <c r="L1083" i="2"/>
  <c r="F1083" i="2"/>
  <c r="G1083" i="2" l="1"/>
  <c r="J1083" i="2"/>
  <c r="C1084" i="2"/>
  <c r="K1084" i="2" s="1"/>
  <c r="I1084" i="2" l="1"/>
  <c r="L1084" i="2"/>
  <c r="H1084" i="2"/>
  <c r="F1084" i="2"/>
  <c r="D1084" i="2"/>
  <c r="B1084" i="2"/>
  <c r="E1084" i="2"/>
  <c r="C1085" i="2" l="1"/>
  <c r="K1085" i="2" s="1"/>
  <c r="J1084" i="2"/>
  <c r="G1084" i="2"/>
  <c r="I1085" i="2" l="1"/>
  <c r="F1085" i="2"/>
  <c r="E1085" i="2"/>
  <c r="L1085" i="2"/>
  <c r="D1085" i="2"/>
  <c r="B1085" i="2"/>
  <c r="H1085" i="2"/>
  <c r="G1085" i="2" l="1"/>
  <c r="C1086" i="2"/>
  <c r="K1086" i="2" s="1"/>
  <c r="J1085" i="2"/>
  <c r="I1086" i="2" l="1"/>
  <c r="E1086" i="2"/>
  <c r="B1086" i="2"/>
  <c r="H1086" i="2"/>
  <c r="F1086" i="2"/>
  <c r="D1086" i="2"/>
  <c r="L1086" i="2"/>
  <c r="C1087" i="2" l="1"/>
  <c r="K1087" i="2" s="1"/>
  <c r="J1086" i="2"/>
  <c r="G1086" i="2"/>
  <c r="I1087" i="2" l="1"/>
  <c r="F1087" i="2"/>
  <c r="D1087" i="2"/>
  <c r="B1087" i="2"/>
  <c r="H1087" i="2"/>
  <c r="E1087" i="2"/>
  <c r="L1087" i="2"/>
  <c r="G1087" i="2" l="1"/>
  <c r="C1088" i="2"/>
  <c r="K1088" i="2" s="1"/>
  <c r="J1087" i="2"/>
  <c r="I1088" i="2" l="1"/>
  <c r="E1088" i="2"/>
  <c r="B1088" i="2"/>
  <c r="H1088" i="2"/>
  <c r="F1088" i="2"/>
  <c r="D1088" i="2"/>
  <c r="L1088" i="2"/>
  <c r="G1088" i="2" l="1"/>
  <c r="C1089" i="2"/>
  <c r="K1089" i="2" s="1"/>
  <c r="J1088" i="2"/>
  <c r="I1089" i="2" l="1"/>
  <c r="D1089" i="2"/>
  <c r="B1089" i="2"/>
  <c r="H1089" i="2"/>
  <c r="F1089" i="2"/>
  <c r="E1089" i="2"/>
  <c r="L1089" i="2"/>
  <c r="J1089" i="2" l="1"/>
  <c r="C1090" i="2"/>
  <c r="K1090" i="2" s="1"/>
  <c r="G1089" i="2"/>
  <c r="I1090" i="2" l="1"/>
  <c r="L1090" i="2"/>
  <c r="F1090" i="2"/>
  <c r="D1090" i="2"/>
  <c r="E1090" i="2"/>
  <c r="B1090" i="2"/>
  <c r="H1090" i="2"/>
  <c r="C1091" i="2" l="1"/>
  <c r="K1091" i="2" s="1"/>
  <c r="J1090" i="2"/>
  <c r="G1090" i="2"/>
  <c r="I1091" i="2" l="1"/>
  <c r="E1091" i="2"/>
  <c r="L1091" i="2"/>
  <c r="D1091" i="2"/>
  <c r="B1091" i="2"/>
  <c r="H1091" i="2"/>
  <c r="F1091" i="2"/>
  <c r="G1091" i="2" l="1"/>
  <c r="C1092" i="2"/>
  <c r="K1092" i="2" s="1"/>
  <c r="J1091" i="2"/>
  <c r="I1092" i="2" l="1"/>
  <c r="E1092" i="2"/>
  <c r="B1092" i="2"/>
  <c r="L1092" i="2"/>
  <c r="F1092" i="2"/>
  <c r="D1092" i="2"/>
  <c r="H1092" i="2"/>
  <c r="C1093" i="2" l="1"/>
  <c r="K1093" i="2" s="1"/>
  <c r="J1092" i="2"/>
  <c r="G1092" i="2"/>
  <c r="I1093" i="2" l="1"/>
  <c r="F1093" i="2"/>
  <c r="E1093" i="2"/>
  <c r="L1093" i="2"/>
  <c r="D1093" i="2"/>
  <c r="B1093" i="2"/>
  <c r="H1093" i="2"/>
  <c r="G1093" i="2" l="1"/>
  <c r="C1094" i="2"/>
  <c r="K1094" i="2" s="1"/>
  <c r="J1093" i="2"/>
  <c r="I1094" i="2" l="1"/>
  <c r="B1094" i="2"/>
  <c r="L1094" i="2"/>
  <c r="H1094" i="2"/>
  <c r="F1094" i="2"/>
  <c r="D1094" i="2"/>
  <c r="E1094" i="2"/>
  <c r="C1095" i="2" l="1"/>
  <c r="K1095" i="2" s="1"/>
  <c r="J1094" i="2"/>
  <c r="G1094" i="2"/>
  <c r="I1095" i="2" l="1"/>
  <c r="D1095" i="2"/>
  <c r="F1095" i="2"/>
  <c r="E1095" i="2"/>
  <c r="L1095" i="2"/>
  <c r="B1095" i="2"/>
  <c r="H1095" i="2"/>
  <c r="G1095" i="2" l="1"/>
  <c r="C1096" i="2"/>
  <c r="K1096" i="2" s="1"/>
  <c r="J1095" i="2"/>
  <c r="I1096" i="2" l="1"/>
  <c r="H1096" i="2"/>
  <c r="L1096" i="2"/>
  <c r="E1096" i="2"/>
  <c r="B1096" i="2"/>
  <c r="F1096" i="2"/>
  <c r="D1096" i="2"/>
  <c r="C1097" i="2" l="1"/>
  <c r="K1097" i="2" s="1"/>
  <c r="J1096" i="2"/>
  <c r="G1096" i="2"/>
  <c r="I1097" i="2" l="1"/>
  <c r="D1097" i="2"/>
  <c r="B1097" i="2"/>
  <c r="H1097" i="2"/>
  <c r="F1097" i="2"/>
  <c r="E1097" i="2"/>
  <c r="L1097" i="2"/>
  <c r="J1097" i="2" l="1"/>
  <c r="G1097" i="2"/>
  <c r="C1098" i="2"/>
  <c r="K1098" i="2" s="1"/>
  <c r="I1098" i="2" l="1"/>
  <c r="E1098" i="2"/>
  <c r="H1098" i="2"/>
  <c r="F1098" i="2"/>
  <c r="D1098" i="2"/>
  <c r="L1098" i="2"/>
  <c r="B1098" i="2"/>
  <c r="C1099" i="2" l="1"/>
  <c r="K1099" i="2" s="1"/>
  <c r="J1098" i="2"/>
  <c r="G1098" i="2"/>
  <c r="I1099" i="2" l="1"/>
  <c r="H1099" i="2"/>
  <c r="L1099" i="2"/>
  <c r="E1099" i="2"/>
  <c r="F1099" i="2"/>
  <c r="B1099" i="2"/>
  <c r="D1099" i="2"/>
  <c r="J1099" i="2" l="1"/>
  <c r="G1099" i="2"/>
  <c r="C1100" i="2"/>
  <c r="K1100" i="2" s="1"/>
  <c r="I1100" i="2" l="1"/>
  <c r="E1100" i="2"/>
  <c r="H1100" i="2"/>
  <c r="D1100" i="2"/>
  <c r="F1100" i="2"/>
  <c r="B1100" i="2"/>
  <c r="L1100" i="2"/>
  <c r="J1100" i="2" l="1"/>
  <c r="G1100" i="2"/>
  <c r="C1101" i="2"/>
  <c r="K1101" i="2" s="1"/>
  <c r="I1101" i="2" l="1"/>
  <c r="D1101" i="2"/>
  <c r="B1101" i="2"/>
  <c r="H1101" i="2"/>
  <c r="F1101" i="2"/>
  <c r="E1101" i="2"/>
  <c r="L1101" i="2"/>
  <c r="G1101" i="2" l="1"/>
  <c r="C1102" i="2"/>
  <c r="K1102" i="2" s="1"/>
  <c r="J1101" i="2"/>
  <c r="I1102" i="2" l="1"/>
  <c r="L1102" i="2"/>
  <c r="D1102" i="2"/>
  <c r="E1102" i="2"/>
  <c r="B1102" i="2"/>
  <c r="H1102" i="2"/>
  <c r="F1102" i="2"/>
  <c r="C1103" i="2" l="1"/>
  <c r="K1103" i="2" s="1"/>
  <c r="J1102" i="2"/>
  <c r="G1102" i="2"/>
  <c r="I1103" i="2" l="1"/>
  <c r="F1103" i="2"/>
  <c r="E1103" i="2"/>
  <c r="L1103" i="2"/>
  <c r="D1103" i="2"/>
  <c r="B1103" i="2"/>
  <c r="H1103" i="2"/>
  <c r="J1103" i="2" l="1"/>
  <c r="G1103" i="2"/>
  <c r="C1104" i="2"/>
  <c r="K1104" i="2" s="1"/>
  <c r="I1104" i="2" l="1"/>
  <c r="E1104" i="2"/>
  <c r="B1104" i="2"/>
  <c r="H1104" i="2"/>
  <c r="L1104" i="2"/>
  <c r="F1104" i="2"/>
  <c r="D1104" i="2"/>
  <c r="C1105" i="2" l="1"/>
  <c r="K1105" i="2" s="1"/>
  <c r="J1104" i="2"/>
  <c r="G1104" i="2"/>
  <c r="I1105" i="2" l="1"/>
  <c r="E1105" i="2"/>
  <c r="L1105" i="2"/>
  <c r="F1105" i="2"/>
  <c r="D1105" i="2"/>
  <c r="B1105" i="2"/>
  <c r="H1105" i="2"/>
  <c r="G1105" i="2" l="1"/>
  <c r="C1106" i="2"/>
  <c r="K1106" i="2" s="1"/>
  <c r="J1105" i="2"/>
  <c r="I1106" i="2" l="1"/>
  <c r="E1106" i="2"/>
  <c r="B1106" i="2"/>
  <c r="H1106" i="2"/>
  <c r="F1106" i="2"/>
  <c r="D1106" i="2"/>
  <c r="L1106" i="2"/>
  <c r="G1106" i="2" l="1"/>
  <c r="C1107" i="2"/>
  <c r="K1107" i="2" s="1"/>
  <c r="J1106" i="2"/>
  <c r="I1107" i="2" l="1"/>
  <c r="E1107" i="2"/>
  <c r="L1107" i="2"/>
  <c r="F1107" i="2"/>
  <c r="D1107" i="2"/>
  <c r="B1107" i="2"/>
  <c r="H1107" i="2"/>
  <c r="G1107" i="2" l="1"/>
  <c r="J1107" i="2"/>
  <c r="C1108" i="2"/>
  <c r="K1108" i="2" s="1"/>
  <c r="I1108" i="2" l="1"/>
  <c r="F1108" i="2"/>
  <c r="D1108" i="2"/>
  <c r="L1108" i="2"/>
  <c r="E1108" i="2"/>
  <c r="B1108" i="2"/>
  <c r="H1108" i="2"/>
  <c r="G1108" i="2" l="1"/>
  <c r="C1109" i="2"/>
  <c r="K1109" i="2" s="1"/>
  <c r="J1108" i="2"/>
  <c r="I1109" i="2" l="1"/>
  <c r="E1109" i="2"/>
  <c r="B1109" i="2"/>
  <c r="D1109" i="2"/>
  <c r="L1109" i="2"/>
  <c r="H1109" i="2"/>
  <c r="F1109" i="2"/>
  <c r="G1109" i="2" l="1"/>
  <c r="J1109" i="2"/>
  <c r="C1110" i="2"/>
  <c r="K1110" i="2" s="1"/>
  <c r="I1110" i="2" l="1"/>
  <c r="H1110" i="2"/>
  <c r="F1110" i="2"/>
  <c r="D1110" i="2"/>
  <c r="L1110" i="2"/>
  <c r="E1110" i="2"/>
  <c r="B1110" i="2"/>
  <c r="C1111" i="2" l="1"/>
  <c r="K1111" i="2" s="1"/>
  <c r="J1110" i="2"/>
  <c r="G1110" i="2"/>
  <c r="I1111" i="2" l="1"/>
  <c r="F1111" i="2"/>
  <c r="E1111" i="2"/>
  <c r="L1111" i="2"/>
  <c r="D1111" i="2"/>
  <c r="B1111" i="2"/>
  <c r="H1111" i="2"/>
  <c r="J1111" i="2" l="1"/>
  <c r="G1111" i="2"/>
  <c r="C1112" i="2"/>
  <c r="K1112" i="2" s="1"/>
  <c r="I1112" i="2" l="1"/>
  <c r="L1112" i="2"/>
  <c r="F1112" i="2"/>
  <c r="D1112" i="2"/>
  <c r="E1112" i="2"/>
  <c r="B1112" i="2"/>
  <c r="H1112" i="2"/>
  <c r="C1113" i="2" l="1"/>
  <c r="K1113" i="2" s="1"/>
  <c r="J1112" i="2"/>
  <c r="G1112" i="2"/>
  <c r="I1113" i="2" l="1"/>
  <c r="D1113" i="2"/>
  <c r="B1113" i="2"/>
  <c r="H1113" i="2"/>
  <c r="F1113" i="2"/>
  <c r="E1113" i="2"/>
  <c r="L1113" i="2"/>
  <c r="J1113" i="2" l="1"/>
  <c r="G1113" i="2"/>
  <c r="C1114" i="2"/>
  <c r="K1114" i="2" s="1"/>
  <c r="I1114" i="2" l="1"/>
  <c r="L1114" i="2"/>
  <c r="F1114" i="2"/>
  <c r="D1114" i="2"/>
  <c r="E1114" i="2"/>
  <c r="B1114" i="2"/>
  <c r="H1114" i="2"/>
  <c r="C1115" i="2" l="1"/>
  <c r="K1115" i="2" s="1"/>
  <c r="G1114" i="2"/>
  <c r="J1114" i="2"/>
  <c r="I1115" i="2" l="1"/>
  <c r="F1115" i="2"/>
  <c r="L1115" i="2"/>
  <c r="D1115" i="2"/>
  <c r="B1115" i="2"/>
  <c r="H1115" i="2"/>
  <c r="E1115" i="2"/>
  <c r="J1115" i="2" l="1"/>
  <c r="G1115" i="2"/>
  <c r="C1116" i="2"/>
  <c r="K1116" i="2" s="1"/>
  <c r="I1116" i="2" l="1"/>
  <c r="H1116" i="2"/>
  <c r="F1116" i="2"/>
  <c r="D1116" i="2"/>
  <c r="B1116" i="2"/>
  <c r="E1116" i="2"/>
  <c r="L1116" i="2"/>
  <c r="C1117" i="2" l="1"/>
  <c r="K1117" i="2" s="1"/>
  <c r="J1116" i="2"/>
  <c r="G1116" i="2"/>
  <c r="I1117" i="2" l="1"/>
  <c r="F1117" i="2"/>
  <c r="E1117" i="2"/>
  <c r="L1117" i="2"/>
  <c r="D1117" i="2"/>
  <c r="B1117" i="2"/>
  <c r="H1117" i="2"/>
  <c r="J1117" i="2" l="1"/>
  <c r="G1117" i="2"/>
  <c r="C1118" i="2"/>
  <c r="K1118" i="2" s="1"/>
  <c r="I1118" i="2" l="1"/>
  <c r="B1118" i="2"/>
  <c r="F1118" i="2"/>
  <c r="D1118" i="2"/>
  <c r="E1118" i="2"/>
  <c r="L1118" i="2"/>
  <c r="H1118" i="2"/>
  <c r="G1118" i="2" l="1"/>
  <c r="J1118" i="2"/>
  <c r="C1119" i="2"/>
  <c r="K1119" i="2" s="1"/>
  <c r="I1119" i="2" l="1"/>
  <c r="D1119" i="2"/>
  <c r="B1119" i="2"/>
  <c r="H1119" i="2"/>
  <c r="F1119" i="2"/>
  <c r="E1119" i="2"/>
  <c r="L1119" i="2"/>
  <c r="G1119" i="2" l="1"/>
  <c r="C1120" i="2"/>
  <c r="K1120" i="2" s="1"/>
  <c r="J1119" i="2"/>
  <c r="I1120" i="2" l="1"/>
  <c r="L1120" i="2"/>
  <c r="F1120" i="2"/>
  <c r="D1120" i="2"/>
  <c r="E1120" i="2"/>
  <c r="B1120" i="2"/>
  <c r="H1120" i="2"/>
  <c r="C1121" i="2" l="1"/>
  <c r="K1121" i="2" s="1"/>
  <c r="J1120" i="2"/>
  <c r="G1120" i="2"/>
  <c r="I1121" i="2" l="1"/>
  <c r="E1121" i="2"/>
  <c r="D1121" i="2"/>
  <c r="B1121" i="2"/>
  <c r="H1121" i="2"/>
  <c r="F1121" i="2"/>
  <c r="L1121" i="2"/>
  <c r="J1121" i="2" l="1"/>
  <c r="G1121" i="2"/>
  <c r="C1122" i="2"/>
  <c r="K1122" i="2" s="1"/>
  <c r="I1122" i="2" l="1"/>
  <c r="B1122" i="2"/>
  <c r="F1122" i="2"/>
  <c r="D1122" i="2"/>
  <c r="E1122" i="2"/>
  <c r="H1122" i="2"/>
  <c r="L1122" i="2"/>
  <c r="G1122" i="2" l="1"/>
  <c r="C1123" i="2"/>
  <c r="K1123" i="2" s="1"/>
  <c r="J1122" i="2"/>
  <c r="I1123" i="2" l="1"/>
  <c r="E1123" i="2"/>
  <c r="D1123" i="2"/>
  <c r="B1123" i="2"/>
  <c r="H1123" i="2"/>
  <c r="F1123" i="2"/>
  <c r="L1123" i="2"/>
  <c r="G1123" i="2" l="1"/>
  <c r="C1124" i="2"/>
  <c r="K1124" i="2" s="1"/>
  <c r="J1123" i="2"/>
  <c r="I1124" i="2" l="1"/>
  <c r="F1124" i="2"/>
  <c r="D1124" i="2"/>
  <c r="L1124" i="2"/>
  <c r="E1124" i="2"/>
  <c r="B1124" i="2"/>
  <c r="H1124" i="2"/>
  <c r="C1125" i="2" l="1"/>
  <c r="K1125" i="2" s="1"/>
  <c r="J1124" i="2"/>
  <c r="G1124" i="2"/>
  <c r="I1125" i="2" l="1"/>
  <c r="F1125" i="2"/>
  <c r="E1125" i="2"/>
  <c r="L1125" i="2"/>
  <c r="D1125" i="2"/>
  <c r="B1125" i="2"/>
  <c r="H1125" i="2"/>
  <c r="G1125" i="2" l="1"/>
  <c r="C1126" i="2"/>
  <c r="K1126" i="2" s="1"/>
  <c r="J1125" i="2"/>
  <c r="I1126" i="2" l="1"/>
  <c r="F1126" i="2"/>
  <c r="D1126" i="2"/>
  <c r="L1126" i="2"/>
  <c r="E1126" i="2"/>
  <c r="B1126" i="2"/>
  <c r="H1126" i="2"/>
  <c r="G1126" i="2" l="1"/>
  <c r="C1127" i="2"/>
  <c r="K1127" i="2" s="1"/>
  <c r="J1126" i="2"/>
  <c r="I1127" i="2" l="1"/>
  <c r="F1127" i="2"/>
  <c r="E1127" i="2"/>
  <c r="L1127" i="2"/>
  <c r="D1127" i="2"/>
  <c r="B1127" i="2"/>
  <c r="H1127" i="2"/>
  <c r="J1127" i="2" l="1"/>
  <c r="G1127" i="2"/>
  <c r="C1128" i="2"/>
  <c r="K1128" i="2" s="1"/>
  <c r="I1128" i="2" l="1"/>
  <c r="F1128" i="2"/>
  <c r="L1128" i="2"/>
  <c r="E1128" i="2"/>
  <c r="B1128" i="2"/>
  <c r="H1128" i="2"/>
  <c r="D1128" i="2"/>
  <c r="C1129" i="2" l="1"/>
  <c r="K1129" i="2" s="1"/>
  <c r="J1128" i="2"/>
  <c r="G1128" i="2"/>
  <c r="I1129" i="2" l="1"/>
  <c r="F1129" i="2"/>
  <c r="E1129" i="2"/>
  <c r="L1129" i="2"/>
  <c r="B1129" i="2"/>
  <c r="H1129" i="2"/>
  <c r="D1129" i="2"/>
  <c r="J1129" i="2" l="1"/>
  <c r="G1129" i="2"/>
  <c r="C1130" i="2"/>
  <c r="K1130" i="2" s="1"/>
  <c r="I1130" i="2" l="1"/>
  <c r="H1130" i="2"/>
  <c r="F1130" i="2"/>
  <c r="D1130" i="2"/>
  <c r="B1130" i="2"/>
  <c r="E1130" i="2"/>
  <c r="L1130" i="2"/>
  <c r="C1131" i="2" l="1"/>
  <c r="K1131" i="2" s="1"/>
  <c r="G1130" i="2"/>
  <c r="J1130" i="2"/>
  <c r="I1131" i="2" l="1"/>
  <c r="D1131" i="2"/>
  <c r="B1131" i="2"/>
  <c r="H1131" i="2"/>
  <c r="F1131" i="2"/>
  <c r="E1131" i="2"/>
  <c r="L1131" i="2"/>
  <c r="J1131" i="2" l="1"/>
  <c r="G1131" i="2"/>
  <c r="C1132" i="2"/>
  <c r="K1132" i="2" s="1"/>
  <c r="I1132" i="2" l="1"/>
  <c r="H1132" i="2"/>
  <c r="F1132" i="2"/>
  <c r="D1132" i="2"/>
  <c r="L1132" i="2"/>
  <c r="E1132" i="2"/>
  <c r="B1132" i="2"/>
  <c r="C1133" i="2" l="1"/>
  <c r="K1133" i="2" s="1"/>
  <c r="J1132" i="2"/>
  <c r="G1132" i="2"/>
  <c r="I1133" i="2" l="1"/>
  <c r="F1133" i="2"/>
  <c r="E1133" i="2"/>
  <c r="L1133" i="2"/>
  <c r="D1133" i="2"/>
  <c r="B1133" i="2"/>
  <c r="H1133" i="2"/>
  <c r="G1133" i="2" l="1"/>
  <c r="C1134" i="2"/>
  <c r="K1134" i="2" s="1"/>
  <c r="J1133" i="2"/>
  <c r="I1134" i="2" l="1"/>
  <c r="E1134" i="2"/>
  <c r="B1134" i="2"/>
  <c r="H1134" i="2"/>
  <c r="F1134" i="2"/>
  <c r="D1134" i="2"/>
  <c r="L1134" i="2"/>
  <c r="G1134" i="2" l="1"/>
  <c r="C1135" i="2"/>
  <c r="K1135" i="2" s="1"/>
  <c r="J1134" i="2"/>
  <c r="I1135" i="2" l="1"/>
  <c r="D1135" i="2"/>
  <c r="B1135" i="2"/>
  <c r="H1135" i="2"/>
  <c r="F1135" i="2"/>
  <c r="E1135" i="2"/>
  <c r="L1135" i="2"/>
  <c r="G1135" i="2" l="1"/>
  <c r="C1136" i="2"/>
  <c r="K1136" i="2" s="1"/>
  <c r="J1135" i="2"/>
  <c r="I1136" i="2" l="1"/>
  <c r="F1136" i="2"/>
  <c r="E1136" i="2"/>
  <c r="B1136" i="2"/>
  <c r="H1136" i="2"/>
  <c r="D1136" i="2"/>
  <c r="L1136" i="2"/>
  <c r="G1136" i="2" l="1"/>
  <c r="J1136" i="2"/>
  <c r="C1137" i="2"/>
  <c r="K1137" i="2" s="1"/>
  <c r="I1137" i="2" l="1"/>
  <c r="D1137" i="2"/>
  <c r="B1137" i="2"/>
  <c r="H1137" i="2"/>
  <c r="F1137" i="2"/>
  <c r="E1137" i="2"/>
  <c r="L1137" i="2"/>
  <c r="G1137" i="2" l="1"/>
  <c r="C1138" i="2"/>
  <c r="K1138" i="2" s="1"/>
  <c r="J1137" i="2"/>
  <c r="I1138" i="2" l="1"/>
  <c r="L1138" i="2"/>
  <c r="F1138" i="2"/>
  <c r="D1138" i="2"/>
  <c r="E1138" i="2"/>
  <c r="B1138" i="2"/>
  <c r="H1138" i="2"/>
  <c r="C1139" i="2" l="1"/>
  <c r="K1139" i="2" s="1"/>
  <c r="G1138" i="2"/>
  <c r="J1138" i="2"/>
  <c r="I1139" i="2" l="1"/>
  <c r="E1139" i="2"/>
  <c r="L1139" i="2"/>
  <c r="D1139" i="2"/>
  <c r="B1139" i="2"/>
  <c r="F1139" i="2"/>
  <c r="H1139" i="2"/>
  <c r="J1139" i="2" l="1"/>
  <c r="G1139" i="2"/>
  <c r="C1140" i="2"/>
  <c r="K1140" i="2" s="1"/>
  <c r="I1140" i="2" l="1"/>
  <c r="E1140" i="2"/>
  <c r="B1140" i="2"/>
  <c r="H1140" i="2"/>
  <c r="L1140" i="2"/>
  <c r="F1140" i="2"/>
  <c r="D1140" i="2"/>
  <c r="C1141" i="2" l="1"/>
  <c r="K1141" i="2" s="1"/>
  <c r="J1140" i="2"/>
  <c r="G1140" i="2"/>
  <c r="I1141" i="2" l="1"/>
  <c r="D1141" i="2"/>
  <c r="B1141" i="2"/>
  <c r="H1141" i="2"/>
  <c r="F1141" i="2"/>
  <c r="E1141" i="2"/>
  <c r="L1141" i="2"/>
  <c r="J1141" i="2" l="1"/>
  <c r="G1141" i="2"/>
  <c r="C1142" i="2"/>
  <c r="K1142" i="2" s="1"/>
  <c r="I1142" i="2" l="1"/>
  <c r="H1142" i="2"/>
  <c r="F1142" i="2"/>
  <c r="D1142" i="2"/>
  <c r="L1142" i="2"/>
  <c r="E1142" i="2"/>
  <c r="B1142" i="2"/>
  <c r="G1142" i="2" l="1"/>
  <c r="C1143" i="2"/>
  <c r="K1143" i="2" s="1"/>
  <c r="J1142" i="2"/>
  <c r="I1143" i="2" l="1"/>
  <c r="D1143" i="2"/>
  <c r="B1143" i="2"/>
  <c r="H1143" i="2"/>
  <c r="F1143" i="2"/>
  <c r="E1143" i="2"/>
  <c r="L1143" i="2"/>
  <c r="G1143" i="2" l="1"/>
  <c r="C1144" i="2"/>
  <c r="K1144" i="2" s="1"/>
  <c r="J1143" i="2"/>
  <c r="I1144" i="2" l="1"/>
  <c r="E1144" i="2"/>
  <c r="H1144" i="2"/>
  <c r="L1144" i="2"/>
  <c r="F1144" i="2"/>
  <c r="D1144" i="2"/>
  <c r="B1144" i="2"/>
  <c r="C1145" i="2" l="1"/>
  <c r="K1145" i="2" s="1"/>
  <c r="J1144" i="2"/>
  <c r="G1144" i="2"/>
  <c r="I1145" i="2" l="1"/>
  <c r="E1145" i="2"/>
  <c r="L1145" i="2"/>
  <c r="D1145" i="2"/>
  <c r="B1145" i="2"/>
  <c r="H1145" i="2"/>
  <c r="F1145" i="2"/>
  <c r="J1145" i="2" l="1"/>
  <c r="G1145" i="2"/>
  <c r="C1146" i="2"/>
  <c r="K1146" i="2" s="1"/>
  <c r="I1146" i="2" l="1"/>
  <c r="F1146" i="2"/>
  <c r="D1146" i="2"/>
  <c r="L1146" i="2"/>
  <c r="E1146" i="2"/>
  <c r="B1146" i="2"/>
  <c r="H1146" i="2"/>
  <c r="G1146" i="2" l="1"/>
  <c r="C1147" i="2"/>
  <c r="K1147" i="2" s="1"/>
  <c r="J1146" i="2"/>
  <c r="I1147" i="2" l="1"/>
  <c r="F1147" i="2"/>
  <c r="E1147" i="2"/>
  <c r="L1147" i="2"/>
  <c r="D1147" i="2"/>
  <c r="B1147" i="2"/>
  <c r="H1147" i="2"/>
  <c r="G1147" i="2" l="1"/>
  <c r="C1148" i="2"/>
  <c r="K1148" i="2" s="1"/>
  <c r="J1147" i="2"/>
  <c r="I1148" i="2" l="1"/>
  <c r="E1148" i="2"/>
  <c r="L1148" i="2"/>
  <c r="H1148" i="2"/>
  <c r="B1148" i="2"/>
  <c r="F1148" i="2"/>
  <c r="D1148" i="2"/>
  <c r="C1149" i="2" l="1"/>
  <c r="K1149" i="2" s="1"/>
  <c r="G1148" i="2"/>
  <c r="J1148" i="2"/>
  <c r="I1149" i="2" l="1"/>
  <c r="E1149" i="2"/>
  <c r="L1149" i="2"/>
  <c r="D1149" i="2"/>
  <c r="B1149" i="2"/>
  <c r="H1149" i="2"/>
  <c r="F1149" i="2"/>
  <c r="G1149" i="2" l="1"/>
  <c r="C1150" i="2"/>
  <c r="K1150" i="2" s="1"/>
  <c r="J1149" i="2"/>
  <c r="I1150" i="2" l="1"/>
  <c r="D1150" i="2"/>
  <c r="L1150" i="2"/>
  <c r="H1150" i="2"/>
  <c r="F1150" i="2"/>
  <c r="B1150" i="2"/>
  <c r="E1150" i="2"/>
  <c r="C1151" i="2" l="1"/>
  <c r="K1151" i="2" s="1"/>
  <c r="J1150" i="2"/>
  <c r="G1150" i="2"/>
  <c r="I1151" i="2" l="1"/>
  <c r="D1151" i="2"/>
  <c r="B1151" i="2"/>
  <c r="H1151" i="2"/>
  <c r="F1151" i="2"/>
  <c r="E1151" i="2"/>
  <c r="L1151" i="2"/>
  <c r="J1151" i="2" l="1"/>
  <c r="G1151" i="2"/>
  <c r="C1152" i="2"/>
  <c r="K1152" i="2" s="1"/>
  <c r="I1152" i="2" l="1"/>
  <c r="E1152" i="2"/>
  <c r="B1152" i="2"/>
  <c r="H1152" i="2"/>
  <c r="F1152" i="2"/>
  <c r="D1152" i="2"/>
  <c r="L1152" i="2"/>
  <c r="C1153" i="2" l="1"/>
  <c r="K1153" i="2" s="1"/>
  <c r="J1152" i="2"/>
  <c r="G1152" i="2"/>
  <c r="I1153" i="2" l="1"/>
  <c r="F1153" i="2"/>
  <c r="E1153" i="2"/>
  <c r="L1153" i="2"/>
  <c r="D1153" i="2"/>
  <c r="B1153" i="2"/>
  <c r="H1153" i="2"/>
  <c r="G1153" i="2" l="1"/>
  <c r="C1154" i="2"/>
  <c r="K1154" i="2" s="1"/>
  <c r="J1153" i="2"/>
  <c r="I1154" i="2" l="1"/>
  <c r="B1154" i="2"/>
  <c r="F1154" i="2"/>
  <c r="D1154" i="2"/>
  <c r="L1154" i="2"/>
  <c r="E1154" i="2"/>
  <c r="H1154" i="2"/>
  <c r="G1154" i="2" l="1"/>
  <c r="C1155" i="2"/>
  <c r="K1155" i="2" s="1"/>
  <c r="J1154" i="2"/>
  <c r="I1155" i="2" l="1"/>
  <c r="E1155" i="2"/>
  <c r="L1155" i="2"/>
  <c r="F1155" i="2"/>
  <c r="D1155" i="2"/>
  <c r="B1155" i="2"/>
  <c r="H1155" i="2"/>
  <c r="J1155" i="2" l="1"/>
  <c r="G1155" i="2"/>
  <c r="C1156" i="2"/>
  <c r="K1156" i="2" s="1"/>
  <c r="I1156" i="2" l="1"/>
  <c r="L1156" i="2"/>
  <c r="F1156" i="2"/>
  <c r="D1156" i="2"/>
  <c r="B1156" i="2"/>
  <c r="E1156" i="2"/>
  <c r="H1156" i="2"/>
  <c r="G1156" i="2" l="1"/>
  <c r="C1157" i="2"/>
  <c r="K1157" i="2" s="1"/>
  <c r="J1156" i="2"/>
  <c r="I1157" i="2" l="1"/>
  <c r="D1157" i="2"/>
  <c r="B1157" i="2"/>
  <c r="H1157" i="2"/>
  <c r="F1157" i="2"/>
  <c r="E1157" i="2"/>
  <c r="L1157" i="2"/>
  <c r="J1157" i="2" l="1"/>
  <c r="G1157" i="2"/>
  <c r="C1158" i="2"/>
  <c r="K1158" i="2" s="1"/>
  <c r="I1158" i="2" l="1"/>
  <c r="L1158" i="2"/>
  <c r="D1158" i="2"/>
  <c r="E1158" i="2"/>
  <c r="B1158" i="2"/>
  <c r="H1158" i="2"/>
  <c r="F1158" i="2"/>
  <c r="C1159" i="2" l="1"/>
  <c r="K1159" i="2" s="1"/>
  <c r="J1158" i="2"/>
  <c r="G1158" i="2"/>
  <c r="I1159" i="2" l="1"/>
  <c r="F1159" i="2"/>
  <c r="E1159" i="2"/>
  <c r="L1159" i="2"/>
  <c r="H1159" i="2"/>
  <c r="D1159" i="2"/>
  <c r="B1159" i="2"/>
  <c r="J1159" i="2" l="1"/>
  <c r="G1159" i="2"/>
  <c r="C1160" i="2"/>
  <c r="K1160" i="2" s="1"/>
  <c r="I1160" i="2" l="1"/>
  <c r="D1160" i="2"/>
  <c r="E1160" i="2"/>
  <c r="L1160" i="2"/>
  <c r="H1160" i="2"/>
  <c r="B1160" i="2"/>
  <c r="F1160" i="2"/>
  <c r="G1160" i="2" l="1"/>
  <c r="C1161" i="2"/>
  <c r="K1161" i="2" s="1"/>
  <c r="J1160" i="2"/>
  <c r="I1161" i="2" l="1"/>
  <c r="F1161" i="2"/>
  <c r="E1161" i="2"/>
  <c r="L1161" i="2"/>
  <c r="D1161" i="2"/>
  <c r="B1161" i="2"/>
  <c r="H1161" i="2"/>
  <c r="J1161" i="2" l="1"/>
  <c r="G1161" i="2"/>
  <c r="C1162" i="2"/>
  <c r="K1162" i="2" s="1"/>
  <c r="I1162" i="2" l="1"/>
  <c r="L1162" i="2"/>
  <c r="F1162" i="2"/>
  <c r="D1162" i="2"/>
  <c r="E1162" i="2"/>
  <c r="B1162" i="2"/>
  <c r="H1162" i="2"/>
  <c r="C1163" i="2" l="1"/>
  <c r="K1163" i="2" s="1"/>
  <c r="J1162" i="2"/>
  <c r="G1162" i="2"/>
  <c r="I1163" i="2" l="1"/>
  <c r="F1163" i="2"/>
  <c r="E1163" i="2"/>
  <c r="L1163" i="2"/>
  <c r="D1163" i="2"/>
  <c r="B1163" i="2"/>
  <c r="H1163" i="2"/>
  <c r="J1163" i="2" l="1"/>
  <c r="G1163" i="2"/>
  <c r="C1164" i="2"/>
  <c r="K1164" i="2" s="1"/>
  <c r="I1164" i="2" l="1"/>
  <c r="H1164" i="2"/>
  <c r="F1164" i="2"/>
  <c r="D1164" i="2"/>
  <c r="L1164" i="2"/>
  <c r="E1164" i="2"/>
  <c r="B1164" i="2"/>
  <c r="G1164" i="2" l="1"/>
  <c r="C1165" i="2"/>
  <c r="K1165" i="2" s="1"/>
  <c r="J1164" i="2"/>
  <c r="I1165" i="2" l="1"/>
  <c r="L1165" i="2"/>
  <c r="D1165" i="2"/>
  <c r="B1165" i="2"/>
  <c r="H1165" i="2"/>
  <c r="F1165" i="2"/>
  <c r="E1165" i="2"/>
  <c r="J1165" i="2" l="1"/>
  <c r="G1165" i="2"/>
  <c r="C1166" i="2"/>
  <c r="K1166" i="2" s="1"/>
  <c r="I1166" i="2" l="1"/>
  <c r="E1166" i="2"/>
  <c r="L1166" i="2"/>
  <c r="F1166" i="2"/>
  <c r="D1166" i="2"/>
  <c r="B1166" i="2"/>
  <c r="H1166" i="2"/>
  <c r="J1166" i="2" l="1"/>
  <c r="G1166" i="2"/>
  <c r="C1167" i="2"/>
  <c r="K1167" i="2" s="1"/>
  <c r="I1167" i="2" l="1"/>
  <c r="B1167" i="2"/>
  <c r="H1167" i="2"/>
  <c r="F1167" i="2"/>
  <c r="D1167" i="2"/>
  <c r="L1167" i="2"/>
  <c r="E1167" i="2"/>
  <c r="J1167" i="2" l="1"/>
  <c r="G1167" i="2"/>
  <c r="C1168" i="2"/>
  <c r="K1168" i="2" s="1"/>
  <c r="I1168" i="2" l="1"/>
  <c r="E1168" i="2"/>
  <c r="B1168" i="2"/>
  <c r="H1168" i="2"/>
  <c r="D1168" i="2"/>
  <c r="L1168" i="2"/>
  <c r="F1168" i="2"/>
  <c r="C1169" i="2" l="1"/>
  <c r="K1169" i="2" s="1"/>
  <c r="J1168" i="2"/>
  <c r="G1168" i="2"/>
  <c r="I1169" i="2" l="1"/>
  <c r="E1169" i="2"/>
  <c r="L1169" i="2"/>
  <c r="F1169" i="2"/>
  <c r="D1169" i="2"/>
  <c r="B1169" i="2"/>
  <c r="H1169" i="2"/>
  <c r="C1170" i="2" l="1"/>
  <c r="K1170" i="2" s="1"/>
  <c r="J1169" i="2"/>
  <c r="G1169" i="2"/>
  <c r="I1170" i="2" l="1"/>
  <c r="F1170" i="2"/>
  <c r="E1170" i="2"/>
  <c r="B1170" i="2"/>
  <c r="H1170" i="2"/>
  <c r="D1170" i="2"/>
  <c r="L1170" i="2"/>
  <c r="C1171" i="2" l="1"/>
  <c r="K1171" i="2" s="1"/>
  <c r="G1170" i="2"/>
  <c r="J1170" i="2"/>
  <c r="I1171" i="2" l="1"/>
  <c r="F1171" i="2"/>
  <c r="E1171" i="2"/>
  <c r="L1171" i="2"/>
  <c r="D1171" i="2"/>
  <c r="B1171" i="2"/>
  <c r="H1171" i="2"/>
  <c r="G1171" i="2" l="1"/>
  <c r="C1172" i="2"/>
  <c r="K1172" i="2" s="1"/>
  <c r="J1171" i="2"/>
  <c r="I1172" i="2" l="1"/>
  <c r="B1172" i="2"/>
  <c r="E1172" i="2"/>
  <c r="L1172" i="2"/>
  <c r="F1172" i="2"/>
  <c r="D1172" i="2"/>
  <c r="H1172" i="2"/>
  <c r="G1172" i="2" l="1"/>
  <c r="C1173" i="2"/>
  <c r="K1173" i="2" s="1"/>
  <c r="J1172" i="2"/>
  <c r="I1173" i="2" l="1"/>
  <c r="E1173" i="2"/>
  <c r="L1173" i="2"/>
  <c r="D1173" i="2"/>
  <c r="B1173" i="2"/>
  <c r="H1173" i="2"/>
  <c r="F1173" i="2"/>
  <c r="J1173" i="2" l="1"/>
  <c r="G1173" i="2"/>
  <c r="C1174" i="2"/>
  <c r="K1174" i="2" s="1"/>
  <c r="I1174" i="2" l="1"/>
  <c r="F1174" i="2"/>
  <c r="D1174" i="2"/>
  <c r="L1174" i="2"/>
  <c r="E1174" i="2"/>
  <c r="B1174" i="2"/>
  <c r="H1174" i="2"/>
  <c r="G1174" i="2" l="1"/>
  <c r="C1175" i="2"/>
  <c r="K1175" i="2" s="1"/>
  <c r="J1174" i="2"/>
  <c r="I1175" i="2" l="1"/>
  <c r="D1175" i="2"/>
  <c r="B1175" i="2"/>
  <c r="H1175" i="2"/>
  <c r="F1175" i="2"/>
  <c r="E1175" i="2"/>
  <c r="L1175" i="2"/>
  <c r="C1176" i="2" l="1"/>
  <c r="K1176" i="2" s="1"/>
  <c r="J1175" i="2"/>
  <c r="G1175" i="2"/>
  <c r="I1176" i="2" l="1"/>
  <c r="H1176" i="2"/>
  <c r="D1176" i="2"/>
  <c r="F1176" i="2"/>
  <c r="B1176" i="2"/>
  <c r="E1176" i="2"/>
  <c r="L1176" i="2"/>
  <c r="G1176" i="2" l="1"/>
  <c r="C1177" i="2"/>
  <c r="K1177" i="2" s="1"/>
  <c r="J1176" i="2"/>
  <c r="I1177" i="2" l="1"/>
  <c r="D1177" i="2"/>
  <c r="E1177" i="2"/>
  <c r="F1177" i="2"/>
  <c r="B1177" i="2"/>
  <c r="H1177" i="2"/>
  <c r="L1177" i="2"/>
  <c r="J1177" i="2" l="1"/>
  <c r="G1177" i="2"/>
  <c r="C1178" i="2"/>
  <c r="K1178" i="2" s="1"/>
  <c r="I1178" i="2" l="1"/>
  <c r="E1178" i="2"/>
  <c r="H1178" i="2"/>
  <c r="F1178" i="2"/>
  <c r="D1178" i="2"/>
  <c r="L1178" i="2"/>
  <c r="B1178" i="2"/>
  <c r="G1178" i="2" l="1"/>
  <c r="C1179" i="2"/>
  <c r="K1179" i="2" s="1"/>
  <c r="J1178" i="2"/>
  <c r="I1179" i="2" l="1"/>
  <c r="F1179" i="2"/>
  <c r="E1179" i="2"/>
  <c r="L1179" i="2"/>
  <c r="D1179" i="2"/>
  <c r="B1179" i="2"/>
  <c r="H1179" i="2"/>
  <c r="C1180" i="2" l="1"/>
  <c r="K1180" i="2" s="1"/>
  <c r="J1179" i="2"/>
  <c r="G1179" i="2"/>
  <c r="I1180" i="2" l="1"/>
  <c r="E1180" i="2"/>
  <c r="H1180" i="2"/>
  <c r="F1180" i="2"/>
  <c r="D1180" i="2"/>
  <c r="B1180" i="2"/>
  <c r="L1180" i="2"/>
  <c r="G1180" i="2" l="1"/>
  <c r="C1181" i="2"/>
  <c r="K1181" i="2" s="1"/>
  <c r="J1180" i="2"/>
  <c r="I1181" i="2" l="1"/>
  <c r="D1181" i="2"/>
  <c r="B1181" i="2"/>
  <c r="H1181" i="2"/>
  <c r="F1181" i="2"/>
  <c r="E1181" i="2"/>
  <c r="L1181" i="2"/>
  <c r="G1181" i="2" l="1"/>
  <c r="C1182" i="2"/>
  <c r="K1182" i="2" s="1"/>
  <c r="J1181" i="2"/>
  <c r="I1182" i="2" l="1"/>
  <c r="F1182" i="2"/>
  <c r="L1182" i="2"/>
  <c r="E1182" i="2"/>
  <c r="B1182" i="2"/>
  <c r="H1182" i="2"/>
  <c r="D1182" i="2"/>
  <c r="C1183" i="2" l="1"/>
  <c r="K1183" i="2" s="1"/>
  <c r="J1182" i="2"/>
  <c r="G1182" i="2"/>
  <c r="I1183" i="2" l="1"/>
  <c r="E1183" i="2"/>
  <c r="D1183" i="2"/>
  <c r="B1183" i="2"/>
  <c r="H1183" i="2"/>
  <c r="F1183" i="2"/>
  <c r="L1183" i="2"/>
  <c r="G1183" i="2" l="1"/>
  <c r="J1183" i="2"/>
  <c r="C1184" i="2"/>
  <c r="K1184" i="2" s="1"/>
  <c r="I1184" i="2" l="1"/>
  <c r="L1184" i="2"/>
  <c r="F1184" i="2"/>
  <c r="D1184" i="2"/>
  <c r="E1184" i="2"/>
  <c r="B1184" i="2"/>
  <c r="H1184" i="2"/>
  <c r="G1184" i="2" l="1"/>
  <c r="J1184" i="2"/>
  <c r="C1185" i="2"/>
  <c r="K1185" i="2" s="1"/>
  <c r="I1185" i="2" l="1"/>
  <c r="E1185" i="2"/>
  <c r="L1185" i="2"/>
  <c r="F1185" i="2"/>
  <c r="D1185" i="2"/>
  <c r="B1185" i="2"/>
  <c r="H1185" i="2"/>
  <c r="G1185" i="2" l="1"/>
  <c r="C1186" i="2"/>
  <c r="K1186" i="2" s="1"/>
  <c r="J1185" i="2"/>
  <c r="I1186" i="2" l="1"/>
  <c r="E1186" i="2"/>
  <c r="L1186" i="2"/>
  <c r="H1186" i="2"/>
  <c r="B1186" i="2"/>
  <c r="F1186" i="2"/>
  <c r="D1186" i="2"/>
  <c r="J1186" i="2" l="1"/>
  <c r="G1186" i="2"/>
  <c r="C1187" i="2"/>
  <c r="K1187" i="2" s="1"/>
  <c r="I1187" i="2" l="1"/>
  <c r="E1187" i="2"/>
  <c r="L1187" i="2"/>
  <c r="F1187" i="2"/>
  <c r="B1187" i="2"/>
  <c r="H1187" i="2"/>
  <c r="D1187" i="2"/>
  <c r="G1187" i="2" l="1"/>
  <c r="C1188" i="2"/>
  <c r="K1188" i="2" s="1"/>
  <c r="J1187" i="2"/>
  <c r="I1188" i="2" l="1"/>
  <c r="E1188" i="2"/>
  <c r="B1188" i="2"/>
  <c r="H1188" i="2"/>
  <c r="D1188" i="2"/>
  <c r="L1188" i="2"/>
  <c r="F1188" i="2"/>
  <c r="C1189" i="2" l="1"/>
  <c r="K1189" i="2" s="1"/>
  <c r="J1188" i="2"/>
  <c r="G1188" i="2"/>
  <c r="I1189" i="2" l="1"/>
  <c r="D1189" i="2"/>
  <c r="B1189" i="2"/>
  <c r="H1189" i="2"/>
  <c r="F1189" i="2"/>
  <c r="E1189" i="2"/>
  <c r="L1189" i="2"/>
  <c r="C1190" i="2" l="1"/>
  <c r="K1190" i="2" s="1"/>
  <c r="J1189" i="2"/>
  <c r="G1189" i="2"/>
  <c r="I1190" i="2" l="1"/>
  <c r="L1190" i="2"/>
  <c r="F1190" i="2"/>
  <c r="D1190" i="2"/>
  <c r="B1190" i="2"/>
  <c r="E1190" i="2"/>
  <c r="H1190" i="2"/>
  <c r="G1190" i="2" l="1"/>
  <c r="C1191" i="2"/>
  <c r="K1191" i="2" s="1"/>
  <c r="J1190" i="2"/>
  <c r="I1191" i="2" l="1"/>
  <c r="D1191" i="2"/>
  <c r="B1191" i="2"/>
  <c r="H1191" i="2"/>
  <c r="F1191" i="2"/>
  <c r="E1191" i="2"/>
  <c r="L1191" i="2"/>
  <c r="G1191" i="2" l="1"/>
  <c r="C1192" i="2"/>
  <c r="K1192" i="2" s="1"/>
  <c r="J1191" i="2"/>
  <c r="I1192" i="2" l="1"/>
  <c r="E1192" i="2"/>
  <c r="B1192" i="2"/>
  <c r="H1192" i="2"/>
  <c r="L1192" i="2"/>
  <c r="F1192" i="2"/>
  <c r="D1192" i="2"/>
  <c r="C1193" i="2" l="1"/>
  <c r="K1193" i="2" s="1"/>
  <c r="J1192" i="2"/>
  <c r="G1192" i="2"/>
  <c r="I1193" i="2" l="1"/>
  <c r="D1193" i="2"/>
  <c r="B1193" i="2"/>
  <c r="H1193" i="2"/>
  <c r="F1193" i="2"/>
  <c r="E1193" i="2"/>
  <c r="L1193" i="2"/>
  <c r="G1193" i="2" l="1"/>
  <c r="C1194" i="2"/>
  <c r="K1194" i="2" s="1"/>
  <c r="J1193" i="2"/>
  <c r="I1194" i="2" l="1"/>
  <c r="H1194" i="2"/>
  <c r="F1194" i="2"/>
  <c r="D1194" i="2"/>
  <c r="B1194" i="2"/>
  <c r="E1194" i="2"/>
  <c r="L1194" i="2"/>
  <c r="C1195" i="2" l="1"/>
  <c r="K1195" i="2" s="1"/>
  <c r="J1194" i="2"/>
  <c r="G1194" i="2"/>
  <c r="I1195" i="2" l="1"/>
  <c r="F1195" i="2"/>
  <c r="E1195" i="2"/>
  <c r="L1195" i="2"/>
  <c r="D1195" i="2"/>
  <c r="B1195" i="2"/>
  <c r="H1195" i="2"/>
  <c r="G1195" i="2" l="1"/>
  <c r="C1196" i="2"/>
  <c r="K1196" i="2" s="1"/>
  <c r="J1195" i="2"/>
  <c r="I1196" i="2" l="1"/>
  <c r="E1196" i="2"/>
  <c r="B1196" i="2"/>
  <c r="H1196" i="2"/>
  <c r="D1196" i="2"/>
  <c r="L1196" i="2"/>
  <c r="F1196" i="2"/>
  <c r="J1196" i="2" l="1"/>
  <c r="G1196" i="2"/>
  <c r="C1197" i="2"/>
  <c r="K1197" i="2" s="1"/>
  <c r="I1197" i="2" l="1"/>
  <c r="D1197" i="2"/>
  <c r="B1197" i="2"/>
  <c r="H1197" i="2"/>
  <c r="E1197" i="2"/>
  <c r="L1197" i="2"/>
  <c r="F1197" i="2"/>
  <c r="G1197" i="2" l="1"/>
  <c r="C1198" i="2"/>
  <c r="K1198" i="2" s="1"/>
  <c r="J1197" i="2"/>
  <c r="I1198" i="2" l="1"/>
  <c r="L1198" i="2"/>
  <c r="F1198" i="2"/>
  <c r="D1198" i="2"/>
  <c r="E1198" i="2"/>
  <c r="B1198" i="2"/>
  <c r="H1198" i="2"/>
  <c r="G1198" i="2" l="1"/>
  <c r="C1199" i="2"/>
  <c r="K1199" i="2" s="1"/>
  <c r="J1198" i="2"/>
  <c r="I1199" i="2" l="1"/>
  <c r="F1199" i="2"/>
  <c r="E1199" i="2"/>
  <c r="L1199" i="2"/>
  <c r="D1199" i="2"/>
  <c r="B1199" i="2"/>
  <c r="H1199" i="2"/>
  <c r="G1199" i="2" l="1"/>
  <c r="C1200" i="2"/>
  <c r="K1200" i="2" s="1"/>
  <c r="J1199" i="2"/>
  <c r="I1200" i="2" l="1"/>
  <c r="F1200" i="2"/>
  <c r="D1200" i="2"/>
  <c r="L1200" i="2"/>
  <c r="B1200" i="2"/>
  <c r="E1200" i="2"/>
  <c r="H1200" i="2"/>
  <c r="C1201" i="2" l="1"/>
  <c r="K1201" i="2" s="1"/>
  <c r="J1200" i="2"/>
  <c r="G1200" i="2"/>
  <c r="I1201" i="2" l="1"/>
  <c r="L1201" i="2"/>
  <c r="D1201" i="2"/>
  <c r="E1201" i="2"/>
  <c r="H1201" i="2"/>
  <c r="F1201" i="2"/>
  <c r="B1201" i="2"/>
  <c r="C1202" i="2" l="1"/>
  <c r="K1202" i="2" s="1"/>
  <c r="J1201" i="2"/>
  <c r="G1201" i="2"/>
  <c r="I1202" i="2" l="1"/>
  <c r="E1202" i="2"/>
  <c r="L1202" i="2"/>
  <c r="H1202" i="2"/>
  <c r="B1202" i="2"/>
  <c r="F1202" i="2"/>
  <c r="D1202" i="2"/>
  <c r="G1202" i="2" l="1"/>
  <c r="J1202" i="2"/>
  <c r="C1203" i="2"/>
  <c r="K1203" i="2" s="1"/>
  <c r="I1203" i="2" l="1"/>
  <c r="F1203" i="2"/>
  <c r="D1203" i="2"/>
  <c r="B1203" i="2"/>
  <c r="H1203" i="2"/>
  <c r="E1203" i="2"/>
  <c r="L1203" i="2"/>
  <c r="J1203" i="2" l="1"/>
  <c r="G1203" i="2"/>
  <c r="C1204" i="2"/>
  <c r="K1204" i="2" s="1"/>
  <c r="I1204" i="2" l="1"/>
  <c r="F1204" i="2"/>
  <c r="D1204" i="2"/>
  <c r="L1204" i="2"/>
  <c r="H1204" i="2"/>
  <c r="E1204" i="2"/>
  <c r="B1204" i="2"/>
  <c r="G1204" i="2" l="1"/>
  <c r="C1205" i="2"/>
  <c r="K1205" i="2" s="1"/>
  <c r="J1204" i="2"/>
  <c r="I1205" i="2" l="1"/>
  <c r="D1205" i="2"/>
  <c r="B1205" i="2"/>
  <c r="H1205" i="2"/>
  <c r="F1205" i="2"/>
  <c r="E1205" i="2"/>
  <c r="L1205" i="2"/>
  <c r="G1205" i="2" l="1"/>
  <c r="C1206" i="2"/>
  <c r="K1206" i="2" s="1"/>
  <c r="J1205" i="2"/>
  <c r="I1206" i="2" l="1"/>
  <c r="L1206" i="2"/>
  <c r="D1206" i="2"/>
  <c r="E1206" i="2"/>
  <c r="B1206" i="2"/>
  <c r="H1206" i="2"/>
  <c r="F1206" i="2"/>
  <c r="G1206" i="2" l="1"/>
  <c r="C1207" i="2"/>
  <c r="K1207" i="2" s="1"/>
  <c r="J1206" i="2"/>
  <c r="I1207" i="2" l="1"/>
  <c r="D1207" i="2"/>
  <c r="B1207" i="2"/>
  <c r="H1207" i="2"/>
  <c r="F1207" i="2"/>
  <c r="E1207" i="2"/>
  <c r="L1207" i="2"/>
  <c r="J1207" i="2" l="1"/>
  <c r="G1207" i="2"/>
  <c r="C1208" i="2"/>
  <c r="K1208" i="2" s="1"/>
  <c r="I1208" i="2" l="1"/>
  <c r="L1208" i="2"/>
  <c r="F1208" i="2"/>
  <c r="D1208" i="2"/>
  <c r="E1208" i="2"/>
  <c r="B1208" i="2"/>
  <c r="H1208" i="2"/>
  <c r="G1208" i="2" l="1"/>
  <c r="J1208" i="2"/>
  <c r="C1209" i="2"/>
  <c r="K1209" i="2" s="1"/>
  <c r="I1209" i="2" l="1"/>
  <c r="D1209" i="2"/>
  <c r="B1209" i="2"/>
  <c r="H1209" i="2"/>
  <c r="F1209" i="2"/>
  <c r="E1209" i="2"/>
  <c r="L1209" i="2"/>
  <c r="G1209" i="2" l="1"/>
  <c r="C1210" i="2"/>
  <c r="K1210" i="2" s="1"/>
  <c r="J1209" i="2"/>
  <c r="I1210" i="2" l="1"/>
  <c r="E1210" i="2"/>
  <c r="L1210" i="2"/>
  <c r="H1210" i="2"/>
  <c r="B1210" i="2"/>
  <c r="F1210" i="2"/>
  <c r="D1210" i="2"/>
  <c r="G1210" i="2" l="1"/>
  <c r="C1211" i="2"/>
  <c r="K1211" i="2" s="1"/>
  <c r="J1210" i="2"/>
  <c r="I1211" i="2" l="1"/>
  <c r="F1211" i="2"/>
  <c r="E1211" i="2"/>
  <c r="L1211" i="2"/>
  <c r="B1211" i="2"/>
  <c r="H1211" i="2"/>
  <c r="D1211" i="2"/>
  <c r="J1211" i="2" l="1"/>
  <c r="G1211" i="2"/>
  <c r="C1212" i="2"/>
  <c r="K1212" i="2" s="1"/>
  <c r="I1212" i="2" l="1"/>
  <c r="E1212" i="2"/>
  <c r="B1212" i="2"/>
  <c r="H1212" i="2"/>
  <c r="L1212" i="2"/>
  <c r="F1212" i="2"/>
  <c r="D1212" i="2"/>
  <c r="G1212" i="2" l="1"/>
  <c r="C1213" i="2"/>
  <c r="K1213" i="2" s="1"/>
  <c r="J1212" i="2"/>
  <c r="I1213" i="2" l="1"/>
  <c r="D1213" i="2"/>
  <c r="B1213" i="2"/>
  <c r="H1213" i="2"/>
  <c r="F1213" i="2"/>
  <c r="E1213" i="2"/>
  <c r="L1213" i="2"/>
  <c r="G1213" i="2" l="1"/>
  <c r="C1214" i="2"/>
  <c r="K1214" i="2" s="1"/>
  <c r="J1213" i="2"/>
  <c r="I1214" i="2" l="1"/>
  <c r="F1214" i="2"/>
  <c r="D1214" i="2"/>
  <c r="L1214" i="2"/>
  <c r="E1214" i="2"/>
  <c r="B1214" i="2"/>
  <c r="H1214" i="2"/>
  <c r="C1215" i="2" l="1"/>
  <c r="K1215" i="2" s="1"/>
  <c r="J1214" i="2"/>
  <c r="G1214" i="2"/>
  <c r="I1215" i="2" l="1"/>
  <c r="F1215" i="2"/>
  <c r="F11" i="2" s="1"/>
  <c r="E1215" i="2"/>
  <c r="L1215" i="2"/>
  <c r="D1215" i="2"/>
  <c r="B1215" i="2"/>
  <c r="H1215" i="2"/>
  <c r="G1215" i="2" l="1"/>
  <c r="G11" i="2" s="1"/>
  <c r="C1216" i="2"/>
  <c r="K1216" i="2" s="1"/>
  <c r="J1215" i="2"/>
  <c r="I1216" i="2" l="1"/>
  <c r="E1216" i="2"/>
  <c r="B1216" i="2"/>
  <c r="H1216" i="2"/>
  <c r="L1216" i="2"/>
  <c r="F1216" i="2"/>
  <c r="D1216" i="2"/>
  <c r="C1217" i="2" l="1"/>
  <c r="K1217" i="2" s="1"/>
  <c r="J1216" i="2"/>
  <c r="G1216" i="2"/>
  <c r="I1217" i="2" l="1"/>
  <c r="D1217" i="2"/>
  <c r="B1217" i="2"/>
  <c r="H1217" i="2"/>
  <c r="E1217" i="2"/>
  <c r="L1217" i="2"/>
  <c r="F1217" i="2"/>
  <c r="J1217" i="2" l="1"/>
  <c r="C1218" i="2"/>
  <c r="K1218" i="2" s="1"/>
  <c r="G1217" i="2"/>
  <c r="I1218" i="2" l="1"/>
  <c r="L1218" i="2"/>
  <c r="F1218" i="2"/>
  <c r="D1218" i="2"/>
  <c r="B1218" i="2"/>
  <c r="E1218" i="2"/>
  <c r="H1218" i="2"/>
  <c r="G1218" i="2" l="1"/>
  <c r="C1219" i="2"/>
  <c r="K1219" i="2" s="1"/>
  <c r="J1218" i="2"/>
  <c r="I1219" i="2" l="1"/>
  <c r="F1219" i="2"/>
  <c r="E1219" i="2"/>
  <c r="L1219" i="2"/>
  <c r="D1219" i="2"/>
  <c r="H1219" i="2"/>
  <c r="B1219" i="2"/>
  <c r="J1219" i="2" l="1"/>
  <c r="C1220" i="2"/>
  <c r="K1220" i="2" s="1"/>
  <c r="G1219" i="2"/>
  <c r="I1220" i="2" l="1"/>
  <c r="B1220" i="2"/>
  <c r="F1220" i="2"/>
  <c r="D1220" i="2"/>
  <c r="E1220" i="2"/>
  <c r="L1220" i="2"/>
  <c r="H1220" i="2"/>
  <c r="G1220" i="2" l="1"/>
  <c r="C1221" i="2"/>
  <c r="K1221" i="2" s="1"/>
  <c r="J1220" i="2"/>
  <c r="I1221" i="2" l="1"/>
  <c r="E1221" i="2"/>
  <c r="L1221" i="2"/>
  <c r="D1221" i="2"/>
  <c r="B1221" i="2"/>
  <c r="H1221" i="2"/>
  <c r="F1221" i="2"/>
  <c r="J1221" i="2" l="1"/>
  <c r="G1221" i="2"/>
  <c r="C1222" i="2"/>
  <c r="K1222" i="2" s="1"/>
  <c r="I1222" i="2" l="1"/>
  <c r="B1222" i="2"/>
  <c r="E1222" i="2"/>
  <c r="H1222" i="2"/>
  <c r="D1222" i="2"/>
  <c r="L1222" i="2"/>
  <c r="F1222" i="2"/>
  <c r="C1223" i="2" l="1"/>
  <c r="K1223" i="2" s="1"/>
  <c r="G1222" i="2"/>
  <c r="J1222" i="2"/>
  <c r="I1223" i="2" l="1"/>
  <c r="D1223" i="2"/>
  <c r="B1223" i="2"/>
  <c r="H1223" i="2"/>
  <c r="F1223" i="2"/>
  <c r="E1223" i="2"/>
  <c r="L1223" i="2"/>
  <c r="J1223" i="2" l="1"/>
  <c r="C1224" i="2"/>
  <c r="K1224" i="2" s="1"/>
  <c r="G1223" i="2"/>
  <c r="I1224" i="2" l="1"/>
  <c r="B1224" i="2"/>
  <c r="E1224" i="2"/>
  <c r="L1224" i="2"/>
  <c r="H1224" i="2"/>
  <c r="F1224" i="2"/>
  <c r="D1224" i="2"/>
  <c r="C1225" i="2" l="1"/>
  <c r="K1225" i="2" s="1"/>
  <c r="G1224" i="2"/>
  <c r="J1224" i="2"/>
  <c r="I1225" i="2" l="1"/>
  <c r="D1225" i="2"/>
  <c r="B1225" i="2"/>
  <c r="H1225" i="2"/>
  <c r="F1225" i="2"/>
  <c r="E1225" i="2"/>
  <c r="L1225" i="2"/>
  <c r="J1225" i="2" l="1"/>
  <c r="G1225" i="2"/>
  <c r="C1226" i="2"/>
  <c r="K1226" i="2" s="1"/>
  <c r="I1226" i="2" l="1"/>
  <c r="E1226" i="2"/>
  <c r="L1226" i="2"/>
  <c r="H1226" i="2"/>
  <c r="D1226" i="2"/>
  <c r="F1226" i="2"/>
  <c r="B1226" i="2"/>
  <c r="G1226" i="2" l="1"/>
  <c r="C1227" i="2"/>
  <c r="K1227" i="2" s="1"/>
  <c r="J1226" i="2"/>
  <c r="I1227" i="2" l="1"/>
  <c r="B1227" i="2"/>
  <c r="E1227" i="2"/>
  <c r="L1227" i="2"/>
  <c r="D1227" i="2"/>
  <c r="F1227" i="2"/>
  <c r="H1227" i="2"/>
  <c r="J1227" i="2" l="1"/>
  <c r="G1227" i="2"/>
  <c r="C1228" i="2"/>
  <c r="K1228" i="2" s="1"/>
  <c r="I1228" i="2" l="1"/>
  <c r="E1228" i="2"/>
  <c r="L1228" i="2"/>
  <c r="B1228" i="2"/>
  <c r="D1228" i="2"/>
  <c r="F1228" i="2"/>
  <c r="H1228" i="2"/>
  <c r="J1228" i="2" l="1"/>
  <c r="G1228" i="2"/>
  <c r="C1229" i="2"/>
  <c r="K1229" i="2" s="1"/>
  <c r="I1229" i="2" l="1"/>
  <c r="B1229" i="2"/>
  <c r="D1229" i="2"/>
  <c r="F1229" i="2"/>
  <c r="H1229" i="2"/>
  <c r="L1229" i="2"/>
  <c r="E1229" i="2"/>
  <c r="J1229" i="2" l="1"/>
  <c r="C1230" i="2"/>
  <c r="K1230" i="2" s="1"/>
  <c r="G1229" i="2"/>
  <c r="I1230" i="2" l="1"/>
  <c r="D1230" i="2"/>
  <c r="E1230" i="2"/>
  <c r="F1230" i="2"/>
  <c r="L1230" i="2"/>
  <c r="B1230" i="2"/>
  <c r="H1230" i="2"/>
  <c r="J1230" i="2" l="1"/>
  <c r="G1230" i="2"/>
  <c r="C1231" i="2"/>
  <c r="K1231" i="2" s="1"/>
  <c r="I1231" i="2" l="1"/>
  <c r="E1231" i="2"/>
  <c r="B1231" i="2"/>
  <c r="D1231" i="2"/>
  <c r="F1231" i="2"/>
  <c r="H1231" i="2"/>
  <c r="L1231" i="2"/>
  <c r="C1232" i="2" l="1"/>
  <c r="K1232" i="2" s="1"/>
  <c r="J1231" i="2"/>
  <c r="G1231" i="2"/>
  <c r="I1232" i="2" l="1"/>
  <c r="E1232" i="2"/>
  <c r="L1232" i="2"/>
  <c r="H1232" i="2"/>
  <c r="F1232" i="2"/>
  <c r="D1232" i="2"/>
  <c r="B1232" i="2"/>
  <c r="G1232" i="2" l="1"/>
  <c r="C1233" i="2"/>
  <c r="K1233" i="2" s="1"/>
  <c r="J1232" i="2"/>
  <c r="I1233" i="2" l="1"/>
  <c r="D1233" i="2"/>
  <c r="L1233" i="2"/>
  <c r="E1233" i="2"/>
  <c r="F1233" i="2"/>
  <c r="H1233" i="2"/>
  <c r="B1233" i="2"/>
  <c r="J1233" i="2" l="1"/>
  <c r="G1233" i="2"/>
  <c r="C1234" i="2"/>
  <c r="K1234" i="2" s="1"/>
  <c r="I1234" i="2" l="1"/>
  <c r="E1234" i="2"/>
  <c r="B1234" i="2"/>
  <c r="L1234" i="2"/>
  <c r="H1234" i="2"/>
  <c r="D1234" i="2"/>
  <c r="F1234" i="2"/>
  <c r="J1234" i="2" l="1"/>
  <c r="G1234" i="2"/>
  <c r="C1235" i="2"/>
  <c r="K1235" i="2" s="1"/>
  <c r="I1235" i="2" l="1"/>
  <c r="B1235" i="2"/>
  <c r="F1235" i="2"/>
  <c r="E1235" i="2"/>
  <c r="L1235" i="2"/>
  <c r="H1235" i="2"/>
  <c r="D1235" i="2"/>
  <c r="G1235" i="2" l="1"/>
  <c r="C1236" i="2"/>
  <c r="K1236" i="2" s="1"/>
  <c r="J1235" i="2"/>
  <c r="I1236" i="2" l="1"/>
  <c r="E1236" i="2"/>
  <c r="B1236" i="2"/>
  <c r="F1236" i="2"/>
  <c r="L1236" i="2"/>
  <c r="D1236" i="2"/>
  <c r="H1236" i="2"/>
  <c r="J1236" i="2" l="1"/>
  <c r="G1236" i="2"/>
  <c r="C1237" i="2"/>
  <c r="K1237" i="2" s="1"/>
  <c r="I1237" i="2" l="1"/>
  <c r="B1237" i="2"/>
  <c r="H1237" i="2"/>
  <c r="L1237" i="2"/>
  <c r="E1237" i="2"/>
  <c r="D1237" i="2"/>
  <c r="F1237" i="2"/>
  <c r="J1237" i="2" l="1"/>
  <c r="G1237" i="2"/>
  <c r="C1238" i="2"/>
  <c r="K1238" i="2" s="1"/>
  <c r="I1238" i="2" l="1"/>
  <c r="D1238" i="2"/>
  <c r="B1238" i="2"/>
  <c r="E1238" i="2"/>
  <c r="L1238" i="2"/>
  <c r="H1238" i="2"/>
  <c r="F1238" i="2"/>
  <c r="C1239" i="2" l="1"/>
  <c r="K1239" i="2" s="1"/>
  <c r="G1238" i="2"/>
  <c r="J1238" i="2"/>
  <c r="I1239" i="2" l="1"/>
  <c r="E1239" i="2"/>
  <c r="L1239" i="2"/>
  <c r="D1239" i="2"/>
  <c r="B1239" i="2"/>
  <c r="H1239" i="2"/>
  <c r="F1239" i="2"/>
  <c r="J1239" i="2" l="1"/>
  <c r="G1239" i="2"/>
  <c r="C1240" i="2"/>
  <c r="K1240" i="2" s="1"/>
  <c r="I1240" i="2" l="1"/>
  <c r="D1240" i="2"/>
  <c r="E1240" i="2"/>
  <c r="B1240" i="2"/>
  <c r="H1240" i="2"/>
  <c r="F1240" i="2"/>
  <c r="L1240" i="2"/>
  <c r="C1241" i="2" l="1"/>
  <c r="K1241" i="2" s="1"/>
  <c r="J1240" i="2"/>
  <c r="G1240" i="2"/>
  <c r="I1241" i="2" l="1"/>
  <c r="F1241" i="2"/>
  <c r="E1241" i="2"/>
  <c r="L1241" i="2"/>
  <c r="D1241" i="2"/>
  <c r="B1241" i="2"/>
  <c r="H1241" i="2"/>
  <c r="J1241" i="2" l="1"/>
  <c r="G1241" i="2"/>
  <c r="C1242" i="2"/>
  <c r="K1242" i="2" s="1"/>
  <c r="I1242" i="2" l="1"/>
  <c r="E1242" i="2"/>
  <c r="B1242" i="2"/>
  <c r="H1242" i="2"/>
  <c r="L1242" i="2"/>
  <c r="F1242" i="2"/>
  <c r="D1242" i="2"/>
  <c r="G1242" i="2" l="1"/>
  <c r="C1243" i="2"/>
  <c r="K1243" i="2" s="1"/>
  <c r="J1242" i="2"/>
  <c r="I1243" i="2" l="1"/>
  <c r="F1243" i="2"/>
  <c r="E1243" i="2"/>
  <c r="L1243" i="2"/>
  <c r="H1243" i="2"/>
  <c r="D1243" i="2"/>
  <c r="B1243" i="2"/>
  <c r="J1243" i="2" l="1"/>
  <c r="G1243" i="2"/>
  <c r="C1244" i="2"/>
  <c r="K1244" i="2" s="1"/>
  <c r="I1244" i="2" l="1"/>
  <c r="B1244" i="2"/>
  <c r="E1244" i="2"/>
  <c r="L1244" i="2"/>
  <c r="H1244" i="2"/>
  <c r="F1244" i="2"/>
  <c r="D1244" i="2"/>
  <c r="C1245" i="2" l="1"/>
  <c r="K1245" i="2" s="1"/>
  <c r="J1244" i="2"/>
  <c r="G1244" i="2"/>
  <c r="I1245" i="2" l="1"/>
  <c r="D1245" i="2"/>
  <c r="B1245" i="2"/>
  <c r="H1245" i="2"/>
  <c r="F1245" i="2"/>
  <c r="E1245" i="2"/>
  <c r="L1245" i="2"/>
  <c r="G1245" i="2" l="1"/>
  <c r="C1246" i="2"/>
  <c r="K1246" i="2" s="1"/>
  <c r="J1245" i="2"/>
  <c r="I1246" i="2" l="1"/>
  <c r="E1246" i="2"/>
  <c r="B1246" i="2"/>
  <c r="H1246" i="2"/>
  <c r="F1246" i="2"/>
  <c r="D1246" i="2"/>
  <c r="L1246" i="2"/>
  <c r="C1247" i="2" l="1"/>
  <c r="K1247" i="2" s="1"/>
  <c r="J1246" i="2"/>
  <c r="G1246" i="2"/>
  <c r="I1247" i="2" l="1"/>
  <c r="F1247" i="2"/>
  <c r="L1247" i="2"/>
  <c r="H1247" i="2"/>
  <c r="D1247" i="2"/>
  <c r="B1247" i="2"/>
  <c r="E1247" i="2"/>
  <c r="J1247" i="2" l="1"/>
  <c r="C1248" i="2"/>
  <c r="K1248" i="2" s="1"/>
  <c r="G1247" i="2"/>
  <c r="I1248" i="2" l="1"/>
  <c r="B1248" i="2"/>
  <c r="D1248" i="2"/>
  <c r="E1248" i="2"/>
  <c r="L1248" i="2"/>
  <c r="H1248" i="2"/>
  <c r="F1248" i="2"/>
  <c r="C1249" i="2" l="1"/>
  <c r="K1249" i="2" s="1"/>
  <c r="J1248" i="2"/>
  <c r="G1248" i="2"/>
  <c r="I1249" i="2" l="1"/>
  <c r="E1249" i="2"/>
  <c r="L1249" i="2"/>
  <c r="F1249" i="2"/>
  <c r="D1249" i="2"/>
  <c r="B1249" i="2"/>
  <c r="H1249" i="2"/>
  <c r="G1249" i="2" l="1"/>
  <c r="C1250" i="2"/>
  <c r="K1250" i="2" s="1"/>
  <c r="J1249" i="2"/>
  <c r="I1250" i="2" l="1"/>
  <c r="F1250" i="2"/>
  <c r="E1250" i="2"/>
  <c r="B1250" i="2"/>
  <c r="H1250" i="2"/>
  <c r="D1250" i="2"/>
  <c r="L1250" i="2"/>
  <c r="C1251" i="2" l="1"/>
  <c r="K1251" i="2" s="1"/>
  <c r="J1250" i="2"/>
  <c r="G1250" i="2"/>
  <c r="I1251" i="2" l="1"/>
  <c r="D1251" i="2"/>
  <c r="B1251" i="2"/>
  <c r="H1251" i="2"/>
  <c r="E1251" i="2"/>
  <c r="L1251" i="2"/>
  <c r="F1251" i="2"/>
  <c r="G1251" i="2" l="1"/>
  <c r="C1252" i="2"/>
  <c r="K1252" i="2" s="1"/>
  <c r="J1251" i="2"/>
  <c r="I1252" i="2" l="1"/>
  <c r="E1252" i="2"/>
  <c r="B1252" i="2"/>
  <c r="H1252" i="2"/>
  <c r="L1252" i="2"/>
  <c r="F1252" i="2"/>
  <c r="D1252" i="2"/>
  <c r="C1253" i="2" l="1"/>
  <c r="K1253" i="2" s="1"/>
  <c r="J1252" i="2"/>
  <c r="G1252" i="2"/>
  <c r="I1253" i="2" l="1"/>
  <c r="F1253" i="2"/>
  <c r="E1253" i="2"/>
  <c r="L1253" i="2"/>
  <c r="D1253" i="2"/>
  <c r="B1253" i="2"/>
  <c r="H1253" i="2"/>
  <c r="J1253" i="2" l="1"/>
  <c r="G1253" i="2"/>
  <c r="C1254" i="2"/>
  <c r="K1254" i="2" s="1"/>
  <c r="I1254" i="2" l="1"/>
  <c r="L1254" i="2"/>
  <c r="F1254" i="2"/>
  <c r="D1254" i="2"/>
  <c r="E1254" i="2"/>
  <c r="B1254" i="2"/>
  <c r="H1254" i="2"/>
  <c r="G1254" i="2" l="1"/>
  <c r="C1255" i="2"/>
  <c r="K1255" i="2" s="1"/>
  <c r="J1254" i="2"/>
  <c r="I1255" i="2" l="1"/>
  <c r="D1255" i="2"/>
  <c r="B1255" i="2"/>
  <c r="H1255" i="2"/>
  <c r="E1255" i="2"/>
  <c r="L1255" i="2"/>
  <c r="F1255" i="2"/>
  <c r="G1255" i="2" l="1"/>
  <c r="C1256" i="2"/>
  <c r="K1256" i="2" s="1"/>
  <c r="J1255" i="2"/>
  <c r="I1256" i="2" l="1"/>
  <c r="L1256" i="2"/>
  <c r="F1256" i="2"/>
  <c r="D1256" i="2"/>
  <c r="E1256" i="2"/>
  <c r="H1256" i="2"/>
  <c r="B1256" i="2"/>
  <c r="C1257" i="2" l="1"/>
  <c r="K1257" i="2" s="1"/>
  <c r="J1256" i="2"/>
  <c r="G1256" i="2"/>
  <c r="I1257" i="2" l="1"/>
  <c r="F1257" i="2"/>
  <c r="E1257" i="2"/>
  <c r="L1257" i="2"/>
  <c r="D1257" i="2"/>
  <c r="B1257" i="2"/>
  <c r="H1257" i="2"/>
  <c r="C1258" i="2" l="1"/>
  <c r="K1258" i="2" s="1"/>
  <c r="J1257" i="2"/>
  <c r="G1257" i="2"/>
  <c r="I1258" i="2" l="1"/>
  <c r="E1258" i="2"/>
  <c r="B1258" i="2"/>
  <c r="H1258" i="2"/>
  <c r="F1258" i="2"/>
  <c r="D1258" i="2"/>
  <c r="L1258" i="2"/>
  <c r="G1258" i="2" l="1"/>
  <c r="C1259" i="2"/>
  <c r="K1259" i="2" s="1"/>
  <c r="J1258" i="2"/>
  <c r="I1259" i="2" l="1"/>
  <c r="E1259" i="2"/>
  <c r="L1259" i="2"/>
  <c r="D1259" i="2"/>
  <c r="B1259" i="2"/>
  <c r="H1259" i="2"/>
  <c r="F1259" i="2"/>
  <c r="J1259" i="2" l="1"/>
  <c r="G1259" i="2"/>
  <c r="C1260" i="2"/>
  <c r="K1260" i="2" s="1"/>
  <c r="I1260" i="2" l="1"/>
  <c r="L1260" i="2"/>
  <c r="H1260" i="2"/>
  <c r="F1260" i="2"/>
  <c r="E1260" i="2"/>
  <c r="B1260" i="2"/>
  <c r="D1260" i="2"/>
  <c r="J1260" i="2" l="1"/>
  <c r="G1260" i="2"/>
  <c r="C1261" i="2"/>
  <c r="K1261" i="2" s="1"/>
  <c r="I1261" i="2" l="1"/>
  <c r="D1261" i="2"/>
  <c r="B1261" i="2"/>
  <c r="H1261" i="2"/>
  <c r="F1261" i="2"/>
  <c r="E1261" i="2"/>
  <c r="L1261" i="2"/>
  <c r="C1262" i="2" l="1"/>
  <c r="K1262" i="2" s="1"/>
  <c r="J1261" i="2"/>
  <c r="G1261" i="2"/>
  <c r="I1262" i="2" l="1"/>
  <c r="L1262" i="2"/>
  <c r="H1262" i="2"/>
  <c r="D1262" i="2"/>
  <c r="B1262" i="2"/>
  <c r="E1262" i="2"/>
  <c r="F1262" i="2"/>
  <c r="J1262" i="2" l="1"/>
  <c r="G1262" i="2"/>
  <c r="C1263" i="2"/>
  <c r="K1263" i="2" s="1"/>
  <c r="I1263" i="2" l="1"/>
  <c r="F1263" i="2"/>
  <c r="E1263" i="2"/>
  <c r="L1263" i="2"/>
  <c r="D1263" i="2"/>
  <c r="B1263" i="2"/>
  <c r="H1263" i="2"/>
  <c r="G1263" i="2" l="1"/>
  <c r="C1264" i="2"/>
  <c r="K1264" i="2" s="1"/>
  <c r="J1263" i="2"/>
  <c r="I1264" i="2" l="1"/>
  <c r="H1264" i="2"/>
  <c r="D1264" i="2"/>
  <c r="L1264" i="2"/>
  <c r="E1264" i="2"/>
  <c r="B1264" i="2"/>
  <c r="F1264" i="2"/>
  <c r="G1264" i="2" l="1"/>
  <c r="C1265" i="2"/>
  <c r="K1265" i="2" s="1"/>
  <c r="J1264" i="2"/>
  <c r="I1265" i="2" l="1"/>
  <c r="D1265" i="2"/>
  <c r="B1265" i="2"/>
  <c r="H1265" i="2"/>
  <c r="F1265" i="2"/>
  <c r="E1265" i="2"/>
  <c r="L1265" i="2"/>
  <c r="C1266" i="2" l="1"/>
  <c r="K1266" i="2" s="1"/>
  <c r="J1265" i="2"/>
  <c r="G1265" i="2"/>
  <c r="I1266" i="2" l="1"/>
  <c r="B1266" i="2"/>
  <c r="F1266" i="2"/>
  <c r="H1266" i="2"/>
  <c r="E1266" i="2"/>
  <c r="L1266" i="2"/>
  <c r="D1266" i="2"/>
  <c r="J1266" i="2" l="1"/>
  <c r="G1266" i="2"/>
  <c r="C1267" i="2"/>
  <c r="K1267" i="2" s="1"/>
  <c r="I1267" i="2" l="1"/>
  <c r="L1267" i="2"/>
  <c r="D1267" i="2"/>
  <c r="B1267" i="2"/>
  <c r="H1267" i="2"/>
  <c r="F1267" i="2"/>
  <c r="E1267" i="2"/>
  <c r="J1267" i="2" l="1"/>
  <c r="G1267" i="2"/>
  <c r="C1268" i="2"/>
  <c r="K1268" i="2" s="1"/>
  <c r="I1268" i="2" l="1"/>
  <c r="B1268" i="2"/>
  <c r="L1268" i="2"/>
  <c r="H1268" i="2"/>
  <c r="F1268" i="2"/>
  <c r="D1268" i="2"/>
  <c r="E1268" i="2"/>
  <c r="G1268" i="2" l="1"/>
  <c r="C1269" i="2"/>
  <c r="K1269" i="2" s="1"/>
  <c r="J1268" i="2"/>
  <c r="I1269" i="2" l="1"/>
  <c r="E1269" i="2"/>
  <c r="L1269" i="2"/>
  <c r="D1269" i="2"/>
  <c r="B1269" i="2"/>
  <c r="H1269" i="2"/>
  <c r="F1269" i="2"/>
  <c r="J1269" i="2" l="1"/>
  <c r="G1269" i="2"/>
  <c r="C1270" i="2"/>
  <c r="K1270" i="2" s="1"/>
  <c r="I1270" i="2" l="1"/>
  <c r="B1270" i="2"/>
  <c r="F1270" i="2"/>
  <c r="E1270" i="2"/>
  <c r="L1270" i="2"/>
  <c r="H1270" i="2"/>
  <c r="D1270" i="2"/>
  <c r="G1270" i="2" l="1"/>
  <c r="J1270" i="2"/>
  <c r="C1271" i="2"/>
  <c r="K1271" i="2" s="1"/>
  <c r="I1271" i="2" l="1"/>
  <c r="E1271" i="2"/>
  <c r="L1271" i="2"/>
  <c r="D1271" i="2"/>
  <c r="B1271" i="2"/>
  <c r="H1271" i="2"/>
  <c r="F1271" i="2"/>
  <c r="G1271" i="2" l="1"/>
  <c r="C1272" i="2"/>
  <c r="K1272" i="2" s="1"/>
  <c r="J1271" i="2"/>
  <c r="I1272" i="2" l="1"/>
  <c r="B1272" i="2"/>
  <c r="F1272" i="2"/>
  <c r="H1272" i="2"/>
  <c r="D1272" i="2"/>
  <c r="L1272" i="2"/>
  <c r="E1272" i="2"/>
  <c r="G1272" i="2" l="1"/>
  <c r="C1273" i="2"/>
  <c r="K1273" i="2" s="1"/>
  <c r="J1272" i="2"/>
  <c r="I1273" i="2" l="1"/>
  <c r="F1273" i="2"/>
  <c r="E1273" i="2"/>
  <c r="L1273" i="2"/>
  <c r="H1273" i="2"/>
  <c r="D1273" i="2"/>
  <c r="B1273" i="2"/>
  <c r="J1273" i="2" l="1"/>
  <c r="G1273" i="2"/>
  <c r="C1274" i="2"/>
  <c r="K1274" i="2" s="1"/>
  <c r="I1274" i="2" l="1"/>
  <c r="L1274" i="2"/>
  <c r="H1274" i="2"/>
  <c r="E1274" i="2"/>
  <c r="D1274" i="2"/>
  <c r="B1274" i="2"/>
  <c r="F1274" i="2"/>
  <c r="G1274" i="2" l="1"/>
  <c r="C1275" i="2"/>
  <c r="K1275" i="2" s="1"/>
  <c r="J1274" i="2"/>
  <c r="I1275" i="2" l="1"/>
  <c r="H1275" i="2"/>
  <c r="F1275" i="2"/>
  <c r="E1275" i="2"/>
  <c r="D1275" i="2"/>
  <c r="L1275" i="2"/>
  <c r="B1275" i="2"/>
  <c r="C1276" i="2" l="1"/>
  <c r="K1276" i="2" s="1"/>
  <c r="J1275" i="2"/>
  <c r="G1275" i="2"/>
  <c r="I1276" i="2" l="1"/>
  <c r="H1276" i="2"/>
  <c r="F1276" i="2"/>
  <c r="D1276" i="2"/>
  <c r="L1276" i="2"/>
  <c r="E1276" i="2"/>
  <c r="B1276" i="2"/>
  <c r="G1276" i="2" l="1"/>
  <c r="C1277" i="2"/>
  <c r="K1277" i="2" s="1"/>
  <c r="J1276" i="2"/>
  <c r="I1277" i="2" l="1"/>
  <c r="E1277" i="2"/>
  <c r="D1277" i="2"/>
  <c r="L1277" i="2"/>
  <c r="H1277" i="2"/>
  <c r="F1277" i="2"/>
  <c r="B1277" i="2"/>
  <c r="C1278" i="2" l="1"/>
  <c r="K1278" i="2" s="1"/>
  <c r="J1277" i="2"/>
  <c r="G1277" i="2"/>
  <c r="I1278" i="2" l="1"/>
  <c r="B1278" i="2"/>
  <c r="F1278" i="2"/>
  <c r="D1278" i="2"/>
  <c r="L1278" i="2"/>
  <c r="E1278" i="2"/>
  <c r="H1278" i="2"/>
  <c r="J1278" i="2" l="1"/>
  <c r="G1278" i="2"/>
  <c r="C1279" i="2"/>
  <c r="K1279" i="2" s="1"/>
  <c r="I1279" i="2" l="1"/>
  <c r="H1279" i="2"/>
  <c r="F1279" i="2"/>
  <c r="D1279" i="2"/>
  <c r="L1279" i="2"/>
  <c r="B1279" i="2"/>
  <c r="E1279" i="2"/>
  <c r="C1280" i="2" l="1"/>
  <c r="K1280" i="2" s="1"/>
  <c r="J1279" i="2"/>
  <c r="G1279" i="2"/>
  <c r="I1280" i="2" l="1"/>
  <c r="B1280" i="2"/>
  <c r="F1280" i="2"/>
  <c r="D1280" i="2"/>
  <c r="L1280" i="2"/>
  <c r="H1280" i="2"/>
  <c r="E1280" i="2"/>
  <c r="J1280" i="2" l="1"/>
  <c r="G1280" i="2"/>
  <c r="C1281" i="2"/>
  <c r="K1281" i="2" s="1"/>
  <c r="I1281" i="2" l="1"/>
  <c r="L1281" i="2"/>
  <c r="B1281" i="2"/>
  <c r="H1281" i="2"/>
  <c r="F1281" i="2"/>
  <c r="E1281" i="2"/>
  <c r="D1281" i="2"/>
  <c r="C1282" i="2" l="1"/>
  <c r="K1282" i="2" s="1"/>
  <c r="G1281" i="2"/>
  <c r="J1281" i="2"/>
  <c r="I1282" i="2" l="1"/>
  <c r="E1282" i="2"/>
  <c r="B1282" i="2"/>
  <c r="F1282" i="2"/>
  <c r="D1282" i="2"/>
  <c r="L1282" i="2"/>
  <c r="H1282" i="2"/>
  <c r="C1283" i="2" l="1"/>
  <c r="K1283" i="2" s="1"/>
  <c r="G1282" i="2"/>
  <c r="J1282" i="2"/>
  <c r="I1283" i="2" l="1"/>
  <c r="D1283" i="2"/>
  <c r="B1283" i="2"/>
  <c r="H1283" i="2"/>
  <c r="F1283" i="2"/>
  <c r="E1283" i="2"/>
  <c r="L1283" i="2"/>
  <c r="G1283" i="2" l="1"/>
  <c r="C1284" i="2"/>
  <c r="K1284" i="2" s="1"/>
  <c r="J1283" i="2"/>
  <c r="I1284" i="2" l="1"/>
  <c r="E1284" i="2"/>
  <c r="L1284" i="2"/>
  <c r="H1284" i="2"/>
  <c r="B1284" i="2"/>
  <c r="F1284" i="2"/>
  <c r="D1284" i="2"/>
  <c r="G1284" i="2" l="1"/>
  <c r="C1285" i="2"/>
  <c r="K1285" i="2" s="1"/>
  <c r="J1284" i="2"/>
  <c r="I1285" i="2" l="1"/>
  <c r="H1285" i="2"/>
  <c r="E1285" i="2"/>
  <c r="L1285" i="2"/>
  <c r="F1285" i="2"/>
  <c r="D1285" i="2"/>
  <c r="B1285" i="2"/>
  <c r="G1285" i="2" l="1"/>
  <c r="C1286" i="2"/>
  <c r="K1286" i="2" s="1"/>
  <c r="J1285" i="2"/>
  <c r="I1286" i="2" l="1"/>
  <c r="H1286" i="2"/>
  <c r="F1286" i="2"/>
  <c r="D1286" i="2"/>
  <c r="L1286" i="2"/>
  <c r="E1286" i="2"/>
  <c r="B1286" i="2"/>
  <c r="C1287" i="2" l="1"/>
  <c r="K1287" i="2" s="1"/>
  <c r="J1286" i="2"/>
  <c r="G1286" i="2"/>
  <c r="I1287" i="2" l="1"/>
  <c r="E1287" i="2"/>
  <c r="D1287" i="2"/>
  <c r="B1287" i="2"/>
  <c r="H1287" i="2"/>
  <c r="F1287" i="2"/>
  <c r="L1287" i="2"/>
  <c r="J1287" i="2" l="1"/>
  <c r="G1287" i="2"/>
  <c r="C1288" i="2"/>
  <c r="K1288" i="2" s="1"/>
  <c r="I1288" i="2" l="1"/>
  <c r="D1288" i="2"/>
  <c r="E1288" i="2"/>
  <c r="B1288" i="2"/>
  <c r="H1288" i="2"/>
  <c r="L1288" i="2"/>
  <c r="F1288" i="2"/>
  <c r="C1289" i="2" l="1"/>
  <c r="K1289" i="2" s="1"/>
  <c r="J1288" i="2"/>
  <c r="G1288" i="2"/>
  <c r="I1289" i="2" l="1"/>
  <c r="F1289" i="2"/>
  <c r="E1289" i="2"/>
  <c r="L1289" i="2"/>
  <c r="D1289" i="2"/>
  <c r="B1289" i="2"/>
  <c r="H1289" i="2"/>
  <c r="G1289" i="2" l="1"/>
  <c r="C1290" i="2"/>
  <c r="K1290" i="2" s="1"/>
  <c r="J1289" i="2"/>
  <c r="I1290" i="2" l="1"/>
  <c r="E1290" i="2"/>
  <c r="B1290" i="2"/>
  <c r="H1290" i="2"/>
  <c r="F1290" i="2"/>
  <c r="D1290" i="2"/>
  <c r="L1290" i="2"/>
  <c r="G1290" i="2" l="1"/>
  <c r="C1291" i="2"/>
  <c r="K1291" i="2" s="1"/>
  <c r="J1290" i="2"/>
  <c r="I1291" i="2" l="1"/>
  <c r="E1291" i="2"/>
  <c r="L1291" i="2"/>
  <c r="D1291" i="2"/>
  <c r="B1291" i="2"/>
  <c r="H1291" i="2"/>
  <c r="F1291" i="2"/>
  <c r="G1291" i="2" l="1"/>
  <c r="C1292" i="2"/>
  <c r="K1292" i="2" s="1"/>
  <c r="J1291" i="2"/>
  <c r="I1292" i="2" l="1"/>
  <c r="B1292" i="2"/>
  <c r="F1292" i="2"/>
  <c r="D1292" i="2"/>
  <c r="L1292" i="2"/>
  <c r="E1292" i="2"/>
  <c r="H1292" i="2"/>
  <c r="G1292" i="2" l="1"/>
  <c r="C1293" i="2"/>
  <c r="K1293" i="2" s="1"/>
  <c r="J1292" i="2"/>
  <c r="I1293" i="2" l="1"/>
  <c r="E1293" i="2"/>
  <c r="L1293" i="2"/>
  <c r="D1293" i="2"/>
  <c r="B1293" i="2"/>
  <c r="H1293" i="2"/>
  <c r="F1293" i="2"/>
  <c r="G1293" i="2" l="1"/>
  <c r="C1294" i="2"/>
  <c r="K1294" i="2" s="1"/>
  <c r="J1293" i="2"/>
  <c r="I1294" i="2" l="1"/>
  <c r="L1294" i="2"/>
  <c r="F1294" i="2"/>
  <c r="D1294" i="2"/>
  <c r="E1294" i="2"/>
  <c r="B1294" i="2"/>
  <c r="H1294" i="2"/>
  <c r="G1294" i="2" l="1"/>
  <c r="C1295" i="2"/>
  <c r="K1295" i="2" s="1"/>
  <c r="J1294" i="2"/>
  <c r="I1295" i="2" l="1"/>
  <c r="F1295" i="2"/>
  <c r="E1295" i="2"/>
  <c r="L1295" i="2"/>
  <c r="D1295" i="2"/>
  <c r="B1295" i="2"/>
  <c r="H1295" i="2"/>
  <c r="G1295" i="2" l="1"/>
  <c r="C1296" i="2"/>
  <c r="K1296" i="2" s="1"/>
  <c r="J1295" i="2"/>
  <c r="I1296" i="2" l="1"/>
  <c r="B1296" i="2"/>
  <c r="F1296" i="2"/>
  <c r="D1296" i="2"/>
  <c r="E1296" i="2"/>
  <c r="L1296" i="2"/>
  <c r="H1296" i="2"/>
  <c r="C1297" i="2" l="1"/>
  <c r="K1297" i="2" s="1"/>
  <c r="G1296" i="2"/>
  <c r="J1296" i="2"/>
  <c r="I1297" i="2" l="1"/>
  <c r="E1297" i="2"/>
  <c r="L1297" i="2"/>
  <c r="F1297" i="2"/>
  <c r="D1297" i="2"/>
  <c r="B1297" i="2"/>
  <c r="H1297" i="2"/>
  <c r="J1297" i="2" l="1"/>
  <c r="G1297" i="2"/>
  <c r="C1298" i="2"/>
  <c r="K1298" i="2" s="1"/>
  <c r="I1298" i="2" l="1"/>
  <c r="D1298" i="2"/>
  <c r="E1298" i="2"/>
  <c r="L1298" i="2"/>
  <c r="H1298" i="2"/>
  <c r="B1298" i="2"/>
  <c r="F1298" i="2"/>
  <c r="J1298" i="2" l="1"/>
  <c r="G1298" i="2"/>
  <c r="C1299" i="2"/>
  <c r="K1299" i="2" s="1"/>
  <c r="I1299" i="2" l="1"/>
  <c r="E1299" i="2"/>
  <c r="L1299" i="2"/>
  <c r="D1299" i="2"/>
  <c r="B1299" i="2"/>
  <c r="H1299" i="2"/>
  <c r="F1299" i="2"/>
  <c r="J1299" i="2" l="1"/>
  <c r="C1300" i="2"/>
  <c r="K1300" i="2" s="1"/>
  <c r="G1299" i="2"/>
  <c r="I1300" i="2" l="1"/>
  <c r="B1300" i="2"/>
  <c r="E1300" i="2"/>
  <c r="L1300" i="2"/>
  <c r="H1300" i="2"/>
  <c r="F1300" i="2"/>
  <c r="D1300" i="2"/>
  <c r="C1301" i="2" l="1"/>
  <c r="K1301" i="2" s="1"/>
  <c r="G1300" i="2"/>
  <c r="J1300" i="2"/>
  <c r="I1301" i="2" l="1"/>
  <c r="H1301" i="2"/>
  <c r="E1301" i="2"/>
  <c r="L1301" i="2"/>
  <c r="F1301" i="2"/>
  <c r="D1301" i="2"/>
  <c r="B1301" i="2"/>
  <c r="C1302" i="2" l="1"/>
  <c r="K1302" i="2" s="1"/>
  <c r="J1301" i="2"/>
  <c r="G1301" i="2"/>
  <c r="I1302" i="2" l="1"/>
  <c r="B1302" i="2"/>
  <c r="E1302" i="2"/>
  <c r="L1302" i="2"/>
  <c r="H1302" i="2"/>
  <c r="F1302" i="2"/>
  <c r="D1302" i="2"/>
  <c r="G1302" i="2" l="1"/>
  <c r="C1303" i="2"/>
  <c r="K1303" i="2" s="1"/>
  <c r="J1302" i="2"/>
  <c r="I1303" i="2" l="1"/>
  <c r="D1303" i="2"/>
  <c r="B1303" i="2"/>
  <c r="H1303" i="2"/>
  <c r="F1303" i="2"/>
  <c r="E1303" i="2"/>
  <c r="L1303" i="2"/>
  <c r="C1304" i="2" l="1"/>
  <c r="K1304" i="2" s="1"/>
  <c r="J1303" i="2"/>
  <c r="G1303" i="2"/>
  <c r="I1304" i="2" l="1"/>
  <c r="E1304" i="2"/>
  <c r="L1304" i="2"/>
  <c r="H1304" i="2"/>
  <c r="D1304" i="2"/>
  <c r="F1304" i="2"/>
  <c r="B1304" i="2"/>
  <c r="C1305" i="2" l="1"/>
  <c r="K1305" i="2" s="1"/>
  <c r="J1304" i="2"/>
  <c r="G1304" i="2"/>
  <c r="I1305" i="2" l="1"/>
  <c r="F1305" i="2"/>
  <c r="E1305" i="2"/>
  <c r="L1305" i="2"/>
  <c r="D1305" i="2"/>
  <c r="B1305" i="2"/>
  <c r="H1305" i="2"/>
  <c r="G1305" i="2" l="1"/>
  <c r="C1306" i="2"/>
  <c r="K1306" i="2" s="1"/>
  <c r="J1305" i="2"/>
  <c r="I1306" i="2" l="1"/>
  <c r="E1306" i="2"/>
  <c r="B1306" i="2"/>
  <c r="H1306" i="2"/>
  <c r="L1306" i="2"/>
  <c r="F1306" i="2"/>
  <c r="D1306" i="2"/>
  <c r="G1306" i="2" l="1"/>
  <c r="C1307" i="2"/>
  <c r="K1307" i="2" s="1"/>
  <c r="J1306" i="2"/>
  <c r="I1307" i="2" l="1"/>
  <c r="F1307" i="2"/>
  <c r="D1307" i="2"/>
  <c r="B1307" i="2"/>
  <c r="H1307" i="2"/>
  <c r="E1307" i="2"/>
  <c r="L1307" i="2"/>
  <c r="G1307" i="2" l="1"/>
  <c r="C1308" i="2"/>
  <c r="K1308" i="2" s="1"/>
  <c r="J1307" i="2"/>
  <c r="I1308" i="2" l="1"/>
  <c r="B1308" i="2"/>
  <c r="F1308" i="2"/>
  <c r="E1308" i="2"/>
  <c r="L1308" i="2"/>
  <c r="H1308" i="2"/>
  <c r="D1308" i="2"/>
  <c r="C1309" i="2" l="1"/>
  <c r="K1309" i="2" s="1"/>
  <c r="G1308" i="2"/>
  <c r="J1308" i="2"/>
  <c r="I1309" i="2" l="1"/>
  <c r="H1309" i="2"/>
  <c r="E1309" i="2"/>
  <c r="L1309" i="2"/>
  <c r="F1309" i="2"/>
  <c r="D1309" i="2"/>
  <c r="B1309" i="2"/>
  <c r="G1309" i="2" l="1"/>
  <c r="C1310" i="2"/>
  <c r="K1310" i="2" s="1"/>
  <c r="J1309" i="2"/>
  <c r="I1310" i="2" l="1"/>
  <c r="E1310" i="2"/>
  <c r="L1310" i="2"/>
  <c r="H1310" i="2"/>
  <c r="B1310" i="2"/>
  <c r="F1310" i="2"/>
  <c r="D1310" i="2"/>
  <c r="C1311" i="2" l="1"/>
  <c r="K1311" i="2" s="1"/>
  <c r="G1310" i="2"/>
  <c r="J1310" i="2"/>
  <c r="I1311" i="2" l="1"/>
  <c r="L1311" i="2"/>
  <c r="D1311" i="2"/>
  <c r="B1311" i="2"/>
  <c r="H1311" i="2"/>
  <c r="F1311" i="2"/>
  <c r="E1311" i="2"/>
  <c r="G1311" i="2" l="1"/>
  <c r="C1312" i="2"/>
  <c r="K1312" i="2" s="1"/>
  <c r="J1311" i="2"/>
  <c r="I1312" i="2" l="1"/>
  <c r="L1312" i="2"/>
  <c r="B1312" i="2"/>
  <c r="F1312" i="2"/>
  <c r="D1312" i="2"/>
  <c r="E1312" i="2"/>
  <c r="H1312" i="2"/>
  <c r="C1313" i="2" l="1"/>
  <c r="K1313" i="2" s="1"/>
  <c r="G1312" i="2"/>
  <c r="J1312" i="2"/>
  <c r="I1313" i="2" l="1"/>
  <c r="F1313" i="2"/>
  <c r="E1313" i="2"/>
  <c r="L1313" i="2"/>
  <c r="D1313" i="2"/>
  <c r="B1313" i="2"/>
  <c r="H1313" i="2"/>
  <c r="J1313" i="2" l="1"/>
  <c r="G1313" i="2"/>
  <c r="C1314" i="2"/>
  <c r="K1314" i="2" s="1"/>
  <c r="I1314" i="2" l="1"/>
  <c r="L1314" i="2"/>
  <c r="E1314" i="2"/>
  <c r="B1314" i="2"/>
  <c r="H1314" i="2"/>
  <c r="F1314" i="2"/>
  <c r="D1314" i="2"/>
  <c r="G1314" i="2" l="1"/>
  <c r="C1315" i="2"/>
  <c r="K1315" i="2" s="1"/>
  <c r="J1314" i="2"/>
  <c r="I1315" i="2" l="1"/>
  <c r="E1315" i="2"/>
  <c r="L1315" i="2"/>
  <c r="D1315" i="2"/>
  <c r="B1315" i="2"/>
  <c r="H1315" i="2"/>
  <c r="F1315" i="2"/>
  <c r="J1315" i="2" l="1"/>
  <c r="G1315" i="2"/>
  <c r="C1316" i="2"/>
  <c r="K1316" i="2" s="1"/>
  <c r="I1316" i="2" l="1"/>
  <c r="F1316" i="2"/>
  <c r="L1316" i="2"/>
  <c r="E1316" i="2"/>
  <c r="B1316" i="2"/>
  <c r="H1316" i="2"/>
  <c r="D1316" i="2"/>
  <c r="C1317" i="2" l="1"/>
  <c r="K1317" i="2" s="1"/>
  <c r="J1316" i="2"/>
  <c r="G1316" i="2"/>
  <c r="I1317" i="2" l="1"/>
  <c r="D1317" i="2"/>
  <c r="B1317" i="2"/>
  <c r="H1317" i="2"/>
  <c r="F1317" i="2"/>
  <c r="E1317" i="2"/>
  <c r="L1317" i="2"/>
  <c r="J1317" i="2" l="1"/>
  <c r="G1317" i="2"/>
  <c r="C1318" i="2"/>
  <c r="K1318" i="2" s="1"/>
  <c r="I1318" i="2" l="1"/>
  <c r="E1318" i="2"/>
  <c r="L1318" i="2"/>
  <c r="H1318" i="2"/>
  <c r="B1318" i="2"/>
  <c r="F1318" i="2"/>
  <c r="D1318" i="2"/>
  <c r="C1319" i="2" l="1"/>
  <c r="K1319" i="2" s="1"/>
  <c r="J1318" i="2"/>
  <c r="G1318" i="2"/>
  <c r="I1319" i="2" l="1"/>
  <c r="H1319" i="2"/>
  <c r="F1319" i="2"/>
  <c r="D1319" i="2"/>
  <c r="B1319" i="2"/>
  <c r="E1319" i="2"/>
  <c r="L1319" i="2"/>
  <c r="J1319" i="2" l="1"/>
  <c r="G1319" i="2"/>
  <c r="C1320" i="2"/>
  <c r="K1320" i="2" s="1"/>
  <c r="I1320" i="2" l="1"/>
  <c r="L1320" i="2"/>
  <c r="F1320" i="2"/>
  <c r="D1320" i="2"/>
  <c r="E1320" i="2"/>
  <c r="B1320" i="2"/>
  <c r="H1320" i="2"/>
  <c r="G1320" i="2" l="1"/>
  <c r="C1321" i="2"/>
  <c r="K1321" i="2" s="1"/>
  <c r="J1320" i="2"/>
  <c r="I1321" i="2" l="1"/>
  <c r="D1321" i="2"/>
  <c r="B1321" i="2"/>
  <c r="H1321" i="2"/>
  <c r="F1321" i="2"/>
  <c r="E1321" i="2"/>
  <c r="L1321" i="2"/>
  <c r="J1321" i="2" l="1"/>
  <c r="G1321" i="2"/>
  <c r="C1322" i="2"/>
  <c r="K1322" i="2" s="1"/>
  <c r="I1322" i="2" l="1"/>
  <c r="E1322" i="2"/>
  <c r="B1322" i="2"/>
  <c r="H1322" i="2"/>
  <c r="L1322" i="2"/>
  <c r="F1322" i="2"/>
  <c r="D1322" i="2"/>
  <c r="G1322" i="2" l="1"/>
  <c r="C1323" i="2"/>
  <c r="K1323" i="2" s="1"/>
  <c r="J1322" i="2"/>
  <c r="I1323" i="2" l="1"/>
  <c r="D1323" i="2"/>
  <c r="B1323" i="2"/>
  <c r="H1323" i="2"/>
  <c r="F1323" i="2"/>
  <c r="E1323" i="2"/>
  <c r="L1323" i="2"/>
  <c r="J1323" i="2" l="1"/>
  <c r="G1323" i="2"/>
  <c r="C1324" i="2"/>
  <c r="K1324" i="2" s="1"/>
  <c r="I1324" i="2" l="1"/>
  <c r="E1324" i="2"/>
  <c r="H1324" i="2"/>
  <c r="B1324" i="2"/>
  <c r="F1324" i="2"/>
  <c r="D1324" i="2"/>
  <c r="L1324" i="2"/>
  <c r="G1324" i="2" l="1"/>
  <c r="J1324" i="2"/>
  <c r="C1325" i="2"/>
  <c r="K1325" i="2" s="1"/>
  <c r="I1325" i="2" l="1"/>
  <c r="D1325" i="2"/>
  <c r="B1325" i="2"/>
  <c r="H1325" i="2"/>
  <c r="F1325" i="2"/>
  <c r="E1325" i="2"/>
  <c r="L1325" i="2"/>
  <c r="G1325" i="2" l="1"/>
  <c r="C1326" i="2"/>
  <c r="K1326" i="2" s="1"/>
  <c r="J1325" i="2"/>
  <c r="I1326" i="2" l="1"/>
  <c r="E1326" i="2"/>
  <c r="B1326" i="2"/>
  <c r="H1326" i="2"/>
  <c r="L1326" i="2"/>
  <c r="F1326" i="2"/>
  <c r="D1326" i="2"/>
  <c r="C1327" i="2" l="1"/>
  <c r="K1327" i="2" s="1"/>
  <c r="J1326" i="2"/>
  <c r="G1326" i="2"/>
  <c r="I1327" i="2" l="1"/>
  <c r="F1327" i="2"/>
  <c r="E1327" i="2"/>
  <c r="L1327" i="2"/>
  <c r="D1327" i="2"/>
  <c r="B1327" i="2"/>
  <c r="H1327" i="2"/>
  <c r="J1327" i="2" l="1"/>
  <c r="G1327" i="2"/>
  <c r="C1328" i="2"/>
  <c r="K1328" i="2" s="1"/>
  <c r="I1328" i="2" l="1"/>
  <c r="D1328" i="2"/>
  <c r="E1328" i="2"/>
  <c r="L1328" i="2"/>
  <c r="H1328" i="2"/>
  <c r="B1328" i="2"/>
  <c r="F1328" i="2"/>
  <c r="C1329" i="2" l="1"/>
  <c r="K1329" i="2" s="1"/>
  <c r="G1328" i="2"/>
  <c r="J1328" i="2"/>
  <c r="I1329" i="2" l="1"/>
  <c r="B1329" i="2"/>
  <c r="H1329" i="2"/>
  <c r="L1329" i="2"/>
  <c r="E1329" i="2"/>
  <c r="D1329" i="2"/>
  <c r="F1329" i="2"/>
  <c r="G1329" i="2" l="1"/>
  <c r="C1330" i="2"/>
  <c r="K1330" i="2" s="1"/>
  <c r="J1329" i="2"/>
  <c r="I1330" i="2" l="1"/>
  <c r="L1330" i="2"/>
  <c r="F1330" i="2"/>
  <c r="D1330" i="2"/>
  <c r="B1330" i="2"/>
  <c r="E1330" i="2"/>
  <c r="H1330" i="2"/>
  <c r="C1331" i="2" l="1"/>
  <c r="K1331" i="2" s="1"/>
  <c r="J1330" i="2"/>
  <c r="G1330" i="2"/>
  <c r="I1331" i="2" l="1"/>
  <c r="L1331" i="2"/>
  <c r="D1331" i="2"/>
  <c r="B1331" i="2"/>
  <c r="H1331" i="2"/>
  <c r="F1331" i="2"/>
  <c r="E1331" i="2"/>
  <c r="J1331" i="2" l="1"/>
  <c r="G1331" i="2"/>
  <c r="C1332" i="2"/>
  <c r="K1332" i="2" s="1"/>
  <c r="I1332" i="2" l="1"/>
  <c r="L1332" i="2"/>
  <c r="F1332" i="2"/>
  <c r="D1332" i="2"/>
  <c r="E1332" i="2"/>
  <c r="B1332" i="2"/>
  <c r="H1332" i="2"/>
  <c r="G1332" i="2" l="1"/>
  <c r="C1333" i="2"/>
  <c r="K1333" i="2" s="1"/>
  <c r="J1332" i="2"/>
  <c r="I1333" i="2" l="1"/>
  <c r="E1333" i="2"/>
  <c r="D1333" i="2"/>
  <c r="B1333" i="2"/>
  <c r="H1333" i="2"/>
  <c r="F1333" i="2"/>
  <c r="L1333" i="2"/>
  <c r="G1333" i="2" l="1"/>
  <c r="C1334" i="2"/>
  <c r="K1334" i="2" s="1"/>
  <c r="J1333" i="2"/>
  <c r="I1334" i="2" l="1"/>
  <c r="E1334" i="2"/>
  <c r="B1334" i="2"/>
  <c r="H1334" i="2"/>
  <c r="L1334" i="2"/>
  <c r="F1334" i="2"/>
  <c r="D1334" i="2"/>
  <c r="G1334" i="2" l="1"/>
  <c r="C1335" i="2"/>
  <c r="K1335" i="2" s="1"/>
  <c r="J1334" i="2"/>
  <c r="I1335" i="2" l="1"/>
  <c r="E1335" i="2"/>
  <c r="F1335" i="2"/>
  <c r="D1335" i="2"/>
  <c r="B1335" i="2"/>
  <c r="H1335" i="2"/>
  <c r="L1335" i="2"/>
  <c r="J1335" i="2" l="1"/>
  <c r="G1335" i="2"/>
  <c r="C1336" i="2"/>
  <c r="K1336" i="2" s="1"/>
  <c r="I1336" i="2" l="1"/>
  <c r="L1336" i="2"/>
  <c r="F1336" i="2"/>
  <c r="D1336" i="2"/>
  <c r="E1336" i="2"/>
  <c r="B1336" i="2"/>
  <c r="H1336" i="2"/>
  <c r="C1337" i="2" l="1"/>
  <c r="K1337" i="2" s="1"/>
  <c r="J1336" i="2"/>
  <c r="G1336" i="2"/>
  <c r="I1337" i="2" l="1"/>
  <c r="F1337" i="2"/>
  <c r="E1337" i="2"/>
  <c r="L1337" i="2"/>
  <c r="D1337" i="2"/>
  <c r="B1337" i="2"/>
  <c r="H1337" i="2"/>
  <c r="G1337" i="2" l="1"/>
  <c r="C1338" i="2"/>
  <c r="K1338" i="2" s="1"/>
  <c r="J1337" i="2"/>
  <c r="I1338" i="2" l="1"/>
  <c r="D1338" i="2"/>
  <c r="E1338" i="2"/>
  <c r="B1338" i="2"/>
  <c r="H1338" i="2"/>
  <c r="F1338" i="2"/>
  <c r="L1338" i="2"/>
  <c r="G1338" i="2" l="1"/>
  <c r="C1339" i="2"/>
  <c r="K1339" i="2" s="1"/>
  <c r="J1338" i="2"/>
  <c r="I1339" i="2" l="1"/>
  <c r="F1339" i="2"/>
  <c r="E1339" i="2"/>
  <c r="L1339" i="2"/>
  <c r="D1339" i="2"/>
  <c r="B1339" i="2"/>
  <c r="H1339" i="2"/>
  <c r="G1339" i="2" l="1"/>
  <c r="C1340" i="2"/>
  <c r="K1340" i="2" s="1"/>
  <c r="J1339" i="2"/>
  <c r="I1340" i="2" l="1"/>
  <c r="B1340" i="2"/>
  <c r="F1340" i="2"/>
  <c r="E1340" i="2"/>
  <c r="L1340" i="2"/>
  <c r="H1340" i="2"/>
  <c r="D1340" i="2"/>
  <c r="C1341" i="2" l="1"/>
  <c r="K1341" i="2" s="1"/>
  <c r="J1340" i="2"/>
  <c r="G1340" i="2"/>
  <c r="I1341" i="2" l="1"/>
  <c r="F1341" i="2"/>
  <c r="D1341" i="2"/>
  <c r="B1341" i="2"/>
  <c r="H1341" i="2"/>
  <c r="E1341" i="2"/>
  <c r="L1341" i="2"/>
  <c r="G1341" i="2" l="1"/>
  <c r="C1342" i="2"/>
  <c r="K1342" i="2" s="1"/>
  <c r="J1341" i="2"/>
  <c r="I1342" i="2" l="1"/>
  <c r="E1342" i="2"/>
  <c r="B1342" i="2"/>
  <c r="H1342" i="2"/>
  <c r="F1342" i="2"/>
  <c r="D1342" i="2"/>
  <c r="L1342" i="2"/>
  <c r="C1343" i="2" l="1"/>
  <c r="K1343" i="2" s="1"/>
  <c r="J1342" i="2"/>
  <c r="G1342" i="2"/>
  <c r="I1343" i="2" l="1"/>
  <c r="F1343" i="2"/>
  <c r="E1343" i="2"/>
  <c r="L1343" i="2"/>
  <c r="D1343" i="2"/>
  <c r="B1343" i="2"/>
  <c r="H1343" i="2"/>
  <c r="G1343" i="2" l="1"/>
  <c r="C1344" i="2"/>
  <c r="K1344" i="2" s="1"/>
  <c r="J1343" i="2"/>
  <c r="I1344" i="2" l="1"/>
  <c r="L1344" i="2"/>
  <c r="F1344" i="2"/>
  <c r="D1344" i="2"/>
  <c r="E1344" i="2"/>
  <c r="B1344" i="2"/>
  <c r="H1344" i="2"/>
  <c r="C1345" i="2" l="1"/>
  <c r="K1345" i="2" s="1"/>
  <c r="J1344" i="2"/>
  <c r="G1344" i="2"/>
  <c r="I1345" i="2" l="1"/>
  <c r="D1345" i="2"/>
  <c r="B1345" i="2"/>
  <c r="H1345" i="2"/>
  <c r="F1345" i="2"/>
  <c r="E1345" i="2"/>
  <c r="L1345" i="2"/>
  <c r="J1345" i="2" l="1"/>
  <c r="G1345" i="2"/>
  <c r="C1346" i="2"/>
  <c r="K1346" i="2" s="1"/>
  <c r="I1346" i="2" l="1"/>
  <c r="L1346" i="2"/>
  <c r="F1346" i="2"/>
  <c r="E1346" i="2"/>
  <c r="B1346" i="2"/>
  <c r="H1346" i="2"/>
  <c r="D1346" i="2"/>
  <c r="C1347" i="2" l="1"/>
  <c r="K1347" i="2" s="1"/>
  <c r="J1346" i="2"/>
  <c r="G1346" i="2"/>
  <c r="I1347" i="2" l="1"/>
  <c r="E1347" i="2"/>
  <c r="L1347" i="2"/>
  <c r="D1347" i="2"/>
  <c r="B1347" i="2"/>
  <c r="H1347" i="2"/>
  <c r="F1347" i="2"/>
  <c r="J1347" i="2" l="1"/>
  <c r="G1347" i="2"/>
  <c r="C1348" i="2"/>
  <c r="K1348" i="2" s="1"/>
  <c r="I1348" i="2" l="1"/>
  <c r="B1348" i="2"/>
  <c r="E1348" i="2"/>
  <c r="L1348" i="2"/>
  <c r="H1348" i="2"/>
  <c r="F1348" i="2"/>
  <c r="D1348" i="2"/>
  <c r="C1349" i="2" l="1"/>
  <c r="K1349" i="2" s="1"/>
  <c r="J1348" i="2"/>
  <c r="G1348" i="2"/>
  <c r="I1349" i="2" l="1"/>
  <c r="E1349" i="2"/>
  <c r="D1349" i="2"/>
  <c r="B1349" i="2"/>
  <c r="H1349" i="2"/>
  <c r="F1349" i="2"/>
  <c r="L1349" i="2"/>
  <c r="J1349" i="2" l="1"/>
  <c r="G1349" i="2"/>
  <c r="C1350" i="2"/>
  <c r="K1350" i="2" s="1"/>
  <c r="I1350" i="2" l="1"/>
  <c r="L1350" i="2"/>
  <c r="H1350" i="2"/>
  <c r="F1350" i="2"/>
  <c r="D1350" i="2"/>
  <c r="B1350" i="2"/>
  <c r="E1350" i="2"/>
  <c r="C1351" i="2" l="1"/>
  <c r="K1351" i="2" s="1"/>
  <c r="J1350" i="2"/>
  <c r="G1350" i="2"/>
  <c r="I1351" i="2" l="1"/>
  <c r="F1351" i="2"/>
  <c r="E1351" i="2"/>
  <c r="L1351" i="2"/>
  <c r="D1351" i="2"/>
  <c r="B1351" i="2"/>
  <c r="H1351" i="2"/>
  <c r="J1351" i="2" l="1"/>
  <c r="G1351" i="2"/>
  <c r="C1352" i="2"/>
  <c r="K1352" i="2" s="1"/>
  <c r="I1352" i="2" l="1"/>
  <c r="B1352" i="2"/>
  <c r="E1352" i="2"/>
  <c r="L1352" i="2"/>
  <c r="H1352" i="2"/>
  <c r="F1352" i="2"/>
  <c r="D1352" i="2"/>
  <c r="G1352" i="2" l="1"/>
  <c r="C1353" i="2"/>
  <c r="K1353" i="2" s="1"/>
  <c r="J1352" i="2"/>
  <c r="I1353" i="2" l="1"/>
  <c r="D1353" i="2"/>
  <c r="B1353" i="2"/>
  <c r="H1353" i="2"/>
  <c r="F1353" i="2"/>
  <c r="E1353" i="2"/>
  <c r="L1353" i="2"/>
  <c r="J1353" i="2" l="1"/>
  <c r="G1353" i="2"/>
  <c r="C1354" i="2"/>
  <c r="K1354" i="2" s="1"/>
  <c r="I1354" i="2" l="1"/>
  <c r="E1354" i="2"/>
  <c r="L1354" i="2"/>
  <c r="H1354" i="2"/>
  <c r="B1354" i="2"/>
  <c r="F1354" i="2"/>
  <c r="D1354" i="2"/>
  <c r="G1354" i="2" l="1"/>
  <c r="J1354" i="2"/>
  <c r="C1355" i="2"/>
  <c r="K1355" i="2" s="1"/>
  <c r="I1355" i="2" l="1"/>
  <c r="L1355" i="2"/>
  <c r="E1355" i="2"/>
  <c r="D1355" i="2"/>
  <c r="H1355" i="2"/>
  <c r="F1355" i="2"/>
  <c r="B1355" i="2"/>
  <c r="J1355" i="2" l="1"/>
  <c r="G1355" i="2"/>
  <c r="C1356" i="2"/>
  <c r="K1356" i="2" s="1"/>
  <c r="I1356" i="2" l="1"/>
  <c r="L1356" i="2"/>
  <c r="F1356" i="2"/>
  <c r="D1356" i="2"/>
  <c r="H1356" i="2"/>
  <c r="E1356" i="2"/>
  <c r="B1356" i="2"/>
  <c r="G1356" i="2" l="1"/>
  <c r="C1357" i="2"/>
  <c r="K1357" i="2" s="1"/>
  <c r="J1356" i="2"/>
  <c r="I1357" i="2" l="1"/>
  <c r="F1357" i="2"/>
  <c r="E1357" i="2"/>
  <c r="L1357" i="2"/>
  <c r="D1357" i="2"/>
  <c r="B1357" i="2"/>
  <c r="H1357" i="2"/>
  <c r="J1357" i="2" l="1"/>
  <c r="G1357" i="2"/>
  <c r="C1358" i="2"/>
  <c r="K1358" i="2" s="1"/>
  <c r="I1358" i="2" l="1"/>
  <c r="L1358" i="2"/>
  <c r="F1358" i="2"/>
  <c r="D1358" i="2"/>
  <c r="E1358" i="2"/>
  <c r="B1358" i="2"/>
  <c r="H1358" i="2"/>
  <c r="G1358" i="2" l="1"/>
  <c r="C1359" i="2"/>
  <c r="K1359" i="2" s="1"/>
  <c r="J1358" i="2"/>
  <c r="I1359" i="2" l="1"/>
  <c r="E1359" i="2"/>
  <c r="L1359" i="2"/>
  <c r="F1359" i="2"/>
  <c r="D1359" i="2"/>
  <c r="B1359" i="2"/>
  <c r="H1359" i="2"/>
  <c r="J1359" i="2" l="1"/>
  <c r="G1359" i="2"/>
  <c r="C1360" i="2"/>
  <c r="K1360" i="2" s="1"/>
  <c r="I1360" i="2" l="1"/>
  <c r="E1360" i="2"/>
  <c r="B1360" i="2"/>
  <c r="H1360" i="2"/>
  <c r="F1360" i="2"/>
  <c r="D1360" i="2"/>
  <c r="L1360" i="2"/>
  <c r="G1360" i="2" l="1"/>
  <c r="C1361" i="2"/>
  <c r="K1361" i="2" s="1"/>
  <c r="J1360" i="2"/>
  <c r="I1361" i="2" l="1"/>
  <c r="F1361" i="2"/>
  <c r="E1361" i="2"/>
  <c r="L1361" i="2"/>
  <c r="D1361" i="2"/>
  <c r="B1361" i="2"/>
  <c r="H1361" i="2"/>
  <c r="G1361" i="2" l="1"/>
  <c r="C1362" i="2"/>
  <c r="K1362" i="2" s="1"/>
  <c r="J1361" i="2"/>
  <c r="I1362" i="2" l="1"/>
  <c r="H1362" i="2"/>
  <c r="F1362" i="2"/>
  <c r="D1362" i="2"/>
  <c r="L1362" i="2"/>
  <c r="E1362" i="2"/>
  <c r="B1362" i="2"/>
  <c r="C1363" i="2" l="1"/>
  <c r="K1363" i="2" s="1"/>
  <c r="G1362" i="2"/>
  <c r="J1362" i="2"/>
  <c r="I1363" i="2" l="1"/>
  <c r="D1363" i="2"/>
  <c r="B1363" i="2"/>
  <c r="H1363" i="2"/>
  <c r="F1363" i="2"/>
  <c r="E1363" i="2"/>
  <c r="L1363" i="2"/>
  <c r="G1363" i="2" l="1"/>
  <c r="C1364" i="2"/>
  <c r="K1364" i="2" s="1"/>
  <c r="J1363" i="2"/>
  <c r="I1364" i="2" l="1"/>
  <c r="E1364" i="2"/>
  <c r="B1364" i="2"/>
  <c r="L1364" i="2"/>
  <c r="F1364" i="2"/>
  <c r="D1364" i="2"/>
  <c r="H1364" i="2"/>
  <c r="C1365" i="2" l="1"/>
  <c r="K1365" i="2" s="1"/>
  <c r="J1364" i="2"/>
  <c r="G1364" i="2"/>
  <c r="I1365" i="2" l="1"/>
  <c r="L1365" i="2"/>
  <c r="D1365" i="2"/>
  <c r="B1365" i="2"/>
  <c r="H1365" i="2"/>
  <c r="F1365" i="2"/>
  <c r="E1365" i="2"/>
  <c r="G1365" i="2" l="1"/>
  <c r="C1366" i="2"/>
  <c r="K1366" i="2" s="1"/>
  <c r="J1365" i="2"/>
  <c r="I1366" i="2" l="1"/>
  <c r="E1366" i="2"/>
  <c r="B1366" i="2"/>
  <c r="H1366" i="2"/>
  <c r="L1366" i="2"/>
  <c r="F1366" i="2"/>
  <c r="D1366" i="2"/>
  <c r="C1367" i="2" l="1"/>
  <c r="K1367" i="2" s="1"/>
  <c r="J1366" i="2"/>
  <c r="G1366" i="2"/>
  <c r="I1367" i="2" l="1"/>
  <c r="F1367" i="2"/>
  <c r="E1367" i="2"/>
  <c r="L1367" i="2"/>
  <c r="D1367" i="2"/>
  <c r="B1367" i="2"/>
  <c r="H1367" i="2"/>
  <c r="J1367" i="2" l="1"/>
  <c r="G1367" i="2"/>
  <c r="C1368" i="2"/>
  <c r="K1368" i="2" s="1"/>
  <c r="I1368" i="2" l="1"/>
  <c r="E1368" i="2"/>
  <c r="L1368" i="2"/>
  <c r="H1368" i="2"/>
  <c r="B1368" i="2"/>
  <c r="F1368" i="2"/>
  <c r="D1368" i="2"/>
  <c r="G1368" i="2" l="1"/>
  <c r="J1368" i="2"/>
  <c r="C1369" i="2"/>
  <c r="K1369" i="2" s="1"/>
  <c r="I1369" i="2" l="1"/>
  <c r="E1369" i="2"/>
  <c r="D1369" i="2"/>
  <c r="B1369" i="2"/>
  <c r="H1369" i="2"/>
  <c r="F1369" i="2"/>
  <c r="L1369" i="2"/>
  <c r="G1369" i="2" l="1"/>
  <c r="C1370" i="2"/>
  <c r="K1370" i="2" s="1"/>
  <c r="J1369" i="2"/>
  <c r="I1370" i="2" l="1"/>
  <c r="L1370" i="2"/>
  <c r="F1370" i="2"/>
  <c r="D1370" i="2"/>
  <c r="B1370" i="2"/>
  <c r="H1370" i="2"/>
  <c r="E1370" i="2"/>
  <c r="G1370" i="2" l="1"/>
  <c r="C1371" i="2"/>
  <c r="K1371" i="2" s="1"/>
  <c r="J1370" i="2"/>
  <c r="I1371" i="2" l="1"/>
  <c r="D1371" i="2"/>
  <c r="B1371" i="2"/>
  <c r="H1371" i="2"/>
  <c r="E1371" i="2"/>
  <c r="L1371" i="2"/>
  <c r="F1371" i="2"/>
  <c r="J1371" i="2" l="1"/>
  <c r="G1371" i="2"/>
  <c r="C1372" i="2"/>
  <c r="K1372" i="2" s="1"/>
  <c r="I1372" i="2" l="1"/>
  <c r="L1372" i="2"/>
  <c r="F1372" i="2"/>
  <c r="D1372" i="2"/>
  <c r="E1372" i="2"/>
  <c r="B1372" i="2"/>
  <c r="H1372" i="2"/>
  <c r="C1373" i="2" l="1"/>
  <c r="K1373" i="2" s="1"/>
  <c r="J1372" i="2"/>
  <c r="G1372" i="2"/>
  <c r="I1373" i="2" l="1"/>
  <c r="E1373" i="2"/>
  <c r="L1373" i="2"/>
  <c r="F1373" i="2"/>
  <c r="D1373" i="2"/>
  <c r="B1373" i="2"/>
  <c r="H1373" i="2"/>
  <c r="G1373" i="2" l="1"/>
  <c r="C1374" i="2"/>
  <c r="K1374" i="2" s="1"/>
  <c r="J1373" i="2"/>
  <c r="I1374" i="2" l="1"/>
  <c r="F1374" i="2"/>
  <c r="L1374" i="2"/>
  <c r="E1374" i="2"/>
  <c r="B1374" i="2"/>
  <c r="H1374" i="2"/>
  <c r="D1374" i="2"/>
  <c r="G1374" i="2" l="1"/>
  <c r="C1375" i="2"/>
  <c r="K1375" i="2" s="1"/>
  <c r="J1374" i="2"/>
  <c r="I1375" i="2" l="1"/>
  <c r="E1375" i="2"/>
  <c r="D1375" i="2"/>
  <c r="B1375" i="2"/>
  <c r="H1375" i="2"/>
  <c r="F1375" i="2"/>
  <c r="L1375" i="2"/>
  <c r="J1375" i="2" l="1"/>
  <c r="C1376" i="2"/>
  <c r="K1376" i="2" s="1"/>
  <c r="G1375" i="2"/>
  <c r="I1376" i="2" l="1"/>
  <c r="B1376" i="2"/>
  <c r="E1376" i="2"/>
  <c r="L1376" i="2"/>
  <c r="H1376" i="2"/>
  <c r="F1376" i="2"/>
  <c r="D1376" i="2"/>
  <c r="G1376" i="2" l="1"/>
  <c r="J1376" i="2"/>
  <c r="C1377" i="2"/>
  <c r="K1377" i="2" s="1"/>
  <c r="I1377" i="2" l="1"/>
  <c r="E1377" i="2"/>
  <c r="L1377" i="2"/>
  <c r="F1377" i="2"/>
  <c r="D1377" i="2"/>
  <c r="B1377" i="2"/>
  <c r="H1377" i="2"/>
  <c r="J1377" i="2" l="1"/>
  <c r="G1377" i="2"/>
  <c r="C1378" i="2"/>
  <c r="K1378" i="2" s="1"/>
  <c r="I1378" i="2" l="1"/>
  <c r="D1378" i="2"/>
  <c r="E1378" i="2"/>
  <c r="B1378" i="2"/>
  <c r="H1378" i="2"/>
  <c r="F1378" i="2"/>
  <c r="L1378" i="2"/>
  <c r="C1379" i="2" l="1"/>
  <c r="K1379" i="2" s="1"/>
  <c r="J1378" i="2"/>
  <c r="G1378" i="2"/>
  <c r="I1379" i="2" l="1"/>
  <c r="D1379" i="2"/>
  <c r="B1379" i="2"/>
  <c r="H1379" i="2"/>
  <c r="F1379" i="2"/>
  <c r="E1379" i="2"/>
  <c r="L1379" i="2"/>
  <c r="J1379" i="2" l="1"/>
  <c r="G1379" i="2"/>
  <c r="C1380" i="2"/>
  <c r="K1380" i="2" s="1"/>
  <c r="I1380" i="2" l="1"/>
  <c r="E1380" i="2"/>
  <c r="B1380" i="2"/>
  <c r="H1380" i="2"/>
  <c r="F1380" i="2"/>
  <c r="D1380" i="2"/>
  <c r="L1380" i="2"/>
  <c r="C1381" i="2" l="1"/>
  <c r="K1381" i="2" s="1"/>
  <c r="J1380" i="2"/>
  <c r="G1380" i="2"/>
  <c r="I1381" i="2" l="1"/>
  <c r="E1381" i="2"/>
  <c r="D1381" i="2"/>
  <c r="B1381" i="2"/>
  <c r="H1381" i="2"/>
  <c r="F1381" i="2"/>
  <c r="L1381" i="2"/>
  <c r="J1381" i="2" l="1"/>
  <c r="G1381" i="2"/>
  <c r="C1382" i="2"/>
  <c r="K1382" i="2" s="1"/>
  <c r="I1382" i="2" l="1"/>
  <c r="E1382" i="2"/>
  <c r="H1382" i="2"/>
  <c r="L1382" i="2"/>
  <c r="F1382" i="2"/>
  <c r="D1382" i="2"/>
  <c r="B1382" i="2"/>
  <c r="C1383" i="2" l="1"/>
  <c r="K1383" i="2" s="1"/>
  <c r="J1382" i="2"/>
  <c r="G1382" i="2"/>
  <c r="I1383" i="2" l="1"/>
  <c r="E1383" i="2"/>
  <c r="D1383" i="2"/>
  <c r="B1383" i="2"/>
  <c r="H1383" i="2"/>
  <c r="F1383" i="2"/>
  <c r="L1383" i="2"/>
  <c r="G1383" i="2" l="1"/>
  <c r="C1384" i="2"/>
  <c r="K1384" i="2" s="1"/>
  <c r="J1383" i="2"/>
  <c r="I1384" i="2" l="1"/>
  <c r="E1384" i="2"/>
  <c r="B1384" i="2"/>
  <c r="H1384" i="2"/>
  <c r="F1384" i="2"/>
  <c r="D1384" i="2"/>
  <c r="L1384" i="2"/>
  <c r="C1385" i="2" l="1"/>
  <c r="K1385" i="2" s="1"/>
  <c r="J1384" i="2"/>
  <c r="G1384" i="2"/>
  <c r="I1385" i="2" l="1"/>
  <c r="D1385" i="2"/>
  <c r="B1385" i="2"/>
  <c r="H1385" i="2"/>
  <c r="F1385" i="2"/>
  <c r="E1385" i="2"/>
  <c r="L1385" i="2"/>
  <c r="G1385" i="2" l="1"/>
  <c r="C1386" i="2"/>
  <c r="K1386" i="2" s="1"/>
  <c r="J1385" i="2"/>
  <c r="I1386" i="2" l="1"/>
  <c r="L1386" i="2"/>
  <c r="F1386" i="2"/>
  <c r="D1386" i="2"/>
  <c r="B1386" i="2"/>
  <c r="H1386" i="2"/>
  <c r="E1386" i="2"/>
  <c r="G1386" i="2" l="1"/>
  <c r="C1387" i="2"/>
  <c r="K1387" i="2" s="1"/>
  <c r="J1386" i="2"/>
  <c r="I1387" i="2" l="1"/>
  <c r="E1387" i="2"/>
  <c r="D1387" i="2"/>
  <c r="B1387" i="2"/>
  <c r="H1387" i="2"/>
  <c r="F1387" i="2"/>
  <c r="L1387" i="2"/>
  <c r="J1387" i="2" l="1"/>
  <c r="G1387" i="2"/>
  <c r="C1388" i="2"/>
  <c r="K1388" i="2" s="1"/>
  <c r="I1388" i="2" l="1"/>
  <c r="B1388" i="2"/>
  <c r="D1388" i="2"/>
  <c r="E1388" i="2"/>
  <c r="L1388" i="2"/>
  <c r="H1388" i="2"/>
  <c r="F1388" i="2"/>
  <c r="C1389" i="2" l="1"/>
  <c r="K1389" i="2" s="1"/>
  <c r="G1388" i="2"/>
  <c r="J1388" i="2"/>
  <c r="I1389" i="2" l="1"/>
  <c r="E1389" i="2"/>
  <c r="L1389" i="2"/>
  <c r="D1389" i="2"/>
  <c r="B1389" i="2"/>
  <c r="H1389" i="2"/>
  <c r="F1389" i="2"/>
  <c r="J1389" i="2" l="1"/>
  <c r="C1390" i="2"/>
  <c r="K1390" i="2" s="1"/>
  <c r="G1389" i="2"/>
  <c r="I1390" i="2" l="1"/>
  <c r="F1390" i="2"/>
  <c r="D1390" i="2"/>
  <c r="L1390" i="2"/>
  <c r="E1390" i="2"/>
  <c r="B1390" i="2"/>
  <c r="H1390" i="2"/>
  <c r="G1390" i="2" l="1"/>
  <c r="C1391" i="2"/>
  <c r="K1391" i="2" s="1"/>
  <c r="J1390" i="2"/>
  <c r="I1391" i="2" l="1"/>
  <c r="D1391" i="2"/>
  <c r="B1391" i="2"/>
  <c r="H1391" i="2"/>
  <c r="F1391" i="2"/>
  <c r="E1391" i="2"/>
  <c r="L1391" i="2"/>
  <c r="J1391" i="2" l="1"/>
  <c r="G1391" i="2"/>
  <c r="C1392" i="2"/>
  <c r="K1392" i="2" s="1"/>
  <c r="I1392" i="2" l="1"/>
  <c r="E1392" i="2"/>
  <c r="B1392" i="2"/>
  <c r="H1392" i="2"/>
  <c r="F1392" i="2"/>
  <c r="D1392" i="2"/>
  <c r="L1392" i="2"/>
  <c r="C1393" i="2" l="1"/>
  <c r="K1393" i="2" s="1"/>
  <c r="J1392" i="2"/>
  <c r="G1392" i="2"/>
  <c r="I1393" i="2" l="1"/>
  <c r="F1393" i="2"/>
  <c r="E1393" i="2"/>
  <c r="L1393" i="2"/>
  <c r="D1393" i="2"/>
  <c r="B1393" i="2"/>
  <c r="H1393" i="2"/>
  <c r="J1393" i="2" l="1"/>
  <c r="G1393" i="2"/>
  <c r="C1394" i="2"/>
  <c r="K1394" i="2" s="1"/>
  <c r="I1394" i="2" l="1"/>
  <c r="H1394" i="2"/>
  <c r="F1394" i="2"/>
  <c r="D1394" i="2"/>
  <c r="L1394" i="2"/>
  <c r="E1394" i="2"/>
  <c r="B1394" i="2"/>
  <c r="G1394" i="2" l="1"/>
  <c r="C1395" i="2"/>
  <c r="K1395" i="2" s="1"/>
  <c r="J1394" i="2"/>
  <c r="I1395" i="2" l="1"/>
  <c r="L1395" i="2"/>
  <c r="D1395" i="2"/>
  <c r="B1395" i="2"/>
  <c r="H1395" i="2"/>
  <c r="F1395" i="2"/>
  <c r="E1395" i="2"/>
  <c r="G1395" i="2" l="1"/>
  <c r="C1396" i="2"/>
  <c r="K1396" i="2" s="1"/>
  <c r="J1395" i="2"/>
  <c r="I1396" i="2" l="1"/>
  <c r="F1396" i="2"/>
  <c r="D1396" i="2"/>
  <c r="L1396" i="2"/>
  <c r="E1396" i="2"/>
  <c r="B1396" i="2"/>
  <c r="H1396" i="2"/>
  <c r="G1396" i="2" l="1"/>
  <c r="C1397" i="2"/>
  <c r="K1397" i="2" s="1"/>
  <c r="J1396" i="2"/>
  <c r="I1397" i="2" l="1"/>
  <c r="F1397" i="2"/>
  <c r="D1397" i="2"/>
  <c r="B1397" i="2"/>
  <c r="H1397" i="2"/>
  <c r="E1397" i="2"/>
  <c r="L1397" i="2"/>
  <c r="G1397" i="2" l="1"/>
  <c r="C1398" i="2"/>
  <c r="K1398" i="2" s="1"/>
  <c r="J1397" i="2"/>
  <c r="I1398" i="2" l="1"/>
  <c r="E1398" i="2"/>
  <c r="B1398" i="2"/>
  <c r="H1398" i="2"/>
  <c r="F1398" i="2"/>
  <c r="D1398" i="2"/>
  <c r="L1398" i="2"/>
  <c r="C1399" i="2" l="1"/>
  <c r="K1399" i="2" s="1"/>
  <c r="J1398" i="2"/>
  <c r="G1398" i="2"/>
  <c r="I1399" i="2" l="1"/>
  <c r="F1399" i="2"/>
  <c r="E1399" i="2"/>
  <c r="L1399" i="2"/>
  <c r="H1399" i="2"/>
  <c r="D1399" i="2"/>
  <c r="B1399" i="2"/>
  <c r="J1399" i="2" l="1"/>
  <c r="G1399" i="2"/>
  <c r="C1400" i="2"/>
  <c r="K1400" i="2" s="1"/>
  <c r="I1400" i="2" l="1"/>
  <c r="B1400" i="2"/>
  <c r="F1400" i="2"/>
  <c r="D1400" i="2"/>
  <c r="E1400" i="2"/>
  <c r="L1400" i="2"/>
  <c r="H1400" i="2"/>
  <c r="C1401" i="2" l="1"/>
  <c r="K1401" i="2" s="1"/>
  <c r="G1400" i="2"/>
  <c r="J1400" i="2"/>
  <c r="I1401" i="2" l="1"/>
  <c r="D1401" i="2"/>
  <c r="B1401" i="2"/>
  <c r="H1401" i="2"/>
  <c r="F1401" i="2"/>
  <c r="E1401" i="2"/>
  <c r="L1401" i="2"/>
  <c r="J1401" i="2" l="1"/>
  <c r="G1401" i="2"/>
  <c r="C1402" i="2"/>
  <c r="K1402" i="2" s="1"/>
  <c r="I1402" i="2" l="1"/>
  <c r="L1402" i="2"/>
  <c r="F1402" i="2"/>
  <c r="D1402" i="2"/>
  <c r="E1402" i="2"/>
  <c r="H1402" i="2"/>
  <c r="B1402" i="2"/>
  <c r="G1402" i="2" l="1"/>
  <c r="C1403" i="2"/>
  <c r="K1403" i="2" s="1"/>
  <c r="J1402" i="2"/>
  <c r="I1403" i="2" l="1"/>
  <c r="F1403" i="2"/>
  <c r="E1403" i="2"/>
  <c r="L1403" i="2"/>
  <c r="D1403" i="2"/>
  <c r="B1403" i="2"/>
  <c r="H1403" i="2"/>
  <c r="J1403" i="2" l="1"/>
  <c r="G1403" i="2"/>
  <c r="C1404" i="2"/>
  <c r="K1404" i="2" s="1"/>
  <c r="I1404" i="2" l="1"/>
  <c r="L1404" i="2"/>
  <c r="F1404" i="2"/>
  <c r="D1404" i="2"/>
  <c r="B1404" i="2"/>
  <c r="E1404" i="2"/>
  <c r="H1404" i="2"/>
  <c r="C1405" i="2" l="1"/>
  <c r="K1405" i="2" s="1"/>
  <c r="J1404" i="2"/>
  <c r="G1404" i="2"/>
  <c r="I1405" i="2" l="1"/>
  <c r="E1405" i="2"/>
  <c r="L1405" i="2"/>
  <c r="D1405" i="2"/>
  <c r="B1405" i="2"/>
  <c r="H1405" i="2"/>
  <c r="F1405" i="2"/>
  <c r="G1405" i="2" l="1"/>
  <c r="C1406" i="2"/>
  <c r="K1406" i="2" s="1"/>
  <c r="J1405" i="2"/>
  <c r="I1406" i="2" l="1"/>
  <c r="F1406" i="2"/>
  <c r="B1406" i="2"/>
  <c r="E1406" i="2"/>
  <c r="D1406" i="2"/>
  <c r="L1406" i="2"/>
  <c r="H1406" i="2"/>
  <c r="C1407" i="2" l="1"/>
  <c r="K1407" i="2" s="1"/>
  <c r="J1406" i="2"/>
  <c r="G1406" i="2"/>
  <c r="I1407" i="2" l="1"/>
  <c r="E1407" i="2"/>
  <c r="L1407" i="2"/>
  <c r="B1407" i="2"/>
  <c r="F1407" i="2"/>
  <c r="D1407" i="2"/>
  <c r="H1407" i="2"/>
  <c r="C1408" i="2" l="1"/>
  <c r="K1408" i="2" s="1"/>
  <c r="J1407" i="2"/>
  <c r="G1407" i="2"/>
  <c r="I1408" i="2" l="1"/>
  <c r="L1408" i="2"/>
  <c r="F1408" i="2"/>
  <c r="D1408" i="2"/>
  <c r="E1408" i="2"/>
  <c r="B1408" i="2"/>
  <c r="H1408" i="2"/>
  <c r="C1409" i="2" l="1"/>
  <c r="K1409" i="2" s="1"/>
  <c r="J1408" i="2"/>
  <c r="G1408" i="2"/>
  <c r="I1409" i="2" l="1"/>
  <c r="B1409" i="2"/>
  <c r="F1409" i="2"/>
  <c r="E1409" i="2"/>
  <c r="L1409" i="2"/>
  <c r="D1409" i="2"/>
  <c r="H1409" i="2"/>
  <c r="G1409" i="2" l="1"/>
  <c r="C1410" i="2"/>
  <c r="K1410" i="2" s="1"/>
  <c r="J1409" i="2"/>
  <c r="I1410" i="2" l="1"/>
  <c r="E1410" i="2"/>
  <c r="B1410" i="2"/>
  <c r="H1410" i="2"/>
  <c r="L1410" i="2"/>
  <c r="F1410" i="2"/>
  <c r="D1410" i="2"/>
  <c r="C1411" i="2" l="1"/>
  <c r="K1411" i="2" s="1"/>
  <c r="G1410" i="2"/>
  <c r="J1410" i="2"/>
  <c r="I1411" i="2" l="1"/>
  <c r="F1411" i="2"/>
  <c r="E1411" i="2"/>
  <c r="L1411" i="2"/>
  <c r="D1411" i="2"/>
  <c r="B1411" i="2"/>
  <c r="H1411" i="2"/>
  <c r="G1411" i="2" l="1"/>
  <c r="C1412" i="2"/>
  <c r="K1412" i="2" s="1"/>
  <c r="J1411" i="2"/>
  <c r="I1412" i="2" l="1"/>
  <c r="L1412" i="2"/>
  <c r="F1412" i="2"/>
  <c r="D1412" i="2"/>
  <c r="E1412" i="2"/>
  <c r="H1412" i="2"/>
  <c r="B1412" i="2"/>
  <c r="C1413" i="2" l="1"/>
  <c r="K1413" i="2" s="1"/>
  <c r="J1412" i="2"/>
  <c r="G1412" i="2"/>
  <c r="I1413" i="2" l="1"/>
  <c r="D1413" i="2"/>
  <c r="B1413" i="2"/>
  <c r="H1413" i="2"/>
  <c r="F1413" i="2"/>
  <c r="E1413" i="2"/>
  <c r="L1413" i="2"/>
  <c r="J1413" i="2" l="1"/>
  <c r="G1413" i="2"/>
  <c r="C1414" i="2"/>
  <c r="K1414" i="2" s="1"/>
  <c r="I1414" i="2" l="1"/>
  <c r="B1414" i="2"/>
  <c r="F1414" i="2"/>
  <c r="D1414" i="2"/>
  <c r="L1414" i="2"/>
  <c r="E1414" i="2"/>
  <c r="H1414" i="2"/>
  <c r="C1415" i="2" l="1"/>
  <c r="K1415" i="2" s="1"/>
  <c r="G1414" i="2"/>
  <c r="J1414" i="2"/>
  <c r="I1415" i="2" l="1"/>
  <c r="H1415" i="2"/>
  <c r="D1415" i="2"/>
  <c r="B1415" i="2"/>
  <c r="E1415" i="2"/>
  <c r="L1415" i="2"/>
  <c r="F1415" i="2"/>
  <c r="G1415" i="2" l="1"/>
  <c r="C1416" i="2"/>
  <c r="K1416" i="2" s="1"/>
  <c r="J1415" i="2"/>
  <c r="I1416" i="2" l="1"/>
  <c r="L1416" i="2"/>
  <c r="F1416" i="2"/>
  <c r="D1416" i="2"/>
  <c r="E1416" i="2"/>
  <c r="B1416" i="2"/>
  <c r="H1416" i="2"/>
  <c r="C1417" i="2" l="1"/>
  <c r="K1417" i="2" s="1"/>
  <c r="J1416" i="2"/>
  <c r="G1416" i="2"/>
  <c r="I1417" i="2" l="1"/>
  <c r="D1417" i="2"/>
  <c r="B1417" i="2"/>
  <c r="H1417" i="2"/>
  <c r="F1417" i="2"/>
  <c r="E1417" i="2"/>
  <c r="L1417" i="2"/>
  <c r="J1417" i="2" l="1"/>
  <c r="G1417" i="2"/>
  <c r="C1418" i="2"/>
  <c r="K1418" i="2" s="1"/>
  <c r="I1418" i="2" l="1"/>
  <c r="L1418" i="2"/>
  <c r="F1418" i="2"/>
  <c r="D1418" i="2"/>
  <c r="B1418" i="2"/>
  <c r="E1418" i="2"/>
  <c r="H1418" i="2"/>
  <c r="J1418" i="2" l="1"/>
  <c r="G1418" i="2"/>
  <c r="C1419" i="2"/>
  <c r="K1419" i="2" s="1"/>
  <c r="I1419" i="2" l="1"/>
  <c r="D1419" i="2"/>
  <c r="B1419" i="2"/>
  <c r="H1419" i="2"/>
  <c r="F1419" i="2"/>
  <c r="E1419" i="2"/>
  <c r="L1419" i="2"/>
  <c r="G1419" i="2" l="1"/>
  <c r="C1420" i="2"/>
  <c r="K1420" i="2" s="1"/>
  <c r="J1419" i="2"/>
  <c r="I1420" i="2" l="1"/>
  <c r="B1420" i="2"/>
  <c r="E1420" i="2"/>
  <c r="L1420" i="2"/>
  <c r="H1420" i="2"/>
  <c r="F1420" i="2"/>
  <c r="D1420" i="2"/>
  <c r="G1420" i="2" l="1"/>
  <c r="J1420" i="2"/>
  <c r="C1421" i="2"/>
  <c r="K1421" i="2" s="1"/>
  <c r="I1421" i="2" l="1"/>
  <c r="D1421" i="2"/>
  <c r="B1421" i="2"/>
  <c r="H1421" i="2"/>
  <c r="F1421" i="2"/>
  <c r="E1421" i="2"/>
  <c r="L1421" i="2"/>
  <c r="J1421" i="2" l="1"/>
  <c r="G1421" i="2"/>
  <c r="C1422" i="2"/>
  <c r="K1422" i="2" s="1"/>
  <c r="I1422" i="2" l="1"/>
  <c r="F1422" i="2"/>
  <c r="D1422" i="2"/>
  <c r="L1422" i="2"/>
  <c r="E1422" i="2"/>
  <c r="H1422" i="2"/>
  <c r="B1422" i="2"/>
  <c r="C1423" i="2" l="1"/>
  <c r="K1423" i="2" s="1"/>
  <c r="J1422" i="2"/>
  <c r="G1422" i="2"/>
  <c r="I1423" i="2" l="1"/>
  <c r="F1423" i="2"/>
  <c r="E1423" i="2"/>
  <c r="L1423" i="2"/>
  <c r="H1423" i="2"/>
  <c r="D1423" i="2"/>
  <c r="B1423" i="2"/>
  <c r="G1423" i="2" l="1"/>
  <c r="C1424" i="2"/>
  <c r="K1424" i="2" s="1"/>
  <c r="J1423" i="2"/>
  <c r="I1424" i="2" l="1"/>
  <c r="E1424" i="2"/>
  <c r="B1424" i="2"/>
  <c r="H1424" i="2"/>
  <c r="L1424" i="2"/>
  <c r="F1424" i="2"/>
  <c r="D1424" i="2"/>
  <c r="C1425" i="2" l="1"/>
  <c r="K1425" i="2" s="1"/>
  <c r="J1424" i="2"/>
  <c r="G1424" i="2"/>
  <c r="I1425" i="2" l="1"/>
  <c r="D1425" i="2"/>
  <c r="B1425" i="2"/>
  <c r="F1425" i="2"/>
  <c r="E1425" i="2"/>
  <c r="L1425" i="2"/>
  <c r="H1425" i="2"/>
  <c r="C1426" i="2" l="1"/>
  <c r="K1426" i="2" s="1"/>
  <c r="J1425" i="2"/>
  <c r="G1425" i="2"/>
  <c r="I1426" i="2" l="1"/>
  <c r="B1426" i="2"/>
  <c r="F1426" i="2"/>
  <c r="D1426" i="2"/>
  <c r="E1426" i="2"/>
  <c r="L1426" i="2"/>
  <c r="H1426" i="2"/>
  <c r="C1427" i="2" l="1"/>
  <c r="K1427" i="2" s="1"/>
  <c r="G1426" i="2"/>
  <c r="J1426" i="2"/>
  <c r="I1427" i="2" l="1"/>
  <c r="E1427" i="2"/>
  <c r="D1427" i="2"/>
  <c r="B1427" i="2"/>
  <c r="H1427" i="2"/>
  <c r="F1427" i="2"/>
  <c r="L1427" i="2"/>
  <c r="G1427" i="2" l="1"/>
  <c r="C1428" i="2"/>
  <c r="K1428" i="2" s="1"/>
  <c r="J1427" i="2"/>
  <c r="I1428" i="2" l="1"/>
  <c r="E1428" i="2"/>
  <c r="B1428" i="2"/>
  <c r="H1428" i="2"/>
  <c r="L1428" i="2"/>
  <c r="F1428" i="2"/>
  <c r="D1428" i="2"/>
  <c r="C1429" i="2" l="1"/>
  <c r="K1429" i="2" s="1"/>
  <c r="J1428" i="2"/>
  <c r="G1428" i="2"/>
  <c r="I1429" i="2" l="1"/>
  <c r="F1429" i="2"/>
  <c r="E1429" i="2"/>
  <c r="L1429" i="2"/>
  <c r="D1429" i="2"/>
  <c r="B1429" i="2"/>
  <c r="H1429" i="2"/>
  <c r="J1429" i="2" l="1"/>
  <c r="G1429" i="2"/>
  <c r="C1430" i="2"/>
  <c r="K1430" i="2" s="1"/>
  <c r="I1430" i="2" l="1"/>
  <c r="L1430" i="2"/>
  <c r="D1430" i="2"/>
  <c r="E1430" i="2"/>
  <c r="B1430" i="2"/>
  <c r="H1430" i="2"/>
  <c r="F1430" i="2"/>
  <c r="G1430" i="2" l="1"/>
  <c r="C1431" i="2"/>
  <c r="K1431" i="2" s="1"/>
  <c r="J1430" i="2"/>
  <c r="I1431" i="2" l="1"/>
  <c r="H1431" i="2"/>
  <c r="E1431" i="2"/>
  <c r="L1431" i="2"/>
  <c r="D1431" i="2"/>
  <c r="B1431" i="2"/>
  <c r="F1431" i="2"/>
  <c r="J1431" i="2" l="1"/>
  <c r="G1431" i="2"/>
  <c r="C1432" i="2"/>
  <c r="K1432" i="2" s="1"/>
  <c r="I1432" i="2" l="1"/>
  <c r="D1432" i="2"/>
  <c r="E1432" i="2"/>
  <c r="L1432" i="2"/>
  <c r="H1432" i="2"/>
  <c r="F1432" i="2"/>
  <c r="B1432" i="2"/>
  <c r="G1432" i="2" l="1"/>
  <c r="C1433" i="2"/>
  <c r="K1433" i="2" s="1"/>
  <c r="J1432" i="2"/>
  <c r="I1433" i="2" l="1"/>
  <c r="D1433" i="2"/>
  <c r="L1433" i="2"/>
  <c r="E1433" i="2"/>
  <c r="B1433" i="2"/>
  <c r="H1433" i="2"/>
  <c r="F1433" i="2"/>
  <c r="G1433" i="2" l="1"/>
  <c r="C1434" i="2"/>
  <c r="K1434" i="2" s="1"/>
  <c r="J1433" i="2"/>
  <c r="I1434" i="2" l="1"/>
  <c r="E1434" i="2"/>
  <c r="B1434" i="2"/>
  <c r="H1434" i="2"/>
  <c r="F1434" i="2"/>
  <c r="D1434" i="2"/>
  <c r="L1434" i="2"/>
  <c r="C1435" i="2" l="1"/>
  <c r="K1435" i="2" s="1"/>
  <c r="J1434" i="2"/>
  <c r="G1434" i="2"/>
  <c r="I1435" i="2" l="1"/>
  <c r="D1435" i="2"/>
  <c r="B1435" i="2"/>
  <c r="H1435" i="2"/>
  <c r="F1435" i="2"/>
  <c r="E1435" i="2"/>
  <c r="L1435" i="2"/>
  <c r="G1435" i="2" l="1"/>
  <c r="C1436" i="2"/>
  <c r="K1436" i="2" s="1"/>
  <c r="J1435" i="2"/>
  <c r="I1436" i="2" l="1"/>
  <c r="L1436" i="2"/>
  <c r="F1436" i="2"/>
  <c r="D1436" i="2"/>
  <c r="E1436" i="2"/>
  <c r="B1436" i="2"/>
  <c r="H1436" i="2"/>
  <c r="G1436" i="2" l="1"/>
  <c r="C1437" i="2"/>
  <c r="K1437" i="2" s="1"/>
  <c r="J1436" i="2"/>
  <c r="I1437" i="2" l="1"/>
  <c r="D1437" i="2"/>
  <c r="B1437" i="2"/>
  <c r="H1437" i="2"/>
  <c r="F1437" i="2"/>
  <c r="L1437" i="2"/>
  <c r="E1437" i="2"/>
  <c r="J1437" i="2" l="1"/>
  <c r="C1438" i="2"/>
  <c r="K1438" i="2" s="1"/>
  <c r="G1437" i="2"/>
  <c r="I1438" i="2" l="1"/>
  <c r="E1438" i="2"/>
  <c r="B1438" i="2"/>
  <c r="H1438" i="2"/>
  <c r="F1438" i="2"/>
  <c r="D1438" i="2"/>
  <c r="L1438" i="2"/>
  <c r="C1439" i="2" l="1"/>
  <c r="K1439" i="2" s="1"/>
  <c r="J1438" i="2"/>
  <c r="G1438" i="2"/>
  <c r="I1439" i="2" l="1"/>
  <c r="D1439" i="2"/>
  <c r="B1439" i="2"/>
  <c r="H1439" i="2"/>
  <c r="F1439" i="2"/>
  <c r="E1439" i="2"/>
  <c r="L1439" i="2"/>
  <c r="G1439" i="2" l="1"/>
  <c r="J1439" i="2"/>
  <c r="C1440" i="2"/>
  <c r="K1440" i="2" s="1"/>
  <c r="I1440" i="2" l="1"/>
  <c r="H1440" i="2"/>
  <c r="F1440" i="2"/>
  <c r="D1440" i="2"/>
  <c r="B1440" i="2"/>
  <c r="E1440" i="2"/>
  <c r="L1440" i="2"/>
  <c r="C1441" i="2" l="1"/>
  <c r="K1441" i="2" s="1"/>
  <c r="G1440" i="2"/>
  <c r="J1440" i="2"/>
  <c r="I1441" i="2" l="1"/>
  <c r="D1441" i="2"/>
  <c r="B1441" i="2"/>
  <c r="H1441" i="2"/>
  <c r="E1441" i="2"/>
  <c r="F1441" i="2"/>
  <c r="L1441" i="2"/>
  <c r="G1441" i="2" l="1"/>
  <c r="C1442" i="2"/>
  <c r="K1442" i="2" s="1"/>
  <c r="J1441" i="2"/>
  <c r="I1442" i="2" l="1"/>
  <c r="E1442" i="2"/>
  <c r="B1442" i="2"/>
  <c r="H1442" i="2"/>
  <c r="D1442" i="2"/>
  <c r="F1442" i="2"/>
  <c r="L1442" i="2"/>
  <c r="C1443" i="2" l="1"/>
  <c r="K1443" i="2" s="1"/>
  <c r="J1442" i="2"/>
  <c r="G1442" i="2"/>
  <c r="I1443" i="2" l="1"/>
  <c r="E1443" i="2"/>
  <c r="L1443" i="2"/>
  <c r="H1443" i="2"/>
  <c r="F1443" i="2"/>
  <c r="D1443" i="2"/>
  <c r="B1443" i="2"/>
  <c r="G1443" i="2" l="1"/>
  <c r="C1444" i="2"/>
  <c r="K1444" i="2" s="1"/>
  <c r="J1443" i="2"/>
  <c r="I1444" i="2" l="1"/>
  <c r="E1444" i="2"/>
  <c r="B1444" i="2"/>
  <c r="H1444" i="2"/>
  <c r="L1444" i="2"/>
  <c r="F1444" i="2"/>
  <c r="D1444" i="2"/>
  <c r="C1445" i="2" l="1"/>
  <c r="K1445" i="2" s="1"/>
  <c r="J1444" i="2"/>
  <c r="G1444" i="2"/>
  <c r="I1445" i="2" l="1"/>
  <c r="F1445" i="2"/>
  <c r="E1445" i="2"/>
  <c r="L1445" i="2"/>
  <c r="D1445" i="2"/>
  <c r="B1445" i="2"/>
  <c r="H1445" i="2"/>
  <c r="J1445" i="2" l="1"/>
  <c r="G1445" i="2"/>
  <c r="C1446" i="2"/>
  <c r="K1446" i="2" s="1"/>
  <c r="I1446" i="2" l="1"/>
  <c r="L1446" i="2"/>
  <c r="E1446" i="2"/>
  <c r="B1446" i="2"/>
  <c r="H1446" i="2"/>
  <c r="F1446" i="2"/>
  <c r="D1446" i="2"/>
  <c r="C1447" i="2" l="1"/>
  <c r="K1447" i="2" s="1"/>
  <c r="J1446" i="2"/>
  <c r="G1446" i="2"/>
  <c r="I1447" i="2" l="1"/>
  <c r="D1447" i="2"/>
  <c r="B1447" i="2"/>
  <c r="H1447" i="2"/>
  <c r="F1447" i="2"/>
  <c r="E1447" i="2"/>
  <c r="L1447" i="2"/>
  <c r="J1447" i="2" l="1"/>
  <c r="G1447" i="2"/>
  <c r="C1448" i="2"/>
  <c r="K1448" i="2" s="1"/>
  <c r="I1448" i="2" l="1"/>
  <c r="H1448" i="2"/>
  <c r="F1448" i="2"/>
  <c r="D1448" i="2"/>
  <c r="L1448" i="2"/>
  <c r="E1448" i="2"/>
  <c r="B1448" i="2"/>
  <c r="C1449" i="2" l="1"/>
  <c r="K1449" i="2" s="1"/>
  <c r="J1448" i="2"/>
  <c r="G1448" i="2"/>
  <c r="I1449" i="2" l="1"/>
  <c r="F1449" i="2"/>
  <c r="E1449" i="2"/>
  <c r="L1449" i="2"/>
  <c r="D1449" i="2"/>
  <c r="B1449" i="2"/>
  <c r="H1449" i="2"/>
  <c r="J1449" i="2" l="1"/>
  <c r="G1449" i="2"/>
  <c r="C1450" i="2"/>
  <c r="K1450" i="2" s="1"/>
  <c r="I1450" i="2" l="1"/>
  <c r="E1450" i="2"/>
  <c r="B1450" i="2"/>
  <c r="H1450" i="2"/>
  <c r="L1450" i="2"/>
  <c r="F1450" i="2"/>
  <c r="D1450" i="2"/>
  <c r="G1450" i="2" l="1"/>
  <c r="C1451" i="2"/>
  <c r="K1451" i="2" s="1"/>
  <c r="J1450" i="2"/>
  <c r="I1451" i="2" l="1"/>
  <c r="L1451" i="2"/>
  <c r="D1451" i="2"/>
  <c r="B1451" i="2"/>
  <c r="H1451" i="2"/>
  <c r="E1451" i="2"/>
  <c r="F1451" i="2"/>
  <c r="G1451" i="2" l="1"/>
  <c r="C1452" i="2"/>
  <c r="K1452" i="2" s="1"/>
  <c r="J1451" i="2"/>
  <c r="I1452" i="2" l="1"/>
  <c r="L1452" i="2"/>
  <c r="F1452" i="2"/>
  <c r="D1452" i="2"/>
  <c r="E1452" i="2"/>
  <c r="B1452" i="2"/>
  <c r="H1452" i="2"/>
  <c r="C1453" i="2" l="1"/>
  <c r="K1453" i="2" s="1"/>
  <c r="G1452" i="2"/>
  <c r="J1452" i="2"/>
  <c r="I1453" i="2" l="1"/>
  <c r="E1453" i="2"/>
  <c r="L1453" i="2"/>
  <c r="D1453" i="2"/>
  <c r="B1453" i="2"/>
  <c r="H1453" i="2"/>
  <c r="F1453" i="2"/>
  <c r="C1454" i="2" l="1"/>
  <c r="K1454" i="2" s="1"/>
  <c r="J1453" i="2"/>
  <c r="G1453" i="2"/>
  <c r="I1454" i="2" l="1"/>
  <c r="L1454" i="2"/>
  <c r="H1454" i="2"/>
  <c r="F1454" i="2"/>
  <c r="D1454" i="2"/>
  <c r="B1454" i="2"/>
  <c r="E1454" i="2"/>
  <c r="G1454" i="2" l="1"/>
  <c r="C1455" i="2"/>
  <c r="K1455" i="2" s="1"/>
  <c r="J1454" i="2"/>
  <c r="I1455" i="2" l="1"/>
  <c r="D1455" i="2"/>
  <c r="B1455" i="2"/>
  <c r="H1455" i="2"/>
  <c r="F1455" i="2"/>
  <c r="E1455" i="2"/>
  <c r="L1455" i="2"/>
  <c r="G1455" i="2" l="1"/>
  <c r="J1455" i="2"/>
  <c r="C1456" i="2"/>
  <c r="K1456" i="2" s="1"/>
  <c r="I1456" i="2" l="1"/>
  <c r="L1456" i="2"/>
  <c r="F1456" i="2"/>
  <c r="D1456" i="2"/>
  <c r="H1456" i="2"/>
  <c r="E1456" i="2"/>
  <c r="B1456" i="2"/>
  <c r="C1457" i="2" l="1"/>
  <c r="K1457" i="2" s="1"/>
  <c r="J1456" i="2"/>
  <c r="G1456" i="2"/>
  <c r="I1457" i="2" l="1"/>
  <c r="L1457" i="2"/>
  <c r="E1457" i="2"/>
  <c r="D1457" i="2"/>
  <c r="H1457" i="2"/>
  <c r="F1457" i="2"/>
  <c r="B1457" i="2"/>
  <c r="J1457" i="2" l="1"/>
  <c r="G1457" i="2"/>
  <c r="C1458" i="2"/>
  <c r="K1458" i="2" s="1"/>
  <c r="I1458" i="2" l="1"/>
  <c r="E1458" i="2"/>
  <c r="L1458" i="2"/>
  <c r="H1458" i="2"/>
  <c r="B1458" i="2"/>
  <c r="F1458" i="2"/>
  <c r="D1458" i="2"/>
  <c r="C1459" i="2" l="1"/>
  <c r="K1459" i="2" s="1"/>
  <c r="G1458" i="2"/>
  <c r="J1458" i="2"/>
  <c r="I1459" i="2" l="1"/>
  <c r="E1459" i="2"/>
  <c r="L1459" i="2"/>
  <c r="D1459" i="2"/>
  <c r="B1459" i="2"/>
  <c r="H1459" i="2"/>
  <c r="F1459" i="2"/>
  <c r="G1459" i="2" l="1"/>
  <c r="C1460" i="2"/>
  <c r="K1460" i="2" s="1"/>
  <c r="J1459" i="2"/>
  <c r="I1460" i="2" l="1"/>
  <c r="L1460" i="2"/>
  <c r="D1460" i="2"/>
  <c r="E1460" i="2"/>
  <c r="B1460" i="2"/>
  <c r="H1460" i="2"/>
  <c r="F1460" i="2"/>
  <c r="C1461" i="2" l="1"/>
  <c r="K1461" i="2" s="1"/>
  <c r="J1460" i="2"/>
  <c r="G1460" i="2"/>
  <c r="I1461" i="2" l="1"/>
  <c r="D1461" i="2"/>
  <c r="B1461" i="2"/>
  <c r="H1461" i="2"/>
  <c r="F1461" i="2"/>
  <c r="L1461" i="2"/>
  <c r="E1461" i="2"/>
  <c r="G1461" i="2" l="1"/>
  <c r="C1462" i="2"/>
  <c r="K1462" i="2" s="1"/>
  <c r="J1461" i="2"/>
  <c r="I1462" i="2" l="1"/>
  <c r="E1462" i="2"/>
  <c r="B1462" i="2"/>
  <c r="H1462" i="2"/>
  <c r="D1462" i="2"/>
  <c r="L1462" i="2"/>
  <c r="F1462" i="2"/>
  <c r="J1462" i="2" l="1"/>
  <c r="G1462" i="2"/>
  <c r="C1463" i="2"/>
  <c r="K1463" i="2" s="1"/>
  <c r="I1463" i="2" l="1"/>
  <c r="E1463" i="2"/>
  <c r="D1463" i="2"/>
  <c r="B1463" i="2"/>
  <c r="H1463" i="2"/>
  <c r="F1463" i="2"/>
  <c r="L1463" i="2"/>
  <c r="G1463" i="2" l="1"/>
  <c r="C1464" i="2"/>
  <c r="K1464" i="2" s="1"/>
  <c r="J1463" i="2"/>
  <c r="I1464" i="2" l="1"/>
  <c r="E1464" i="2"/>
  <c r="L1464" i="2"/>
  <c r="F1464" i="2"/>
  <c r="D1464" i="2"/>
  <c r="B1464" i="2"/>
  <c r="H1464" i="2"/>
  <c r="J1464" i="2" l="1"/>
  <c r="G1464" i="2"/>
  <c r="C1465" i="2"/>
  <c r="K1465" i="2" s="1"/>
  <c r="I1465" i="2" l="1"/>
  <c r="D1465" i="2"/>
  <c r="L1465" i="2"/>
  <c r="H1465" i="2"/>
  <c r="F1465" i="2"/>
  <c r="B1465" i="2"/>
  <c r="E1465" i="2"/>
  <c r="J1465" i="2" l="1"/>
  <c r="G1465" i="2"/>
  <c r="C1466" i="2"/>
  <c r="K1466" i="2" s="1"/>
  <c r="I1466" i="2" l="1"/>
  <c r="D1466" i="2"/>
  <c r="H1466" i="2"/>
  <c r="F1466" i="2"/>
  <c r="L1466" i="2"/>
  <c r="E1466" i="2"/>
  <c r="B1466" i="2"/>
  <c r="J1466" i="2" l="1"/>
  <c r="G1466" i="2"/>
  <c r="C1467" i="2"/>
  <c r="K1467" i="2" s="1"/>
  <c r="I1467" i="2" l="1"/>
  <c r="L1467" i="2"/>
  <c r="D1467" i="2"/>
  <c r="B1467" i="2"/>
  <c r="H1467" i="2"/>
  <c r="F1467" i="2"/>
  <c r="E1467" i="2"/>
  <c r="C1468" i="2" l="1"/>
  <c r="K1468" i="2" s="1"/>
  <c r="J1467" i="2"/>
  <c r="G1467" i="2"/>
  <c r="I1468" i="2" l="1"/>
  <c r="D1468" i="2"/>
  <c r="E1468" i="2"/>
  <c r="L1468" i="2"/>
  <c r="F1468" i="2"/>
  <c r="B1468" i="2"/>
  <c r="H1468" i="2"/>
  <c r="G1468" i="2" l="1"/>
  <c r="C1469" i="2"/>
  <c r="K1469" i="2" s="1"/>
  <c r="J1468" i="2"/>
  <c r="I1469" i="2" l="1"/>
  <c r="B1469" i="2"/>
  <c r="E1469" i="2"/>
  <c r="F1469" i="2"/>
  <c r="L1469" i="2"/>
  <c r="H1469" i="2"/>
  <c r="D1469" i="2"/>
  <c r="G1469" i="2" l="1"/>
  <c r="C1470" i="2"/>
  <c r="K1470" i="2" s="1"/>
  <c r="J1469" i="2"/>
  <c r="I1470" i="2" l="1"/>
  <c r="E1470" i="2"/>
  <c r="B1470" i="2"/>
  <c r="F1470" i="2"/>
  <c r="L1470" i="2"/>
  <c r="D1470" i="2"/>
  <c r="H1470" i="2"/>
  <c r="G1470" i="2" l="1"/>
  <c r="C1471" i="2"/>
  <c r="K1471" i="2" s="1"/>
  <c r="J1470" i="2"/>
  <c r="I1471" i="2" l="1"/>
  <c r="L1471" i="2"/>
  <c r="E1471" i="2"/>
  <c r="B1471" i="2"/>
  <c r="D1471" i="2"/>
  <c r="F1471" i="2"/>
  <c r="H1471" i="2"/>
  <c r="C1472" i="2" l="1"/>
  <c r="K1472" i="2" s="1"/>
  <c r="J1471" i="2"/>
  <c r="G1471" i="2"/>
  <c r="I1472" i="2" l="1"/>
  <c r="L1472" i="2"/>
  <c r="E1472" i="2"/>
  <c r="B1472" i="2"/>
  <c r="F1472" i="2"/>
  <c r="H1472" i="2"/>
  <c r="D1472" i="2"/>
  <c r="J1472" i="2" l="1"/>
  <c r="G1472" i="2"/>
  <c r="C1473" i="2"/>
  <c r="K1473" i="2" s="1"/>
  <c r="I1473" i="2" l="1"/>
  <c r="B1473" i="2"/>
  <c r="H1473" i="2"/>
  <c r="F1473" i="2"/>
  <c r="E1473" i="2"/>
  <c r="L1473" i="2"/>
  <c r="D1473" i="2"/>
  <c r="G1473" i="2" l="1"/>
  <c r="C1474" i="2"/>
  <c r="K1474" i="2" s="1"/>
  <c r="J1473" i="2"/>
  <c r="I1474" i="2" l="1"/>
  <c r="E1474" i="2"/>
  <c r="F1474" i="2"/>
  <c r="L1474" i="2"/>
  <c r="D1474" i="2"/>
  <c r="B1474" i="2"/>
  <c r="H1474" i="2"/>
  <c r="G1474" i="2" l="1"/>
  <c r="C1475" i="2"/>
  <c r="K1475" i="2" s="1"/>
  <c r="J1474" i="2"/>
  <c r="I1475" i="2" l="1"/>
  <c r="L1475" i="2"/>
  <c r="H1475" i="2"/>
  <c r="D1475" i="2"/>
  <c r="B1475" i="2"/>
  <c r="F1475" i="2"/>
  <c r="E1475" i="2"/>
  <c r="C1476" i="2" l="1"/>
  <c r="K1476" i="2" s="1"/>
  <c r="J1475" i="2"/>
  <c r="G1475" i="2"/>
  <c r="I1476" i="2" l="1"/>
  <c r="F1476" i="2"/>
  <c r="D1476" i="2"/>
  <c r="H1476" i="2"/>
  <c r="E1476" i="2"/>
  <c r="L1476" i="2"/>
  <c r="B1476" i="2"/>
  <c r="G1476" i="2" l="1"/>
  <c r="C1477" i="2"/>
  <c r="K1477" i="2" s="1"/>
  <c r="J1476" i="2"/>
  <c r="I1477" i="2" l="1"/>
  <c r="B1477" i="2"/>
  <c r="H1477" i="2"/>
  <c r="L1477" i="2"/>
  <c r="E1477" i="2"/>
  <c r="D1477" i="2"/>
  <c r="F1477" i="2"/>
  <c r="G1477" i="2" l="1"/>
  <c r="C1478" i="2"/>
  <c r="K1478" i="2" s="1"/>
  <c r="J1477" i="2"/>
  <c r="I1478" i="2" l="1"/>
  <c r="E1478" i="2"/>
  <c r="H1478" i="2"/>
  <c r="F1478" i="2"/>
  <c r="D1478" i="2"/>
  <c r="B1478" i="2"/>
  <c r="L1478" i="2"/>
  <c r="J1478" i="2" l="1"/>
  <c r="C1479" i="2"/>
  <c r="K1479" i="2" s="1"/>
  <c r="G1478" i="2"/>
  <c r="I1479" i="2" l="1"/>
  <c r="H1479" i="2"/>
  <c r="L1479" i="2"/>
  <c r="B1479" i="2"/>
  <c r="F1479" i="2"/>
  <c r="E1479" i="2"/>
  <c r="D1479" i="2"/>
  <c r="G1479" i="2" l="1"/>
  <c r="J1479" i="2"/>
  <c r="C1480" i="2"/>
  <c r="K1480" i="2" s="1"/>
  <c r="I1480" i="2" l="1"/>
  <c r="L1480" i="2"/>
  <c r="E1480" i="2"/>
  <c r="H1480" i="2"/>
  <c r="B1480" i="2"/>
  <c r="D1480" i="2"/>
  <c r="F1480" i="2"/>
  <c r="J1480" i="2" l="1"/>
  <c r="G1480" i="2"/>
  <c r="C1481" i="2"/>
  <c r="K1481" i="2" s="1"/>
  <c r="I1481" i="2" l="1"/>
  <c r="E1481" i="2"/>
  <c r="F1481" i="2"/>
  <c r="L1481" i="2"/>
  <c r="D1481" i="2"/>
  <c r="B1481" i="2"/>
  <c r="H1481" i="2"/>
  <c r="G1481" i="2" l="1"/>
  <c r="C1482" i="2"/>
  <c r="K1482" i="2" s="1"/>
  <c r="J1481" i="2"/>
  <c r="I1482" i="2" l="1"/>
  <c r="B1482" i="2"/>
  <c r="F1482" i="2"/>
  <c r="D1482" i="2"/>
  <c r="L1482" i="2"/>
  <c r="H1482" i="2"/>
  <c r="E1482" i="2"/>
  <c r="C1483" i="2" l="1"/>
  <c r="K1483" i="2" s="1"/>
  <c r="J1482" i="2"/>
  <c r="G1482" i="2"/>
  <c r="I1483" i="2" l="1"/>
  <c r="L1483" i="2"/>
  <c r="D1483" i="2"/>
  <c r="F1483" i="2"/>
  <c r="H1483" i="2"/>
  <c r="E1483" i="2"/>
  <c r="B1483" i="2"/>
  <c r="G1483" i="2" l="1"/>
  <c r="C1484" i="2"/>
  <c r="K1484" i="2" s="1"/>
  <c r="J1483" i="2"/>
  <c r="I1484" i="2" l="1"/>
  <c r="B1484" i="2"/>
  <c r="H1484" i="2"/>
  <c r="F1484" i="2"/>
  <c r="D1484" i="2"/>
  <c r="E1484" i="2"/>
  <c r="L1484" i="2"/>
  <c r="C1485" i="2" l="1"/>
  <c r="K1485" i="2" s="1"/>
  <c r="J1484" i="2"/>
  <c r="G1484" i="2"/>
  <c r="I1485" i="2" l="1"/>
  <c r="E1485" i="2"/>
  <c r="F1485" i="2"/>
  <c r="L1485" i="2"/>
  <c r="D1485" i="2"/>
  <c r="B1485" i="2"/>
  <c r="H1485" i="2"/>
  <c r="C1486" i="2" l="1"/>
  <c r="K1486" i="2" s="1"/>
  <c r="J1485" i="2"/>
  <c r="G1485" i="2"/>
  <c r="I1486" i="2" l="1"/>
  <c r="L1486" i="2"/>
  <c r="E1486" i="2"/>
  <c r="H1486" i="2"/>
  <c r="B1486" i="2"/>
  <c r="D1486" i="2"/>
  <c r="F1486" i="2"/>
  <c r="C1487" i="2" l="1"/>
  <c r="K1487" i="2" s="1"/>
  <c r="J1486" i="2"/>
  <c r="G1486" i="2"/>
  <c r="I1487" i="2" l="1"/>
  <c r="F1487" i="2"/>
  <c r="D1487" i="2"/>
  <c r="B1487" i="2"/>
  <c r="H1487" i="2"/>
  <c r="E1487" i="2"/>
  <c r="L1487" i="2"/>
  <c r="G1487" i="2" l="1"/>
  <c r="C1488" i="2"/>
  <c r="K1488" i="2" s="1"/>
  <c r="J1487" i="2"/>
  <c r="I1488" i="2" l="1"/>
  <c r="L1488" i="2"/>
  <c r="E1488" i="2"/>
  <c r="B1488" i="2"/>
  <c r="D1488" i="2"/>
  <c r="F1488" i="2"/>
  <c r="H1488" i="2"/>
  <c r="G1488" i="2" l="1"/>
  <c r="J1488" i="2"/>
  <c r="C1489" i="2"/>
  <c r="K1489" i="2" s="1"/>
  <c r="I1489" i="2" l="1"/>
  <c r="E1489" i="2"/>
  <c r="F1489" i="2"/>
  <c r="B1489" i="2"/>
  <c r="H1489" i="2"/>
  <c r="D1489" i="2"/>
  <c r="L1489" i="2"/>
  <c r="J1489" i="2" l="1"/>
  <c r="G1489" i="2"/>
  <c r="C1490" i="2"/>
  <c r="K1490" i="2" s="1"/>
  <c r="I1490" i="2" l="1"/>
  <c r="H1490" i="2"/>
  <c r="L1490" i="2"/>
  <c r="E1490" i="2"/>
  <c r="B1490" i="2"/>
  <c r="D1490" i="2"/>
  <c r="F1490" i="2"/>
  <c r="J1490" i="2" l="1"/>
  <c r="G1490" i="2"/>
  <c r="C1491" i="2"/>
  <c r="K1491" i="2" s="1"/>
  <c r="I1491" i="2" l="1"/>
  <c r="E1491" i="2"/>
  <c r="H1491" i="2"/>
  <c r="B1491" i="2"/>
  <c r="F1491" i="2"/>
  <c r="D1491" i="2"/>
  <c r="L1491" i="2"/>
  <c r="J1491" i="2" l="1"/>
  <c r="C1492" i="2"/>
  <c r="K1492" i="2" s="1"/>
  <c r="G1491" i="2"/>
  <c r="I1492" i="2" l="1"/>
  <c r="B1492" i="2"/>
  <c r="F1492" i="2"/>
  <c r="E1492" i="2"/>
  <c r="L1492" i="2"/>
  <c r="D1492" i="2"/>
  <c r="H1492" i="2"/>
  <c r="C1493" i="2" l="1"/>
  <c r="K1493" i="2" s="1"/>
  <c r="J1492" i="2"/>
  <c r="G1492" i="2"/>
  <c r="I1493" i="2" l="1"/>
  <c r="E1493" i="2"/>
  <c r="L1493" i="2"/>
  <c r="D1493" i="2"/>
  <c r="H1493" i="2"/>
  <c r="F1493" i="2"/>
  <c r="B1493" i="2"/>
  <c r="G1493" i="2" l="1"/>
  <c r="C1494" i="2"/>
  <c r="K1494" i="2" s="1"/>
  <c r="J1493" i="2"/>
  <c r="I1494" i="2" l="1"/>
  <c r="D1494" i="2"/>
  <c r="E1494" i="2"/>
  <c r="L1494" i="2"/>
  <c r="B1494" i="2"/>
  <c r="F1494" i="2"/>
  <c r="H1494" i="2"/>
  <c r="C1495" i="2" l="1"/>
  <c r="K1495" i="2" s="1"/>
  <c r="J1494" i="2"/>
  <c r="G1494" i="2"/>
  <c r="I1495" i="2" l="1"/>
  <c r="H1495" i="2"/>
  <c r="E1495" i="2"/>
  <c r="L1495" i="2"/>
  <c r="D1495" i="2"/>
  <c r="B1495" i="2"/>
  <c r="F1495" i="2"/>
  <c r="G1495" i="2" l="1"/>
  <c r="C1496" i="2"/>
  <c r="K1496" i="2" s="1"/>
  <c r="J1495" i="2"/>
  <c r="I1496" i="2" l="1"/>
  <c r="F1496" i="2"/>
  <c r="E1496" i="2"/>
  <c r="H1496" i="2"/>
  <c r="B1496" i="2"/>
  <c r="L1496" i="2"/>
  <c r="D1496" i="2"/>
  <c r="J1496" i="2" l="1"/>
  <c r="C1497" i="2"/>
  <c r="K1497" i="2" s="1"/>
  <c r="G1496" i="2"/>
  <c r="I1497" i="2" l="1"/>
  <c r="L1497" i="2"/>
  <c r="H1497" i="2"/>
  <c r="B1497" i="2"/>
  <c r="F1497" i="2"/>
  <c r="D1497" i="2"/>
  <c r="E1497" i="2"/>
  <c r="J1497" i="2" l="1"/>
  <c r="G1497" i="2"/>
  <c r="C1498" i="2"/>
  <c r="K1498" i="2" s="1"/>
  <c r="I1498" i="2" l="1"/>
  <c r="H1498" i="2"/>
  <c r="D1498" i="2"/>
  <c r="E1498" i="2"/>
  <c r="L1498" i="2"/>
  <c r="B1498" i="2"/>
  <c r="F1498" i="2"/>
  <c r="G1498" i="2" l="1"/>
  <c r="J1498" i="2"/>
  <c r="C1499" i="2"/>
  <c r="K1499" i="2" s="1"/>
  <c r="I1499" i="2" l="1"/>
  <c r="B1499" i="2"/>
  <c r="F1499" i="2"/>
  <c r="D1499" i="2"/>
  <c r="E1499" i="2"/>
  <c r="L1499" i="2"/>
  <c r="H1499" i="2"/>
  <c r="G1499" i="2" l="1"/>
  <c r="C1500" i="2"/>
  <c r="K1500" i="2" s="1"/>
  <c r="J1499" i="2"/>
  <c r="I1500" i="2" l="1"/>
  <c r="F1500" i="2"/>
  <c r="B1500" i="2"/>
  <c r="E1500" i="2"/>
  <c r="L1500" i="2"/>
  <c r="H1500" i="2"/>
  <c r="D1500" i="2"/>
  <c r="J1500" i="2" l="1"/>
  <c r="G1500" i="2"/>
  <c r="C1501" i="2"/>
  <c r="K1501" i="2" s="1"/>
  <c r="I1501" i="2" l="1"/>
  <c r="D1501" i="2"/>
  <c r="B1501" i="2"/>
  <c r="H1501" i="2"/>
  <c r="F1501" i="2"/>
  <c r="E1501" i="2"/>
  <c r="L1501" i="2"/>
  <c r="C1502" i="2" l="1"/>
  <c r="K1502" i="2" s="1"/>
  <c r="G1501" i="2"/>
  <c r="J1501" i="2"/>
  <c r="I1502" i="2" l="1"/>
  <c r="D1502" i="2"/>
  <c r="L1502" i="2"/>
  <c r="H1502" i="2"/>
  <c r="F1502" i="2"/>
  <c r="B1502" i="2"/>
  <c r="E1502" i="2"/>
  <c r="J11" i="2" l="1"/>
  <c r="N11" i="2" s="1"/>
  <c r="J1502" i="2"/>
  <c r="G1502" i="2"/>
</calcChain>
</file>

<file path=xl/sharedStrings.xml><?xml version="1.0" encoding="utf-8"?>
<sst xmlns="http://schemas.openxmlformats.org/spreadsheetml/2006/main" count="72" uniqueCount="61">
  <si>
    <t>Status</t>
  </si>
  <si>
    <t>Lender</t>
  </si>
  <si>
    <t>Type</t>
  </si>
  <si>
    <t>Interest Subsidy</t>
  </si>
  <si>
    <t>Interest Rate</t>
  </si>
  <si>
    <t>Subsidized</t>
  </si>
  <si>
    <t>Unsubsidized</t>
  </si>
  <si>
    <t>Payment Plan</t>
  </si>
  <si>
    <t>Graduation Date:</t>
  </si>
  <si>
    <t>Monthly Payment:</t>
  </si>
  <si>
    <t>Loan Name</t>
  </si>
  <si>
    <t>Starting Balance</t>
  </si>
  <si>
    <t>Average:</t>
  </si>
  <si>
    <t>Payment Date</t>
  </si>
  <si>
    <t>Interest Paid</t>
  </si>
  <si>
    <t>Principle Paid</t>
  </si>
  <si>
    <t>New Balance</t>
  </si>
  <si>
    <t>Current Balance</t>
  </si>
  <si>
    <t>Account Number</t>
  </si>
  <si>
    <t>Due Date**</t>
  </si>
  <si>
    <t>Loan Name*</t>
  </si>
  <si>
    <t>Next Loan***</t>
  </si>
  <si>
    <t>New Balance***</t>
  </si>
  <si>
    <t>Totals:</t>
  </si>
  <si>
    <t>Accumulated
Interest***</t>
  </si>
  <si>
    <t>Starting Balance
(Plus Accumulated
Interest)***</t>
  </si>
  <si>
    <t>Initial Balance</t>
  </si>
  <si>
    <t>Total Interest:</t>
  </si>
  <si>
    <t>Loan Details</t>
  </si>
  <si>
    <t>Start Date:</t>
  </si>
  <si>
    <t>DEBT FREE!</t>
  </si>
  <si>
    <t>***Only applicable if rollover occurs;
in a month where the current loan gets paid
off, the remaing monthly payment will go
toward the next loan in the series, if one exists</t>
  </si>
  <si>
    <r>
      <t xml:space="preserve">*This </t>
    </r>
    <r>
      <rPr>
        <b/>
        <i/>
        <sz val="8"/>
        <rFont val="Calibri"/>
        <family val="2"/>
        <scheme val="minor"/>
      </rPr>
      <t>must</t>
    </r>
    <r>
      <rPr>
        <b/>
        <sz val="8"/>
        <rFont val="Calibri"/>
        <family val="2"/>
        <scheme val="minor"/>
      </rPr>
      <t xml:space="preserve"> be unique name
**The date payments start on the loan;
also the date interest will start accruing on
a subsidized loan</t>
    </r>
  </si>
  <si>
    <t>Increase monthly payment or you will NEVER pay off this loan</t>
  </si>
  <si>
    <t>Sort By:</t>
  </si>
  <si>
    <t>Sort Order:</t>
  </si>
  <si>
    <t>Ascending</t>
  </si>
  <si>
    <t>Descending</t>
  </si>
  <si>
    <t>Open</t>
  </si>
  <si>
    <t>Debt Free Constant:</t>
  </si>
  <si>
    <t>Never Pay Constant:</t>
  </si>
  <si>
    <t>Interest Subsidy Types:</t>
  </si>
  <si>
    <t>Sort By Constants:</t>
  </si>
  <si>
    <t>Minimum Payment</t>
  </si>
  <si>
    <t>Minimum Payments
to Other Loans</t>
  </si>
  <si>
    <t>Capitol One Classic Platinum</t>
  </si>
  <si>
    <t>Perkins School Loan</t>
  </si>
  <si>
    <t>Enrolled</t>
  </si>
  <si>
    <t>Blue Cash American Express</t>
  </si>
  <si>
    <t>Chase Freedom</t>
  </si>
  <si>
    <t>54321-2333-432</t>
  </si>
  <si>
    <t>1234-324-2554</t>
  </si>
  <si>
    <t>43AF-22-3753</t>
  </si>
  <si>
    <t>E43929503294</t>
  </si>
  <si>
    <t>Capitol One</t>
  </si>
  <si>
    <t>American Express</t>
  </si>
  <si>
    <t>Chase Bank</t>
  </si>
  <si>
    <t>The Department of Education</t>
  </si>
  <si>
    <t>Credit Card</t>
  </si>
  <si>
    <t>Perkins</t>
  </si>
  <si>
    <t>Loan Payment Plan v1.6 written by Alex Laird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</si>
</sst>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[$-409]mmmm\ d\,\ yyyy;@"/>
  </numFmts>
  <fonts count="13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8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4" fillId="0" borderId="0" xfId="0" applyFont="1" applyFill="1" applyBorder="1"/>
    <xf numFmtId="0" fontId="3" fillId="0" borderId="0" xfId="0" applyFont="1"/>
    <xf numFmtId="10" fontId="3" fillId="0" borderId="0" xfId="0" applyNumberFormat="1" applyFont="1"/>
    <xf numFmtId="164" fontId="3" fillId="0" borderId="0" xfId="0" applyNumberFormat="1" applyFont="1"/>
    <xf numFmtId="0" fontId="3" fillId="0" borderId="0" xfId="0" applyFont="1" applyBorder="1"/>
    <xf numFmtId="0" fontId="4" fillId="0" borderId="0" xfId="0" applyFont="1" applyBorder="1"/>
    <xf numFmtId="8" fontId="3" fillId="0" borderId="0" xfId="0" applyNumberFormat="1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3" fillId="0" borderId="0" xfId="0" applyFont="1" applyProtection="1"/>
    <xf numFmtId="0" fontId="5" fillId="0" borderId="4" xfId="0" applyFont="1" applyBorder="1" applyAlignment="1" applyProtection="1"/>
    <xf numFmtId="164" fontId="6" fillId="0" borderId="4" xfId="0" applyNumberFormat="1" applyFont="1" applyBorder="1" applyAlignment="1" applyProtection="1">
      <alignment horizontal="right"/>
    </xf>
    <xf numFmtId="0" fontId="6" fillId="0" borderId="4" xfId="0" applyFont="1" applyBorder="1" applyAlignment="1" applyProtection="1">
      <alignment horizontal="right"/>
    </xf>
    <xf numFmtId="164" fontId="3" fillId="0" borderId="0" xfId="0" applyNumberFormat="1" applyFont="1" applyAlignment="1" applyProtection="1">
      <alignment horizontal="left"/>
    </xf>
    <xf numFmtId="10" fontId="6" fillId="0" borderId="4" xfId="0" applyNumberFormat="1" applyFont="1" applyBorder="1" applyAlignment="1" applyProtection="1">
      <alignment horizontal="right"/>
    </xf>
    <xf numFmtId="8" fontId="3" fillId="0" borderId="0" xfId="0" applyNumberFormat="1" applyFont="1" applyAlignment="1" applyProtection="1">
      <alignment horizontal="left"/>
    </xf>
    <xf numFmtId="0" fontId="2" fillId="0" borderId="2" xfId="0" applyFont="1" applyBorder="1" applyProtection="1"/>
    <xf numFmtId="0" fontId="2" fillId="0" borderId="6" xfId="0" applyFont="1" applyBorder="1" applyProtection="1"/>
    <xf numFmtId="0" fontId="2" fillId="0" borderId="8" xfId="0" applyFont="1" applyBorder="1" applyProtection="1"/>
    <xf numFmtId="0" fontId="2" fillId="0" borderId="4" xfId="0" applyFont="1" applyBorder="1" applyProtection="1"/>
    <xf numFmtId="0" fontId="7" fillId="0" borderId="6" xfId="0" applyFont="1" applyBorder="1" applyProtection="1"/>
    <xf numFmtId="0" fontId="7" fillId="0" borderId="6" xfId="0" applyFont="1" applyBorder="1" applyAlignment="1" applyProtection="1">
      <alignment wrapText="1"/>
    </xf>
    <xf numFmtId="0" fontId="7" fillId="0" borderId="7" xfId="0" applyFont="1" applyBorder="1" applyProtection="1"/>
    <xf numFmtId="0" fontId="2" fillId="0" borderId="0" xfId="0" applyFont="1" applyAlignment="1" applyProtection="1">
      <alignment horizontal="right"/>
    </xf>
    <xf numFmtId="8" fontId="2" fillId="0" borderId="6" xfId="0" applyNumberFormat="1" applyFont="1" applyBorder="1" applyAlignment="1" applyProtection="1">
      <alignment horizontal="right"/>
    </xf>
    <xf numFmtId="0" fontId="2" fillId="0" borderId="6" xfId="0" applyNumberFormat="1" applyFont="1" applyBorder="1" applyAlignment="1" applyProtection="1">
      <alignment horizontal="left"/>
    </xf>
    <xf numFmtId="8" fontId="7" fillId="0" borderId="7" xfId="0" applyNumberFormat="1" applyFont="1" applyBorder="1" applyProtection="1"/>
    <xf numFmtId="8" fontId="2" fillId="0" borderId="0" xfId="0" applyNumberFormat="1" applyFont="1" applyBorder="1" applyAlignment="1" applyProtection="1">
      <alignment horizontal="right"/>
    </xf>
    <xf numFmtId="8" fontId="3" fillId="0" borderId="0" xfId="0" applyNumberFormat="1" applyFont="1" applyAlignment="1" applyProtection="1">
      <alignment horizontal="right"/>
    </xf>
    <xf numFmtId="8" fontId="3" fillId="0" borderId="0" xfId="0" applyNumberFormat="1" applyFont="1" applyBorder="1" applyAlignment="1" applyProtection="1">
      <alignment horizontal="right"/>
    </xf>
    <xf numFmtId="0" fontId="3" fillId="0" borderId="0" xfId="0" applyNumberFormat="1" applyFont="1" applyAlignment="1" applyProtection="1">
      <alignment horizontal="left"/>
    </xf>
    <xf numFmtId="10" fontId="3" fillId="0" borderId="0" xfId="0" applyNumberFormat="1" applyFont="1" applyProtection="1"/>
    <xf numFmtId="164" fontId="3" fillId="0" borderId="0" xfId="0" applyNumberFormat="1" applyFont="1" applyProtection="1"/>
    <xf numFmtId="8" fontId="3" fillId="0" borderId="0" xfId="0" applyNumberFormat="1" applyFont="1" applyBorder="1" applyProtection="1"/>
    <xf numFmtId="0" fontId="3" fillId="0" borderId="0" xfId="0" applyFont="1" applyBorder="1" applyProtection="1"/>
    <xf numFmtId="0" fontId="4" fillId="0" borderId="0" xfId="0" applyFont="1" applyBorder="1" applyProtection="1"/>
    <xf numFmtId="3" fontId="3" fillId="0" borderId="0" xfId="0" applyNumberFormat="1" applyFont="1" applyBorder="1" applyProtection="1"/>
    <xf numFmtId="0" fontId="3" fillId="0" borderId="0" xfId="0" applyFont="1" applyProtection="1">
      <protection locked="0"/>
    </xf>
    <xf numFmtId="164" fontId="3" fillId="0" borderId="0" xfId="0" applyNumberFormat="1" applyFont="1" applyProtection="1">
      <protection locked="0"/>
    </xf>
    <xf numFmtId="0" fontId="4" fillId="0" borderId="2" xfId="0" applyFont="1" applyBorder="1" applyAlignment="1" applyProtection="1">
      <alignment horizontal="left"/>
      <protection locked="0"/>
    </xf>
    <xf numFmtId="0" fontId="4" fillId="0" borderId="6" xfId="0" applyFont="1" applyBorder="1" applyAlignment="1" applyProtection="1">
      <alignment horizontal="left"/>
      <protection locked="0"/>
    </xf>
    <xf numFmtId="10" fontId="4" fillId="0" borderId="6" xfId="0" applyNumberFormat="1" applyFont="1" applyBorder="1" applyAlignment="1" applyProtection="1">
      <alignment horizontal="left"/>
      <protection locked="0"/>
    </xf>
    <xf numFmtId="164" fontId="4" fillId="0" borderId="7" xfId="0" applyNumberFormat="1" applyFont="1" applyBorder="1" applyAlignment="1" applyProtection="1">
      <alignment horizontal="left"/>
      <protection locked="0"/>
    </xf>
    <xf numFmtId="8" fontId="4" fillId="0" borderId="7" xfId="0" applyNumberFormat="1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10" fontId="3" fillId="0" borderId="0" xfId="0" applyNumberFormat="1" applyFont="1" applyAlignment="1" applyProtection="1">
      <alignment horizontal="right"/>
      <protection locked="0"/>
    </xf>
    <xf numFmtId="164" fontId="3" fillId="0" borderId="5" xfId="0" applyNumberFormat="1" applyFont="1" applyBorder="1" applyAlignment="1" applyProtection="1">
      <alignment horizontal="left"/>
      <protection locked="0"/>
    </xf>
    <xf numFmtId="8" fontId="3" fillId="0" borderId="1" xfId="0" applyNumberFormat="1" applyFont="1" applyBorder="1" applyAlignment="1" applyProtection="1">
      <alignment horizontal="right"/>
      <protection locked="0"/>
    </xf>
    <xf numFmtId="8" fontId="3" fillId="0" borderId="5" xfId="0" applyNumberFormat="1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2" fillId="0" borderId="8" xfId="0" applyFont="1" applyBorder="1" applyAlignment="1" applyProtection="1">
      <alignment horizontal="right"/>
      <protection locked="0"/>
    </xf>
    <xf numFmtId="0" fontId="9" fillId="0" borderId="0" xfId="0" applyFont="1" applyAlignment="1"/>
    <xf numFmtId="0" fontId="3" fillId="0" borderId="8" xfId="0" applyFont="1" applyBorder="1" applyProtection="1"/>
    <xf numFmtId="0" fontId="3" fillId="0" borderId="8" xfId="0" applyFont="1" applyBorder="1" applyProtection="1">
      <protection locked="0"/>
    </xf>
    <xf numFmtId="8" fontId="4" fillId="0" borderId="2" xfId="0" applyNumberFormat="1" applyFont="1" applyBorder="1" applyAlignment="1" applyProtection="1">
      <alignment horizontal="left"/>
      <protection locked="0"/>
    </xf>
    <xf numFmtId="0" fontId="10" fillId="0" borderId="0" xfId="0" applyFont="1" applyProtection="1">
      <protection locked="0"/>
    </xf>
    <xf numFmtId="8" fontId="3" fillId="0" borderId="0" xfId="0" applyNumberFormat="1" applyFont="1" applyAlignment="1" applyProtection="1">
      <alignment horizontal="left"/>
      <protection locked="0"/>
    </xf>
    <xf numFmtId="8" fontId="3" fillId="0" borderId="7" xfId="0" applyNumberFormat="1" applyFont="1" applyBorder="1" applyAlignment="1" applyProtection="1">
      <alignment horizontal="right"/>
    </xf>
    <xf numFmtId="8" fontId="1" fillId="0" borderId="2" xfId="0" applyNumberFormat="1" applyFont="1" applyBorder="1" applyAlignment="1" applyProtection="1">
      <alignment horizontal="right"/>
    </xf>
    <xf numFmtId="10" fontId="3" fillId="0" borderId="3" xfId="0" applyNumberFormat="1" applyFont="1" applyBorder="1" applyAlignment="1" applyProtection="1">
      <alignment horizontal="right"/>
    </xf>
    <xf numFmtId="0" fontId="3" fillId="0" borderId="0" xfId="0" applyFont="1" applyBorder="1" applyProtection="1">
      <protection locked="0"/>
    </xf>
    <xf numFmtId="0" fontId="2" fillId="0" borderId="0" xfId="0" applyFont="1" applyBorder="1" applyAlignment="1" applyProtection="1">
      <alignment horizontal="right"/>
      <protection locked="0"/>
    </xf>
    <xf numFmtId="0" fontId="10" fillId="0" borderId="0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11" fillId="0" borderId="0" xfId="0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0" fillId="0" borderId="0" xfId="0" applyBorder="1"/>
    <xf numFmtId="164" fontId="4" fillId="0" borderId="0" xfId="0" applyNumberFormat="1" applyFont="1" applyBorder="1" applyAlignment="1" applyProtection="1">
      <alignment horizontal="right"/>
      <protection locked="0"/>
    </xf>
    <xf numFmtId="164" fontId="3" fillId="0" borderId="10" xfId="0" applyNumberFormat="1" applyFont="1" applyBorder="1" applyAlignment="1" applyProtection="1">
      <alignment horizontal="left"/>
      <protection locked="0"/>
    </xf>
    <xf numFmtId="8" fontId="3" fillId="0" borderId="0" xfId="0" applyNumberFormat="1" applyFont="1" applyProtection="1">
      <protection locked="0"/>
    </xf>
    <xf numFmtId="8" fontId="4" fillId="0" borderId="6" xfId="0" applyNumberFormat="1" applyFont="1" applyBorder="1" applyAlignment="1" applyProtection="1">
      <alignment horizontal="left"/>
      <protection locked="0"/>
    </xf>
    <xf numFmtId="8" fontId="3" fillId="0" borderId="0" xfId="0" applyNumberFormat="1" applyFont="1" applyAlignment="1" applyProtection="1">
      <alignment horizontal="right"/>
      <protection locked="0"/>
    </xf>
    <xf numFmtId="8" fontId="3" fillId="0" borderId="9" xfId="0" applyNumberFormat="1" applyFont="1" applyBorder="1" applyAlignment="1" applyProtection="1">
      <alignment horizontal="right"/>
    </xf>
    <xf numFmtId="8" fontId="3" fillId="0" borderId="0" xfId="0" applyNumberFormat="1" applyFont="1"/>
    <xf numFmtId="0" fontId="2" fillId="0" borderId="0" xfId="0" applyFont="1" applyBorder="1" applyAlignment="1" applyProtection="1">
      <alignment wrapText="1"/>
    </xf>
    <xf numFmtId="0" fontId="8" fillId="0" borderId="1" xfId="0" applyFont="1" applyBorder="1" applyAlignment="1" applyProtection="1">
      <alignment horizontal="left" wrapText="1"/>
    </xf>
    <xf numFmtId="0" fontId="8" fillId="0" borderId="0" xfId="0" applyFont="1" applyAlignment="1" applyProtection="1">
      <alignment horizontal="left" wrapText="1"/>
    </xf>
    <xf numFmtId="0" fontId="5" fillId="0" borderId="0" xfId="0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horizontal="left" wrapText="1"/>
      <protection locked="0"/>
    </xf>
    <xf numFmtId="0" fontId="9" fillId="0" borderId="0" xfId="0" applyFont="1" applyAlignment="1" applyProtection="1">
      <alignment horizontal="left" wrapText="1"/>
      <protection locked="0"/>
    </xf>
    <xf numFmtId="0" fontId="12" fillId="0" borderId="4" xfId="0" applyFont="1" applyBorder="1" applyAlignment="1" applyProtection="1">
      <alignment horizontal="right"/>
    </xf>
    <xf numFmtId="164" fontId="3" fillId="0" borderId="4" xfId="0" applyNumberFormat="1" applyFont="1" applyBorder="1" applyAlignment="1" applyProtection="1">
      <alignment horizontal="left"/>
      <protection locked="0"/>
    </xf>
    <xf numFmtId="164" fontId="3" fillId="0" borderId="0" xfId="0" applyNumberFormat="1" applyFont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100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0</xdr:row>
          <xdr:rowOff>47625</xdr:rowOff>
        </xdr:from>
        <xdr:to>
          <xdr:col>2</xdr:col>
          <xdr:colOff>590550</xdr:colOff>
          <xdr:row>0</xdr:row>
          <xdr:rowOff>333375</xdr:rowOff>
        </xdr:to>
        <xdr:sp macro="" textlink="">
          <xdr:nvSpPr>
            <xdr:cNvPr id="1050" name="AddLoanCommandButton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0</xdr:col>
          <xdr:colOff>352425</xdr:colOff>
          <xdr:row>6</xdr:row>
          <xdr:rowOff>0</xdr:rowOff>
        </xdr:to>
        <xdr:sp macro="" textlink="">
          <xdr:nvSpPr>
            <xdr:cNvPr id="1075" name="CommandButton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0</xdr:col>
          <xdr:colOff>352425</xdr:colOff>
          <xdr:row>6</xdr:row>
          <xdr:rowOff>0</xdr:rowOff>
        </xdr:to>
        <xdr:sp macro="" textlink="">
          <xdr:nvSpPr>
            <xdr:cNvPr id="1076" name="CommandButton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0</xdr:col>
          <xdr:colOff>352425</xdr:colOff>
          <xdr:row>6</xdr:row>
          <xdr:rowOff>0</xdr:rowOff>
        </xdr:to>
        <xdr:sp macro="" textlink="">
          <xdr:nvSpPr>
            <xdr:cNvPr id="1077" name="CommandButton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0</xdr:col>
          <xdr:colOff>352425</xdr:colOff>
          <xdr:row>6</xdr:row>
          <xdr:rowOff>0</xdr:rowOff>
        </xdr:to>
        <xdr:sp macro="" textlink="">
          <xdr:nvSpPr>
            <xdr:cNvPr id="1078" name="CommandButton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0</xdr:col>
          <xdr:colOff>352425</xdr:colOff>
          <xdr:row>6</xdr:row>
          <xdr:rowOff>0</xdr:rowOff>
        </xdr:to>
        <xdr:sp macro="" textlink="">
          <xdr:nvSpPr>
            <xdr:cNvPr id="1079" name="CommandButton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0</xdr:col>
          <xdr:colOff>352425</xdr:colOff>
          <xdr:row>6</xdr:row>
          <xdr:rowOff>0</xdr:rowOff>
        </xdr:to>
        <xdr:sp macro="" textlink="">
          <xdr:nvSpPr>
            <xdr:cNvPr id="1080" name="CommandButton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0</xdr:col>
          <xdr:colOff>352425</xdr:colOff>
          <xdr:row>6</xdr:row>
          <xdr:rowOff>0</xdr:rowOff>
        </xdr:to>
        <xdr:sp macro="" textlink="">
          <xdr:nvSpPr>
            <xdr:cNvPr id="1081" name="CommandButton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0</xdr:col>
          <xdr:colOff>352425</xdr:colOff>
          <xdr:row>6</xdr:row>
          <xdr:rowOff>0</xdr:rowOff>
        </xdr:to>
        <xdr:sp macro="" textlink="">
          <xdr:nvSpPr>
            <xdr:cNvPr id="1082" name="CommandButton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0</xdr:col>
          <xdr:colOff>352425</xdr:colOff>
          <xdr:row>6</xdr:row>
          <xdr:rowOff>0</xdr:rowOff>
        </xdr:to>
        <xdr:sp macro="" textlink="">
          <xdr:nvSpPr>
            <xdr:cNvPr id="1083" name="CommandButton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0</xdr:col>
          <xdr:colOff>352425</xdr:colOff>
          <xdr:row>6</xdr:row>
          <xdr:rowOff>0</xdr:rowOff>
        </xdr:to>
        <xdr:sp macro="" textlink="">
          <xdr:nvSpPr>
            <xdr:cNvPr id="1084" name="CommandButton1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0</xdr:col>
          <xdr:colOff>352425</xdr:colOff>
          <xdr:row>6</xdr:row>
          <xdr:rowOff>0</xdr:rowOff>
        </xdr:to>
        <xdr:sp macro="" textlink="">
          <xdr:nvSpPr>
            <xdr:cNvPr id="1086" name="CommandButton1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0</xdr:col>
          <xdr:colOff>352425</xdr:colOff>
          <xdr:row>6</xdr:row>
          <xdr:rowOff>0</xdr:rowOff>
        </xdr:to>
        <xdr:sp macro="" textlink="">
          <xdr:nvSpPr>
            <xdr:cNvPr id="1087" name="CommandButton1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0</xdr:col>
          <xdr:colOff>352425</xdr:colOff>
          <xdr:row>6</xdr:row>
          <xdr:rowOff>0</xdr:rowOff>
        </xdr:to>
        <xdr:sp macro="" textlink="">
          <xdr:nvSpPr>
            <xdr:cNvPr id="1088" name="CommandButton13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089" name="CommandButton14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0</xdr:rowOff>
        </xdr:from>
        <xdr:to>
          <xdr:col>0</xdr:col>
          <xdr:colOff>361950</xdr:colOff>
          <xdr:row>6</xdr:row>
          <xdr:rowOff>0</xdr:rowOff>
        </xdr:to>
        <xdr:sp macro="" textlink="">
          <xdr:nvSpPr>
            <xdr:cNvPr id="1090" name="CommandButton15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0</xdr:rowOff>
        </xdr:from>
        <xdr:to>
          <xdr:col>0</xdr:col>
          <xdr:colOff>361950</xdr:colOff>
          <xdr:row>6</xdr:row>
          <xdr:rowOff>0</xdr:rowOff>
        </xdr:to>
        <xdr:sp macro="" textlink="">
          <xdr:nvSpPr>
            <xdr:cNvPr id="1091" name="CommandButton16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0</xdr:rowOff>
        </xdr:from>
        <xdr:to>
          <xdr:col>0</xdr:col>
          <xdr:colOff>361950</xdr:colOff>
          <xdr:row>6</xdr:row>
          <xdr:rowOff>0</xdr:rowOff>
        </xdr:to>
        <xdr:sp macro="" textlink="">
          <xdr:nvSpPr>
            <xdr:cNvPr id="1092" name="CommandButton17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0</xdr:rowOff>
        </xdr:from>
        <xdr:to>
          <xdr:col>0</xdr:col>
          <xdr:colOff>361950</xdr:colOff>
          <xdr:row>6</xdr:row>
          <xdr:rowOff>0</xdr:rowOff>
        </xdr:to>
        <xdr:sp macro="" textlink="">
          <xdr:nvSpPr>
            <xdr:cNvPr id="1093" name="LoanDelButton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0</xdr:rowOff>
        </xdr:from>
        <xdr:to>
          <xdr:col>0</xdr:col>
          <xdr:colOff>361950</xdr:colOff>
          <xdr:row>6</xdr:row>
          <xdr:rowOff>0</xdr:rowOff>
        </xdr:to>
        <xdr:sp macro="" textlink="">
          <xdr:nvSpPr>
            <xdr:cNvPr id="1094" name="LoanDelButton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0</xdr:rowOff>
        </xdr:from>
        <xdr:to>
          <xdr:col>0</xdr:col>
          <xdr:colOff>361950</xdr:colOff>
          <xdr:row>6</xdr:row>
          <xdr:rowOff>0</xdr:rowOff>
        </xdr:to>
        <xdr:sp macro="" textlink="">
          <xdr:nvSpPr>
            <xdr:cNvPr id="1095" name="CommandButton19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0</xdr:row>
          <xdr:rowOff>47625</xdr:rowOff>
        </xdr:from>
        <xdr:to>
          <xdr:col>2</xdr:col>
          <xdr:colOff>1571625</xdr:colOff>
          <xdr:row>0</xdr:row>
          <xdr:rowOff>333375</xdr:rowOff>
        </xdr:to>
        <xdr:sp macro="" textlink="">
          <xdr:nvSpPr>
            <xdr:cNvPr id="1097" name="RemoveLoanCommandButton20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7</xdr:row>
          <xdr:rowOff>85725</xdr:rowOff>
        </xdr:from>
        <xdr:to>
          <xdr:col>2</xdr:col>
          <xdr:colOff>714375</xdr:colOff>
          <xdr:row>8</xdr:row>
          <xdr:rowOff>180975</xdr:rowOff>
        </xdr:to>
        <xdr:sp macro="" textlink="">
          <xdr:nvSpPr>
            <xdr:cNvPr id="1098" name="PrintCommandButton20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R1522"/>
  <sheetViews>
    <sheetView tabSelected="1" zoomScaleNormal="100" workbookViewId="0"/>
  </sheetViews>
  <sheetFormatPr defaultRowHeight="15" x14ac:dyDescent="0.25"/>
  <cols>
    <col min="1" max="1" width="6.85546875" style="2" bestFit="1" customWidth="1"/>
    <col min="2" max="2" width="17.5703125" style="2" bestFit="1" customWidth="1"/>
    <col min="3" max="3" width="25.85546875" style="2" customWidth="1"/>
    <col min="4" max="4" width="22.28515625" style="2" customWidth="1"/>
    <col min="5" max="5" width="23.28515625" style="2" bestFit="1" customWidth="1"/>
    <col min="6" max="6" width="27.42578125" style="2" bestFit="1" customWidth="1"/>
    <col min="7" max="7" width="24.140625" style="2" customWidth="1"/>
    <col min="8" max="8" width="18.42578125" style="2" customWidth="1"/>
    <col min="9" max="9" width="19.5703125" style="2" bestFit="1" customWidth="1"/>
    <col min="10" max="10" width="18.28515625" style="76" customWidth="1"/>
    <col min="11" max="11" width="21.28515625" style="2" customWidth="1"/>
    <col min="12" max="12" width="18.28515625" style="2" bestFit="1" customWidth="1"/>
    <col min="13" max="13" width="16.140625" style="2" bestFit="1" customWidth="1"/>
    <col min="14" max="14" width="13.5703125" style="2" bestFit="1" customWidth="1"/>
    <col min="15" max="15" width="56.7109375" style="2" bestFit="1" customWidth="1"/>
    <col min="16" max="16" width="9.140625" style="2"/>
    <col min="17" max="17" width="28.7109375" style="2" customWidth="1"/>
    <col min="18" max="18" width="15.7109375" style="2" customWidth="1"/>
    <col min="19" max="19" width="14.28515625" style="2" bestFit="1" customWidth="1"/>
    <col min="20" max="20" width="9.140625" style="2"/>
    <col min="21" max="21" width="16.140625" style="2" bestFit="1" customWidth="1"/>
    <col min="22" max="22" width="10" style="2" bestFit="1" customWidth="1"/>
    <col min="23" max="23" width="8.140625" style="2" bestFit="1" customWidth="1"/>
    <col min="24" max="24" width="9.140625" style="2"/>
    <col min="25" max="25" width="12.28515625" style="2" bestFit="1" customWidth="1"/>
    <col min="26" max="16384" width="9.140625" style="2"/>
  </cols>
  <sheetData>
    <row r="1" spans="1:18" ht="30" customHeight="1" x14ac:dyDescent="0.25">
      <c r="B1" s="80" t="s">
        <v>28</v>
      </c>
      <c r="C1" s="80"/>
      <c r="D1" s="62" t="s">
        <v>34</v>
      </c>
      <c r="E1" s="61" t="s">
        <v>4</v>
      </c>
      <c r="F1" s="62" t="s">
        <v>35</v>
      </c>
      <c r="G1" s="61" t="s">
        <v>37</v>
      </c>
      <c r="H1" s="38"/>
      <c r="I1" s="72"/>
      <c r="J1" s="83" t="s">
        <v>60</v>
      </c>
      <c r="K1" s="83"/>
      <c r="L1" s="83"/>
      <c r="M1" s="39"/>
      <c r="N1" s="38"/>
      <c r="O1" s="38"/>
    </row>
    <row r="2" spans="1:18" ht="46.5" customHeight="1" x14ac:dyDescent="0.25">
      <c r="B2" s="40" t="s">
        <v>0</v>
      </c>
      <c r="C2" s="41" t="s">
        <v>20</v>
      </c>
      <c r="D2" s="41" t="s">
        <v>18</v>
      </c>
      <c r="E2" s="41" t="s">
        <v>1</v>
      </c>
      <c r="F2" s="41" t="s">
        <v>2</v>
      </c>
      <c r="G2" s="41" t="s">
        <v>3</v>
      </c>
      <c r="H2" s="42" t="s">
        <v>4</v>
      </c>
      <c r="I2" s="73" t="s">
        <v>43</v>
      </c>
      <c r="J2" s="43" t="s">
        <v>19</v>
      </c>
      <c r="K2" s="55" t="s">
        <v>26</v>
      </c>
      <c r="L2" s="44" t="s">
        <v>17</v>
      </c>
      <c r="M2" s="81" t="s">
        <v>32</v>
      </c>
      <c r="N2" s="82"/>
      <c r="O2" s="38"/>
      <c r="R2" s="8"/>
    </row>
    <row r="3" spans="1:18" s="38" customFormat="1" ht="24.75" customHeight="1" x14ac:dyDescent="0.25">
      <c r="B3" s="50" t="s">
        <v>38</v>
      </c>
      <c r="C3" s="45" t="s">
        <v>45</v>
      </c>
      <c r="D3" s="45" t="s">
        <v>50</v>
      </c>
      <c r="E3" s="45" t="s">
        <v>54</v>
      </c>
      <c r="F3" s="45" t="s">
        <v>58</v>
      </c>
      <c r="G3" s="45" t="s">
        <v>6</v>
      </c>
      <c r="H3" s="46">
        <v>0.1875</v>
      </c>
      <c r="I3" s="74">
        <v>20</v>
      </c>
      <c r="J3" s="47">
        <v>41399</v>
      </c>
      <c r="K3" s="48">
        <v>-2001.52</v>
      </c>
      <c r="L3" s="49">
        <v>-2001.52</v>
      </c>
      <c r="R3" s="56"/>
    </row>
    <row r="4" spans="1:18" s="38" customFormat="1" ht="24.75" customHeight="1" x14ac:dyDescent="0.25">
      <c r="B4" s="50" t="s">
        <v>38</v>
      </c>
      <c r="C4" s="45" t="s">
        <v>48</v>
      </c>
      <c r="D4" s="45" t="s">
        <v>51</v>
      </c>
      <c r="E4" s="45" t="s">
        <v>55</v>
      </c>
      <c r="F4" s="45" t="s">
        <v>58</v>
      </c>
      <c r="G4" s="45" t="s">
        <v>6</v>
      </c>
      <c r="H4" s="46">
        <v>0.14499999999999999</v>
      </c>
      <c r="I4" s="74">
        <v>20</v>
      </c>
      <c r="J4" s="47">
        <v>40973</v>
      </c>
      <c r="K4" s="48">
        <v>-4365.76</v>
      </c>
      <c r="L4" s="49">
        <v>-3500</v>
      </c>
      <c r="R4" s="56"/>
    </row>
    <row r="5" spans="1:18" s="38" customFormat="1" ht="24.75" customHeight="1" x14ac:dyDescent="0.25">
      <c r="B5" s="50" t="s">
        <v>47</v>
      </c>
      <c r="C5" s="45" t="s">
        <v>49</v>
      </c>
      <c r="D5" s="45" t="s">
        <v>52</v>
      </c>
      <c r="E5" s="45" t="s">
        <v>56</v>
      </c>
      <c r="F5" s="45" t="s">
        <v>58</v>
      </c>
      <c r="G5" s="45" t="s">
        <v>6</v>
      </c>
      <c r="H5" s="46">
        <v>0.128</v>
      </c>
      <c r="I5" s="74">
        <f>PRODUCT(-L5,0.01)</f>
        <v>80</v>
      </c>
      <c r="J5" s="47">
        <v>41061</v>
      </c>
      <c r="K5" s="48">
        <v>-8532.5499999999993</v>
      </c>
      <c r="L5" s="49">
        <v>-8000</v>
      </c>
      <c r="R5" s="56"/>
    </row>
    <row r="6" spans="1:18" s="38" customFormat="1" ht="24.75" customHeight="1" x14ac:dyDescent="0.25">
      <c r="B6" s="50" t="s">
        <v>47</v>
      </c>
      <c r="C6" s="45" t="s">
        <v>46</v>
      </c>
      <c r="D6" s="45" t="s">
        <v>53</v>
      </c>
      <c r="E6" s="45" t="s">
        <v>57</v>
      </c>
      <c r="F6" s="45" t="s">
        <v>59</v>
      </c>
      <c r="G6" s="45" t="s">
        <v>5</v>
      </c>
      <c r="H6" s="46">
        <v>0.05</v>
      </c>
      <c r="I6" s="74">
        <v>50</v>
      </c>
      <c r="J6" s="71">
        <f>DATE(YEAR($G$9),MONTH($G$9)+9,DAY($G$9))</f>
        <v>41048</v>
      </c>
      <c r="K6" s="48">
        <v>-6000</v>
      </c>
      <c r="L6" s="49">
        <v>-6000</v>
      </c>
      <c r="R6" s="56"/>
    </row>
    <row r="7" spans="1:18" s="38" customFormat="1" x14ac:dyDescent="0.25">
      <c r="B7" s="53"/>
      <c r="C7" s="54"/>
      <c r="D7" s="54"/>
      <c r="E7" s="54"/>
      <c r="F7" s="54"/>
      <c r="G7" s="51" t="s">
        <v>12</v>
      </c>
      <c r="H7" s="60">
        <f>AVERAGE(H3:H6)</f>
        <v>0.12762500000000002</v>
      </c>
      <c r="I7" s="75"/>
      <c r="J7" s="70" t="s">
        <v>23</v>
      </c>
      <c r="K7" s="59">
        <f>SUM(K3:K6)</f>
        <v>-20899.830000000002</v>
      </c>
      <c r="L7" s="58">
        <f>SUM(L3:L6)</f>
        <v>-19501.52</v>
      </c>
      <c r="P7" s="56"/>
      <c r="Q7" s="56"/>
      <c r="R7" s="56"/>
    </row>
    <row r="8" spans="1:18" x14ac:dyDescent="0.25">
      <c r="M8" s="3"/>
      <c r="N8" s="4"/>
      <c r="Q8" s="8"/>
      <c r="R8" s="8"/>
    </row>
    <row r="9" spans="1:18" ht="18.75" customHeight="1" x14ac:dyDescent="0.3">
      <c r="A9" s="10"/>
      <c r="B9" s="11" t="s">
        <v>7</v>
      </c>
      <c r="C9" s="11"/>
      <c r="D9" s="12" t="s">
        <v>29</v>
      </c>
      <c r="E9" s="84">
        <f ca="1">TODAY()</f>
        <v>40787</v>
      </c>
      <c r="F9" s="13" t="s">
        <v>8</v>
      </c>
      <c r="G9" s="85">
        <v>40774</v>
      </c>
      <c r="H9" s="15" t="s">
        <v>9</v>
      </c>
      <c r="I9" s="57">
        <v>500</v>
      </c>
      <c r="J9" s="10"/>
      <c r="K9" s="10"/>
      <c r="L9" s="10"/>
      <c r="M9" s="10"/>
      <c r="O9" s="52"/>
      <c r="P9" s="52"/>
      <c r="Q9" s="8"/>
    </row>
    <row r="10" spans="1:18" ht="45" x14ac:dyDescent="0.25">
      <c r="A10" s="10"/>
      <c r="B10" s="17" t="s">
        <v>13</v>
      </c>
      <c r="C10" s="18" t="s">
        <v>10</v>
      </c>
      <c r="D10" s="19" t="s">
        <v>11</v>
      </c>
      <c r="E10" s="77" t="s">
        <v>44</v>
      </c>
      <c r="F10" s="20" t="s">
        <v>14</v>
      </c>
      <c r="G10" s="19" t="s">
        <v>15</v>
      </c>
      <c r="H10" s="19" t="s">
        <v>16</v>
      </c>
      <c r="I10" s="21" t="s">
        <v>21</v>
      </c>
      <c r="J10" s="22" t="s">
        <v>24</v>
      </c>
      <c r="K10" s="22" t="s">
        <v>25</v>
      </c>
      <c r="L10" s="23" t="s">
        <v>22</v>
      </c>
      <c r="M10" s="78" t="s">
        <v>31</v>
      </c>
      <c r="N10" s="79"/>
      <c r="P10" s="8"/>
      <c r="R10" s="8"/>
    </row>
    <row r="11" spans="1:18" x14ac:dyDescent="0.25">
      <c r="A11" s="24" t="s">
        <v>23</v>
      </c>
      <c r="B11" s="17"/>
      <c r="C11" s="18"/>
      <c r="D11" s="25"/>
      <c r="E11" s="25"/>
      <c r="F11" s="25">
        <f ca="1">SUM(F12:F1215)</f>
        <v>1270.7473353854416</v>
      </c>
      <c r="G11" s="25">
        <f ca="1">SUM(G12:G1215)</f>
        <v>19017.978333333329</v>
      </c>
      <c r="H11" s="18"/>
      <c r="I11" s="26"/>
      <c r="J11" s="25">
        <f ca="1">IF(H1502&lt;&gt;"",Variables!B3,-SUM(J12:J1215))</f>
        <v>2166.458333333333</v>
      </c>
      <c r="K11" s="25"/>
      <c r="L11" s="27"/>
      <c r="M11" s="28" t="s">
        <v>27</v>
      </c>
      <c r="N11" s="16">
        <f ca="1">IF(H1502&lt;&gt;"",Variables!B3,SUM(F11,J11))</f>
        <v>3437.2056687187746</v>
      </c>
      <c r="P11" s="63"/>
    </row>
    <row r="12" spans="1:18" x14ac:dyDescent="0.25">
      <c r="A12" s="10"/>
      <c r="B12" s="14">
        <f ca="1">IF(DAY($E$9)&lt;&gt;1,DATE(YEAR($E$9),MONTH($E$9)+1,1),$E$9)</f>
        <v>40787</v>
      </c>
      <c r="C12" s="14" t="str">
        <f>$C$3</f>
        <v>Capitol One Classic Platinum</v>
      </c>
      <c r="D12" s="29">
        <f>$L$3</f>
        <v>-2001.52</v>
      </c>
      <c r="E12" s="29">
        <f ca="1">IF(C12&lt;&gt;"",MINPAYMENT(C12,ROW(B12),COLUMN(B12)),"")</f>
        <v>100</v>
      </c>
      <c r="F12" s="29">
        <f ca="1">IF(C12&lt;&gt;"",IF(OR(VLOOKUP(C12,$C$3:$L$6,5,0)=Variables!$B$5,B12&gt;VLOOKUP(C12,$C$3:$L$6,8,0)),-D12*VLOOKUP(C12,$C$3:$L$6,6,0)/12,0),"")</f>
        <v>31.273749999999996</v>
      </c>
      <c r="G12" s="29">
        <f ca="1">IF(I12&lt;&gt;Variables!$B$1,IF(C12&lt;&gt;"",$I$9-E12-F12,""),-D12)</f>
        <v>368.72624999999999</v>
      </c>
      <c r="H12" s="30">
        <f t="shared" ref="H12:H13" ca="1" si="0">IF(C12&lt;&gt;"",IF(D12+G12&lt;0,D12+G12,0),"")</f>
        <v>-1632.79375</v>
      </c>
      <c r="I12" s="31" t="str">
        <f ca="1">IF(C12&lt;&gt;"",IF(D12+$I$9-E12-F12&gt;=0,IF(ISERROR(INDEX($C$3:$C$6,MATCH(C12,$C$3:$C$6,0)+1,0)),Variables!$B$1,INDEX($C$3:$C$6,MATCH(C12,$C$3:$C$6,0)+1,0)),""),"")</f>
        <v/>
      </c>
      <c r="J12" s="29" t="str">
        <f ca="1">IF(ISERROR(VLOOKUP(I12,$C$3:$L$6,5,0)),"",IF(OR(VLOOKUP(I12,$C$3:$L$6,5,0)=Variables!$B$5,B12&gt;VLOOKUP(I12,$C$3:$L$6,8,0)),IF(VLOOKUP(I12,$C$3:$L$6,5,0)=Variables!$B$5,((YEAR(B12)-YEAR($B$12))*12+MONTH(B12)-MONTH($B$12)),((YEAR(B12)-YEAR(VLOOKUP(I12,$C$3:$L$6,8,0)))*12+MONTH(B12)-MONTH(VLOOKUP(I12,$C$3:$L$6,8,0))))*(VLOOKUP(I12,$C$3:$L$6,10,0)*VLOOKUP(I12,$C$3:$L$6,6,0)/12),0))</f>
        <v/>
      </c>
      <c r="K12" s="29" t="str">
        <f ca="1">IF(C12&lt;&gt;"",IF(I12&lt;&gt;"",IF(ISERROR(VLOOKUP(I12,$C$3:$L$6,10,0)),"",VLOOKUP(I12,$C$3:$L$6,10,0)+J12+IF(OR(VLOOKUP(I12,$C$3:$L$6,5,0)=Variables!$B$5,B12&gt;VLOOKUP(I12,$C$3:$L$6,8,0)),IF(VLOOKUP(I12,$C$3:$L$6,5,0)=Variables!$B$5,((YEAR(B12)-YEAR($B$12))*12+MONTH(B12)-MONTH($B$12)),((YEAR(B12)-YEAR(VLOOKUP(I12,$C$3:$L$6,8,0)))*12+MONTH(B12)-MONTH(VLOOKUP(I12,$C$3:$L$6,8,0))))*VLOOKUP(I12,$C$3:$L$6,7,0),0)),""),"")</f>
        <v/>
      </c>
      <c r="L12" s="29" t="str">
        <f t="shared" ref="L12:L14" ca="1" si="1">IF(C12&lt;&gt;"",IF(ISERROR(IF(D12+G12&gt;=0,K12+D12+G12,"")),"",IF(D12+G12&gt;=0,K12+D12+G12,"")),"")</f>
        <v/>
      </c>
      <c r="M12" s="32"/>
      <c r="N12" s="33"/>
      <c r="P12" s="63"/>
    </row>
    <row r="13" spans="1:18" x14ac:dyDescent="0.25">
      <c r="A13" s="10"/>
      <c r="B13" s="14">
        <f t="shared" ref="B13" ca="1" si="2">IF(C13&lt;&gt;"",DATE(YEAR(B12),MONTH(B12)+1,DAY(B12)),"")</f>
        <v>40817</v>
      </c>
      <c r="C13" s="14" t="str">
        <f ca="1">IF(I12&lt;&gt;Variables!$B$1,IF(H12&lt;&gt;0,C12,I12),"")</f>
        <v>Capitol One Classic Platinum</v>
      </c>
      <c r="D13" s="29">
        <f t="shared" ref="D13:D14" ca="1" si="3">IF(C13&lt;&gt;"",IF(H12&lt;&gt;0,H12,L12),"")</f>
        <v>-1632.79375</v>
      </c>
      <c r="E13" s="29">
        <f t="shared" ref="E13:E14" ca="1" si="4">IF(C13&lt;&gt;"",MINPAYMENT(C13,ROW(B13),COLUMN(B13)),"")</f>
        <v>100</v>
      </c>
      <c r="F13" s="29">
        <f ca="1">IF(C13&lt;&gt;"",IF(OR(VLOOKUP(C13,$C$3:$L$6,5,0)=Variables!$B$5,B13&gt;VLOOKUP(C13,$C$3:$L$6,8,0)),-D13*VLOOKUP(C13,$C$3:$L$6,6,0)/12,0),"")</f>
        <v>25.512402343750001</v>
      </c>
      <c r="G13" s="29">
        <f ca="1">IF(I13&lt;&gt;Variables!$B$1,IF(C13&lt;&gt;"",$I$9-E13-F13,""),-D13)</f>
        <v>374.48759765624999</v>
      </c>
      <c r="H13" s="29">
        <f t="shared" ca="1" si="0"/>
        <v>-1258.30615234375</v>
      </c>
      <c r="I13" s="31" t="str">
        <f ca="1">IF(C13&lt;&gt;"",IF(D13+$I$9-E13-F13&gt;=0,IF(ISERROR(INDEX($C$3:$C$6,MATCH(C13,$C$3:$C$6,0)+1,0)),Variables!$B$1,INDEX($C$3:$C$6,MATCH(C13,$C$3:$C$6,0)+1,0)),""),"")</f>
        <v/>
      </c>
      <c r="J13" s="29" t="str">
        <f ca="1">IF(ISERROR(VLOOKUP(I13,$C$3:$L$6,5,0)),"",IF(OR(VLOOKUP(I13,$C$3:$L$6,5,0)=Variables!$B$5,B13&gt;VLOOKUP(I13,$C$3:$L$6,8,0)),IF(VLOOKUP(I13,$C$3:$L$6,5,0)=Variables!$B$5,((YEAR(B13)-YEAR($B$12))*12+MONTH(B13)-MONTH($B$12)),((YEAR(B13)-YEAR(VLOOKUP(I13,$C$3:$L$6,8,0)))*12+MONTH(B13)-MONTH(VLOOKUP(I13,$C$3:$L$6,8,0))))*(VLOOKUP(I13,$C$3:$L$6,10,0)*VLOOKUP(I13,$C$3:$L$6,6,0)/12),0))</f>
        <v/>
      </c>
      <c r="K13" s="29" t="str">
        <f ca="1">IF(C13&lt;&gt;"",IF(I13&lt;&gt;"",IF(ISERROR(VLOOKUP(I13,$C$3:$L$6,10,0)),"",VLOOKUP(I13,$C$3:$L$6,10,0)+J13+IF(OR(VLOOKUP(I13,$C$3:$L$6,5,0)=Variables!$B$5,B13&gt;VLOOKUP(I13,$C$3:$L$6,8,0)),IF(VLOOKUP(I13,$C$3:$L$6,5,0)=Variables!$B$5,((YEAR(B13)-YEAR($B$12))*12+MONTH(B13)-MONTH($B$12)),((YEAR(B13)-YEAR(VLOOKUP(I13,$C$3:$L$6,8,0)))*12+MONTH(B13)-MONTH(VLOOKUP(I13,$C$3:$L$6,8,0))))*VLOOKUP(I13,$C$3:$L$6,7,0),0)),""),"")</f>
        <v/>
      </c>
      <c r="L13" s="29" t="str">
        <f t="shared" ca="1" si="1"/>
        <v/>
      </c>
      <c r="M13" s="32"/>
      <c r="N13" s="33"/>
      <c r="P13" s="63"/>
      <c r="Q13" s="9"/>
    </row>
    <row r="14" spans="1:18" x14ac:dyDescent="0.25">
      <c r="A14" s="10"/>
      <c r="B14" s="14">
        <f t="shared" ref="B14:B15" ca="1" si="5">IF(C14&lt;&gt;"",DATE(YEAR(B13),MONTH(B13)+1,DAY(B13)),"")</f>
        <v>40848</v>
      </c>
      <c r="C14" s="14" t="str">
        <f ca="1">IF(I13&lt;&gt;Variables!$B$1,IF(H13&lt;&gt;0,C13,I13),"")</f>
        <v>Capitol One Classic Platinum</v>
      </c>
      <c r="D14" s="29">
        <f t="shared" ca="1" si="3"/>
        <v>-1258.30615234375</v>
      </c>
      <c r="E14" s="29">
        <f t="shared" ca="1" si="4"/>
        <v>100</v>
      </c>
      <c r="F14" s="29">
        <f ca="1">IF(C14&lt;&gt;"",IF(OR(VLOOKUP(C14,$C$3:$L$6,5,0)=Variables!$B$5,B14&gt;VLOOKUP(C14,$C$3:$L$6,8,0)),-D14*VLOOKUP(C14,$C$3:$L$6,6,0)/12,0),"")</f>
        <v>19.661033630371094</v>
      </c>
      <c r="G14" s="29">
        <f ca="1">IF(I14&lt;&gt;Variables!$B$1,IF(C14&lt;&gt;"",$I$9-E14-F14,""),-D14)</f>
        <v>380.33896636962891</v>
      </c>
      <c r="H14" s="29">
        <f t="shared" ref="H14:H15" ca="1" si="6">IF(C14&lt;&gt;"",IF(D14+G14&lt;0,D14+G14,0),"")</f>
        <v>-877.96718597412109</v>
      </c>
      <c r="I14" s="31" t="str">
        <f ca="1">IF(C14&lt;&gt;"",IF(D14+$I$9-E14-F14&gt;=0,IF(ISERROR(INDEX($C$3:$C$6,MATCH(C14,$C$3:$C$6,0)+1,0)),Variables!$B$1,INDEX($C$3:$C$6,MATCH(C14,$C$3:$C$6,0)+1,0)),""),"")</f>
        <v/>
      </c>
      <c r="J14" s="29" t="str">
        <f ca="1">IF(ISERROR(VLOOKUP(I14,$C$3:$L$6,5,0)),"",IF(OR(VLOOKUP(I14,$C$3:$L$6,5,0)=Variables!$B$5,B14&gt;VLOOKUP(I14,$C$3:$L$6,8,0)),IF(VLOOKUP(I14,$C$3:$L$6,5,0)=Variables!$B$5,((YEAR(B14)-YEAR($B$12))*12+MONTH(B14)-MONTH($B$12)),((YEAR(B14)-YEAR(VLOOKUP(I14,$C$3:$L$6,8,0)))*12+MONTH(B14)-MONTH(VLOOKUP(I14,$C$3:$L$6,8,0))))*(VLOOKUP(I14,$C$3:$L$6,10,0)*VLOOKUP(I14,$C$3:$L$6,6,0)/12),0))</f>
        <v/>
      </c>
      <c r="K14" s="29" t="str">
        <f ca="1">IF(C14&lt;&gt;"",IF(I14&lt;&gt;"",IF(ISERROR(VLOOKUP(I14,$C$3:$L$6,10,0)),"",VLOOKUP(I14,$C$3:$L$6,10,0)+J14+IF(OR(VLOOKUP(I14,$C$3:$L$6,5,0)=Variables!$B$5,B14&gt;VLOOKUP(I14,$C$3:$L$6,8,0)),IF(VLOOKUP(I14,$C$3:$L$6,5,0)=Variables!$B$5,((YEAR(B14)-YEAR($B$12))*12+MONTH(B14)-MONTH($B$12)),((YEAR(B14)-YEAR(VLOOKUP(I14,$C$3:$L$6,8,0)))*12+MONTH(B14)-MONTH(VLOOKUP(I14,$C$3:$L$6,8,0))))*VLOOKUP(I14,$C$3:$L$6,7,0),0)),""),"")</f>
        <v/>
      </c>
      <c r="L14" s="29" t="str">
        <f t="shared" ca="1" si="1"/>
        <v/>
      </c>
      <c r="M14" s="32"/>
      <c r="N14" s="33"/>
      <c r="P14" s="63"/>
    </row>
    <row r="15" spans="1:18" x14ac:dyDescent="0.25">
      <c r="A15" s="10"/>
      <c r="B15" s="14">
        <f t="shared" ca="1" si="5"/>
        <v>40878</v>
      </c>
      <c r="C15" s="14" t="str">
        <f ca="1">IF(I14&lt;&gt;Variables!$B$1,IF(H14&lt;&gt;0,C14,I14),"")</f>
        <v>Capitol One Classic Platinum</v>
      </c>
      <c r="D15" s="29">
        <f t="shared" ref="D15:D27" ca="1" si="7">IF(C15&lt;&gt;"",IF(H14&lt;&gt;0,H14,L14),"")</f>
        <v>-877.96718597412109</v>
      </c>
      <c r="E15" s="29">
        <f t="shared" ref="E15:E27" ca="1" si="8">IF(C15&lt;&gt;"",MINPAYMENT(C15,ROW(B15),COLUMN(B15)),"")</f>
        <v>100</v>
      </c>
      <c r="F15" s="29">
        <f ca="1">IF(C15&lt;&gt;"",IF(OR(VLOOKUP(C15,$C$3:$L$6,5,0)=Variables!$B$5,B15&gt;VLOOKUP(C15,$C$3:$L$6,8,0)),-D15*VLOOKUP(C15,$C$3:$L$6,6,0)/12,0),"")</f>
        <v>13.718237280845642</v>
      </c>
      <c r="G15" s="29">
        <f ca="1">IF(I15&lt;&gt;Variables!$B$1,IF(C15&lt;&gt;"",$I$9-E15-F15,""),-D15)</f>
        <v>386.28176271915436</v>
      </c>
      <c r="H15" s="29">
        <f t="shared" ca="1" si="6"/>
        <v>-491.68542325496674</v>
      </c>
      <c r="I15" s="31" t="str">
        <f ca="1">IF(C15&lt;&gt;"",IF(D15+$I$9-E15-F15&gt;=0,IF(ISERROR(INDEX($C$3:$C$6,MATCH(C15,$C$3:$C$6,0)+1,0)),Variables!$B$1,INDEX($C$3:$C$6,MATCH(C15,$C$3:$C$6,0)+1,0)),""),"")</f>
        <v/>
      </c>
      <c r="J15" s="29" t="str">
        <f ca="1">IF(ISERROR(VLOOKUP(I15,$C$3:$L$6,5,0)),"",IF(OR(VLOOKUP(I15,$C$3:$L$6,5,0)=Variables!$B$5,B15&gt;VLOOKUP(I15,$C$3:$L$6,8,0)),IF(VLOOKUP(I15,$C$3:$L$6,5,0)=Variables!$B$5,((YEAR(B15)-YEAR($B$12))*12+MONTH(B15)-MONTH($B$12)),((YEAR(B15)-YEAR(VLOOKUP(I15,$C$3:$L$6,8,0)))*12+MONTH(B15)-MONTH(VLOOKUP(I15,$C$3:$L$6,8,0))))*(VLOOKUP(I15,$C$3:$L$6,10,0)*VLOOKUP(I15,$C$3:$L$6,6,0)/12),0))</f>
        <v/>
      </c>
      <c r="K15" s="29" t="str">
        <f ca="1">IF(C15&lt;&gt;"",IF(I15&lt;&gt;"",IF(ISERROR(VLOOKUP(I15,$C$3:$L$6,10,0)),"",VLOOKUP(I15,$C$3:$L$6,10,0)+J15+IF(OR(VLOOKUP(I15,$C$3:$L$6,5,0)=Variables!$B$5,B15&gt;VLOOKUP(I15,$C$3:$L$6,8,0)),IF(VLOOKUP(I15,$C$3:$L$6,5,0)=Variables!$B$5,((YEAR(B15)-YEAR($B$12))*12+MONTH(B15)-MONTH($B$12)),((YEAR(B15)-YEAR(VLOOKUP(I15,$C$3:$L$6,8,0)))*12+MONTH(B15)-MONTH(VLOOKUP(I15,$C$3:$L$6,8,0))))*VLOOKUP(I15,$C$3:$L$6,7,0),0)),""),"")</f>
        <v/>
      </c>
      <c r="L15" s="29" t="str">
        <f t="shared" ref="L15:L27" ca="1" si="9">IF(C15&lt;&gt;"",IF(ISERROR(IF(D15+G15&gt;=0,K15+D15+G15,"")),"",IF(D15+G15&gt;=0,K15+D15+G15,"")),"")</f>
        <v/>
      </c>
      <c r="M15" s="10"/>
      <c r="N15" s="10"/>
      <c r="P15" s="63"/>
    </row>
    <row r="16" spans="1:18" x14ac:dyDescent="0.25">
      <c r="A16" s="10"/>
      <c r="B16" s="14">
        <f t="shared" ref="B16:B28" ca="1" si="10">IF(C16&lt;&gt;"",DATE(YEAR(B15),MONTH(B15)+1,DAY(B15)),"")</f>
        <v>40909</v>
      </c>
      <c r="C16" s="14" t="str">
        <f ca="1">IF(I15&lt;&gt;Variables!$B$1,IF(H15&lt;&gt;0,C15,I15),"")</f>
        <v>Capitol One Classic Platinum</v>
      </c>
      <c r="D16" s="29">
        <f t="shared" ca="1" si="7"/>
        <v>-491.68542325496674</v>
      </c>
      <c r="E16" s="29">
        <f t="shared" ca="1" si="8"/>
        <v>100</v>
      </c>
      <c r="F16" s="29">
        <f ca="1">IF(C16&lt;&gt;"",IF(OR(VLOOKUP(C16,$C$3:$L$6,5,0)=Variables!$B$5,B16&gt;VLOOKUP(C16,$C$3:$L$6,8,0)),-D16*VLOOKUP(C16,$C$3:$L$6,6,0)/12,0),"")</f>
        <v>7.6825847383588552</v>
      </c>
      <c r="G16" s="29">
        <f ca="1">IF(I16&lt;&gt;Variables!$B$1,IF(C16&lt;&gt;"",$I$9-E16-F16,""),-D16)</f>
        <v>392.31741526164114</v>
      </c>
      <c r="H16" s="29">
        <f t="shared" ref="H16:H28" ca="1" si="11">IF(C16&lt;&gt;"",IF(D16+G16&lt;0,D16+G16,0),"")</f>
        <v>-99.368007993325591</v>
      </c>
      <c r="I16" s="31" t="str">
        <f ca="1">IF(C16&lt;&gt;"",IF(D16+$I$9-E16-F16&gt;=0,IF(ISERROR(INDEX($C$3:$C$6,MATCH(C16,$C$3:$C$6,0)+1,0)),Variables!$B$1,INDEX($C$3:$C$6,MATCH(C16,$C$3:$C$6,0)+1,0)),""),"")</f>
        <v/>
      </c>
      <c r="J16" s="29" t="str">
        <f ca="1">IF(ISERROR(VLOOKUP(I16,$C$3:$L$6,5,0)),"",IF(OR(VLOOKUP(I16,$C$3:$L$6,5,0)=Variables!$B$5,B16&gt;VLOOKUP(I16,$C$3:$L$6,8,0)),IF(VLOOKUP(I16,$C$3:$L$6,5,0)=Variables!$B$5,((YEAR(B16)-YEAR($B$12))*12+MONTH(B16)-MONTH($B$12)),((YEAR(B16)-YEAR(VLOOKUP(I16,$C$3:$L$6,8,0)))*12+MONTH(B16)-MONTH(VLOOKUP(I16,$C$3:$L$6,8,0))))*(VLOOKUP(I16,$C$3:$L$6,10,0)*VLOOKUP(I16,$C$3:$L$6,6,0)/12),0))</f>
        <v/>
      </c>
      <c r="K16" s="29" t="str">
        <f ca="1">IF(C16&lt;&gt;"",IF(I16&lt;&gt;"",IF(ISERROR(VLOOKUP(I16,$C$3:$L$6,10,0)),"",VLOOKUP(I16,$C$3:$L$6,10,0)+J16+IF(OR(VLOOKUP(I16,$C$3:$L$6,5,0)=Variables!$B$5,B16&gt;VLOOKUP(I16,$C$3:$L$6,8,0)),IF(VLOOKUP(I16,$C$3:$L$6,5,0)=Variables!$B$5,((YEAR(B16)-YEAR($B$12))*12+MONTH(B16)-MONTH($B$12)),((YEAR(B16)-YEAR(VLOOKUP(I16,$C$3:$L$6,8,0)))*12+MONTH(B16)-MONTH(VLOOKUP(I16,$C$3:$L$6,8,0))))*VLOOKUP(I16,$C$3:$L$6,7,0),0)),""),"")</f>
        <v/>
      </c>
      <c r="L16" s="29" t="str">
        <f t="shared" ca="1" si="9"/>
        <v/>
      </c>
      <c r="M16" s="10"/>
      <c r="N16" s="10"/>
      <c r="P16" s="8"/>
    </row>
    <row r="17" spans="1:17" x14ac:dyDescent="0.25">
      <c r="A17" s="10"/>
      <c r="B17" s="14">
        <f t="shared" ca="1" si="10"/>
        <v>40940</v>
      </c>
      <c r="C17" s="14" t="str">
        <f ca="1">IF(I16&lt;&gt;Variables!$B$1,IF(H16&lt;&gt;0,C16,I16),"")</f>
        <v>Capitol One Classic Platinum</v>
      </c>
      <c r="D17" s="29">
        <f t="shared" ca="1" si="7"/>
        <v>-99.368007993325591</v>
      </c>
      <c r="E17" s="29">
        <f t="shared" ca="1" si="8"/>
        <v>100</v>
      </c>
      <c r="F17" s="29">
        <f ca="1">IF(C17&lt;&gt;"",IF(OR(VLOOKUP(C17,$C$3:$L$6,5,0)=Variables!$B$5,B17&gt;VLOOKUP(C17,$C$3:$L$6,8,0)),-D17*VLOOKUP(C17,$C$3:$L$6,6,0)/12,0),"")</f>
        <v>1.5526251248957124</v>
      </c>
      <c r="G17" s="29">
        <f ca="1">IF(I17&lt;&gt;Variables!$B$1,IF(C17&lt;&gt;"",$I$9-E17-F17,""),-D17)</f>
        <v>398.44737487510429</v>
      </c>
      <c r="H17" s="29">
        <f t="shared" ca="1" si="11"/>
        <v>0</v>
      </c>
      <c r="I17" s="31" t="str">
        <f ca="1">IF(C17&lt;&gt;"",IF(D17+$I$9-E17-F17&gt;=0,IF(ISERROR(INDEX($C$3:$C$6,MATCH(C17,$C$3:$C$6,0)+1,0)),Variables!$B$1,INDEX($C$3:$C$6,MATCH(C17,$C$3:$C$6,0)+1,0)),""),"")</f>
        <v>Blue Cash American Express</v>
      </c>
      <c r="J17" s="29">
        <f ca="1">IF(ISERROR(VLOOKUP(I17,$C$3:$L$6,5,0)),"",IF(OR(VLOOKUP(I17,$C$3:$L$6,5,0)=Variables!$B$5,B17&gt;VLOOKUP(I17,$C$3:$L$6,8,0)),IF(VLOOKUP(I17,$C$3:$L$6,5,0)=Variables!$B$5,((YEAR(B17)-YEAR($B$12))*12+MONTH(B17)-MONTH($B$12)),((YEAR(B17)-YEAR(VLOOKUP(I17,$C$3:$L$6,8,0)))*12+MONTH(B17)-MONTH(VLOOKUP(I17,$C$3:$L$6,8,0))))*(VLOOKUP(I17,$C$3:$L$6,10,0)*VLOOKUP(I17,$C$3:$L$6,6,0)/12),0))</f>
        <v>-211.45833333333331</v>
      </c>
      <c r="K17" s="29">
        <f ca="1">IF(C17&lt;&gt;"",IF(I17&lt;&gt;"",IF(ISERROR(VLOOKUP(I17,$C$3:$L$6,10,0)),"",VLOOKUP(I17,$C$3:$L$6,10,0)+J17+IF(OR(VLOOKUP(I17,$C$3:$L$6,5,0)=Variables!$B$5,B17&gt;VLOOKUP(I17,$C$3:$L$6,8,0)),IF(VLOOKUP(I17,$C$3:$L$6,5,0)=Variables!$B$5,((YEAR(B17)-YEAR($B$12))*12+MONTH(B17)-MONTH($B$12)),((YEAR(B17)-YEAR(VLOOKUP(I17,$C$3:$L$6,8,0)))*12+MONTH(B17)-MONTH(VLOOKUP(I17,$C$3:$L$6,8,0))))*VLOOKUP(I17,$C$3:$L$6,7,0),0)),""),"")</f>
        <v>-3611.4583333333335</v>
      </c>
      <c r="L17" s="29">
        <f t="shared" ca="1" si="9"/>
        <v>-3312.3789664515548</v>
      </c>
      <c r="M17" s="34"/>
      <c r="N17" s="35"/>
      <c r="O17" s="5"/>
      <c r="P17" s="8"/>
      <c r="Q17" s="8"/>
    </row>
    <row r="18" spans="1:17" x14ac:dyDescent="0.25">
      <c r="A18" s="10"/>
      <c r="B18" s="14">
        <f t="shared" ca="1" si="10"/>
        <v>40969</v>
      </c>
      <c r="C18" s="14" t="str">
        <f ca="1">IF(I17&lt;&gt;Variables!$B$1,IF(H17&lt;&gt;0,C17,I17),"")</f>
        <v>Blue Cash American Express</v>
      </c>
      <c r="D18" s="29">
        <f t="shared" ca="1" si="7"/>
        <v>-3312.3789664515548</v>
      </c>
      <c r="E18" s="29">
        <f t="shared" ca="1" si="8"/>
        <v>80</v>
      </c>
      <c r="F18" s="29">
        <f ca="1">IF(C18&lt;&gt;"",IF(OR(VLOOKUP(C18,$C$3:$L$6,5,0)=Variables!$B$5,B18&gt;VLOOKUP(C18,$C$3:$L$6,8,0)),-D18*VLOOKUP(C18,$C$3:$L$6,6,0)/12,0),"")</f>
        <v>40.024579177956284</v>
      </c>
      <c r="G18" s="29">
        <f ca="1">IF(I18&lt;&gt;Variables!$B$1,IF(C18&lt;&gt;"",$I$9-E18-F18,""),-D18)</f>
        <v>379.9754208220437</v>
      </c>
      <c r="H18" s="29">
        <f t="shared" ca="1" si="11"/>
        <v>-2932.403545629511</v>
      </c>
      <c r="I18" s="31" t="str">
        <f ca="1">IF(C18&lt;&gt;"",IF(D18+$I$9-E18-F18&gt;=0,IF(ISERROR(INDEX($C$3:$C$6,MATCH(C18,$C$3:$C$6,0)+1,0)),Variables!$B$1,INDEX($C$3:$C$6,MATCH(C18,$C$3:$C$6,0)+1,0)),""),"")</f>
        <v/>
      </c>
      <c r="J18" s="29" t="str">
        <f ca="1">IF(ISERROR(VLOOKUP(I18,$C$3:$L$6,5,0)),"",IF(OR(VLOOKUP(I18,$C$3:$L$6,5,0)=Variables!$B$5,B18&gt;VLOOKUP(I18,$C$3:$L$6,8,0)),IF(VLOOKUP(I18,$C$3:$L$6,5,0)=Variables!$B$5,((YEAR(B18)-YEAR($B$12))*12+MONTH(B18)-MONTH($B$12)),((YEAR(B18)-YEAR(VLOOKUP(I18,$C$3:$L$6,8,0)))*12+MONTH(B18)-MONTH(VLOOKUP(I18,$C$3:$L$6,8,0))))*(VLOOKUP(I18,$C$3:$L$6,10,0)*VLOOKUP(I18,$C$3:$L$6,6,0)/12),0))</f>
        <v/>
      </c>
      <c r="K18" s="29" t="str">
        <f ca="1">IF(C18&lt;&gt;"",IF(I18&lt;&gt;"",IF(ISERROR(VLOOKUP(I18,$C$3:$L$6,10,0)),"",VLOOKUP(I18,$C$3:$L$6,10,0)+J18+IF(OR(VLOOKUP(I18,$C$3:$L$6,5,0)=Variables!$B$5,B18&gt;VLOOKUP(I18,$C$3:$L$6,8,0)),IF(VLOOKUP(I18,$C$3:$L$6,5,0)=Variables!$B$5,((YEAR(B18)-YEAR($B$12))*12+MONTH(B18)-MONTH($B$12)),((YEAR(B18)-YEAR(VLOOKUP(I18,$C$3:$L$6,8,0)))*12+MONTH(B18)-MONTH(VLOOKUP(I18,$C$3:$L$6,8,0))))*VLOOKUP(I18,$C$3:$L$6,7,0),0)),""),"")</f>
        <v/>
      </c>
      <c r="L18" s="29" t="str">
        <f t="shared" ca="1" si="9"/>
        <v/>
      </c>
      <c r="M18" s="36"/>
      <c r="N18" s="36"/>
      <c r="O18" s="6"/>
    </row>
    <row r="19" spans="1:17" x14ac:dyDescent="0.25">
      <c r="A19" s="10"/>
      <c r="B19" s="14">
        <f t="shared" ca="1" si="10"/>
        <v>41000</v>
      </c>
      <c r="C19" s="14" t="str">
        <f ca="1">IF(I18&lt;&gt;Variables!$B$1,IF(H18&lt;&gt;0,C18,I18),"")</f>
        <v>Blue Cash American Express</v>
      </c>
      <c r="D19" s="29">
        <f t="shared" ca="1" si="7"/>
        <v>-2932.403545629511</v>
      </c>
      <c r="E19" s="29">
        <f t="shared" ca="1" si="8"/>
        <v>80</v>
      </c>
      <c r="F19" s="29">
        <f ca="1">IF(C19&lt;&gt;"",IF(OR(VLOOKUP(C19,$C$3:$L$6,5,0)=Variables!$B$5,B19&gt;VLOOKUP(C19,$C$3:$L$6,8,0)),-D19*VLOOKUP(C19,$C$3:$L$6,6,0)/12,0),"")</f>
        <v>35.433209509689924</v>
      </c>
      <c r="G19" s="29">
        <f ca="1">IF(I19&lt;&gt;Variables!$B$1,IF(C19&lt;&gt;"",$I$9-E19-F19,""),-D19)</f>
        <v>384.5667904903101</v>
      </c>
      <c r="H19" s="29">
        <f t="shared" ca="1" si="11"/>
        <v>-2547.8367551392007</v>
      </c>
      <c r="I19" s="31" t="str">
        <f ca="1">IF(C19&lt;&gt;"",IF(D19+$I$9-E19-F19&gt;=0,IF(ISERROR(INDEX($C$3:$C$6,MATCH(C19,$C$3:$C$6,0)+1,0)),Variables!$B$1,INDEX($C$3:$C$6,MATCH(C19,$C$3:$C$6,0)+1,0)),""),"")</f>
        <v/>
      </c>
      <c r="J19" s="29" t="str">
        <f ca="1">IF(ISERROR(VLOOKUP(I19,$C$3:$L$6,5,0)),"",IF(OR(VLOOKUP(I19,$C$3:$L$6,5,0)=Variables!$B$5,B19&gt;VLOOKUP(I19,$C$3:$L$6,8,0)),IF(VLOOKUP(I19,$C$3:$L$6,5,0)=Variables!$B$5,((YEAR(B19)-YEAR($B$12))*12+MONTH(B19)-MONTH($B$12)),((YEAR(B19)-YEAR(VLOOKUP(I19,$C$3:$L$6,8,0)))*12+MONTH(B19)-MONTH(VLOOKUP(I19,$C$3:$L$6,8,0))))*(VLOOKUP(I19,$C$3:$L$6,10,0)*VLOOKUP(I19,$C$3:$L$6,6,0)/12),0))</f>
        <v/>
      </c>
      <c r="K19" s="29" t="str">
        <f ca="1">IF(C19&lt;&gt;"",IF(I19&lt;&gt;"",IF(ISERROR(VLOOKUP(I19,$C$3:$L$6,10,0)),"",VLOOKUP(I19,$C$3:$L$6,10,0)+J19+IF(OR(VLOOKUP(I19,$C$3:$L$6,5,0)=Variables!$B$5,B19&gt;VLOOKUP(I19,$C$3:$L$6,8,0)),IF(VLOOKUP(I19,$C$3:$L$6,5,0)=Variables!$B$5,((YEAR(B19)-YEAR($B$12))*12+MONTH(B19)-MONTH($B$12)),((YEAR(B19)-YEAR(VLOOKUP(I19,$C$3:$L$6,8,0)))*12+MONTH(B19)-MONTH(VLOOKUP(I19,$C$3:$L$6,8,0))))*VLOOKUP(I19,$C$3:$L$6,7,0),0)),""),"")</f>
        <v/>
      </c>
      <c r="L19" s="29" t="str">
        <f t="shared" ca="1" si="9"/>
        <v/>
      </c>
      <c r="M19" s="35"/>
      <c r="N19" s="37"/>
      <c r="O19" s="7"/>
    </row>
    <row r="20" spans="1:17" x14ac:dyDescent="0.25">
      <c r="A20" s="10"/>
      <c r="B20" s="14">
        <f t="shared" ca="1" si="10"/>
        <v>41030</v>
      </c>
      <c r="C20" s="14" t="str">
        <f ca="1">IF(I19&lt;&gt;Variables!$B$1,IF(H19&lt;&gt;0,C19,I19),"")</f>
        <v>Blue Cash American Express</v>
      </c>
      <c r="D20" s="29">
        <f t="shared" ca="1" si="7"/>
        <v>-2547.8367551392007</v>
      </c>
      <c r="E20" s="29">
        <f t="shared" ca="1" si="8"/>
        <v>80</v>
      </c>
      <c r="F20" s="29">
        <f ca="1">IF(C20&lt;&gt;"",IF(OR(VLOOKUP(C20,$C$3:$L$6,5,0)=Variables!$B$5,B20&gt;VLOOKUP(C20,$C$3:$L$6,8,0)),-D20*VLOOKUP(C20,$C$3:$L$6,6,0)/12,0),"")</f>
        <v>30.786360791265338</v>
      </c>
      <c r="G20" s="29">
        <f ca="1">IF(I20&lt;&gt;Variables!$B$1,IF(C20&lt;&gt;"",$I$9-E20-F20,""),-D20)</f>
        <v>389.21363920873466</v>
      </c>
      <c r="H20" s="29">
        <f t="shared" ca="1" si="11"/>
        <v>-2158.6231159304662</v>
      </c>
      <c r="I20" s="31" t="str">
        <f ca="1">IF(C20&lt;&gt;"",IF(D20+$I$9-E20-F20&gt;=0,IF(ISERROR(INDEX($C$3:$C$6,MATCH(C20,$C$3:$C$6,0)+1,0)),Variables!$B$1,INDEX($C$3:$C$6,MATCH(C20,$C$3:$C$6,0)+1,0)),""),"")</f>
        <v/>
      </c>
      <c r="J20" s="29" t="str">
        <f ca="1">IF(ISERROR(VLOOKUP(I20,$C$3:$L$6,5,0)),"",IF(OR(VLOOKUP(I20,$C$3:$L$6,5,0)=Variables!$B$5,B20&gt;VLOOKUP(I20,$C$3:$L$6,8,0)),IF(VLOOKUP(I20,$C$3:$L$6,5,0)=Variables!$B$5,((YEAR(B20)-YEAR($B$12))*12+MONTH(B20)-MONTH($B$12)),((YEAR(B20)-YEAR(VLOOKUP(I20,$C$3:$L$6,8,0)))*12+MONTH(B20)-MONTH(VLOOKUP(I20,$C$3:$L$6,8,0))))*(VLOOKUP(I20,$C$3:$L$6,10,0)*VLOOKUP(I20,$C$3:$L$6,6,0)/12),0))</f>
        <v/>
      </c>
      <c r="K20" s="29" t="str">
        <f ca="1">IF(C20&lt;&gt;"",IF(I20&lt;&gt;"",IF(ISERROR(VLOOKUP(I20,$C$3:$L$6,10,0)),"",VLOOKUP(I20,$C$3:$L$6,10,0)+J20+IF(OR(VLOOKUP(I20,$C$3:$L$6,5,0)=Variables!$B$5,B20&gt;VLOOKUP(I20,$C$3:$L$6,8,0)),IF(VLOOKUP(I20,$C$3:$L$6,5,0)=Variables!$B$5,((YEAR(B20)-YEAR($B$12))*12+MONTH(B20)-MONTH($B$12)),((YEAR(B20)-YEAR(VLOOKUP(I20,$C$3:$L$6,8,0)))*12+MONTH(B20)-MONTH(VLOOKUP(I20,$C$3:$L$6,8,0))))*VLOOKUP(I20,$C$3:$L$6,7,0),0)),""),"")</f>
        <v/>
      </c>
      <c r="L20" s="29" t="str">
        <f t="shared" ca="1" si="9"/>
        <v/>
      </c>
      <c r="M20" s="35"/>
      <c r="N20" s="37"/>
      <c r="O20" s="7"/>
    </row>
    <row r="21" spans="1:17" x14ac:dyDescent="0.25">
      <c r="A21" s="10"/>
      <c r="B21" s="14">
        <f t="shared" ca="1" si="10"/>
        <v>41061</v>
      </c>
      <c r="C21" s="14" t="str">
        <f ca="1">IF(I20&lt;&gt;Variables!$B$1,IF(H20&lt;&gt;0,C20,I20),"")</f>
        <v>Blue Cash American Express</v>
      </c>
      <c r="D21" s="29">
        <f t="shared" ca="1" si="7"/>
        <v>-2158.6231159304662</v>
      </c>
      <c r="E21" s="29">
        <f t="shared" ca="1" si="8"/>
        <v>130</v>
      </c>
      <c r="F21" s="29">
        <f ca="1">IF(C21&lt;&gt;"",IF(OR(VLOOKUP(C21,$C$3:$L$6,5,0)=Variables!$B$5,B21&gt;VLOOKUP(C21,$C$3:$L$6,8,0)),-D21*VLOOKUP(C21,$C$3:$L$6,6,0)/12,0),"")</f>
        <v>26.083362650826462</v>
      </c>
      <c r="G21" s="29">
        <f ca="1">IF(I21&lt;&gt;Variables!$B$1,IF(C21&lt;&gt;"",$I$9-E21-F21,""),-D21)</f>
        <v>343.91663734917353</v>
      </c>
      <c r="H21" s="29">
        <f t="shared" ca="1" si="11"/>
        <v>-1814.7064785812927</v>
      </c>
      <c r="I21" s="31" t="str">
        <f ca="1">IF(C21&lt;&gt;"",IF(D21+$I$9-E21-F21&gt;=0,IF(ISERROR(INDEX($C$3:$C$6,MATCH(C21,$C$3:$C$6,0)+1,0)),Variables!$B$1,INDEX($C$3:$C$6,MATCH(C21,$C$3:$C$6,0)+1,0)),""),"")</f>
        <v/>
      </c>
      <c r="J21" s="29" t="str">
        <f ca="1">IF(ISERROR(VLOOKUP(I21,$C$3:$L$6,5,0)),"",IF(OR(VLOOKUP(I21,$C$3:$L$6,5,0)=Variables!$B$5,B21&gt;VLOOKUP(I21,$C$3:$L$6,8,0)),IF(VLOOKUP(I21,$C$3:$L$6,5,0)=Variables!$B$5,((YEAR(B21)-YEAR($B$12))*12+MONTH(B21)-MONTH($B$12)),((YEAR(B21)-YEAR(VLOOKUP(I21,$C$3:$L$6,8,0)))*12+MONTH(B21)-MONTH(VLOOKUP(I21,$C$3:$L$6,8,0))))*(VLOOKUP(I21,$C$3:$L$6,10,0)*VLOOKUP(I21,$C$3:$L$6,6,0)/12),0))</f>
        <v/>
      </c>
      <c r="K21" s="29" t="str">
        <f ca="1">IF(C21&lt;&gt;"",IF(I21&lt;&gt;"",IF(ISERROR(VLOOKUP(I21,$C$3:$L$6,10,0)),"",VLOOKUP(I21,$C$3:$L$6,10,0)+J21+IF(OR(VLOOKUP(I21,$C$3:$L$6,5,0)=Variables!$B$5,B21&gt;VLOOKUP(I21,$C$3:$L$6,8,0)),IF(VLOOKUP(I21,$C$3:$L$6,5,0)=Variables!$B$5,((YEAR(B21)-YEAR($B$12))*12+MONTH(B21)-MONTH($B$12)),((YEAR(B21)-YEAR(VLOOKUP(I21,$C$3:$L$6,8,0)))*12+MONTH(B21)-MONTH(VLOOKUP(I21,$C$3:$L$6,8,0))))*VLOOKUP(I21,$C$3:$L$6,7,0),0)),""),"")</f>
        <v/>
      </c>
      <c r="L21" s="29" t="str">
        <f t="shared" ca="1" si="9"/>
        <v/>
      </c>
      <c r="M21" s="35"/>
      <c r="N21" s="37"/>
      <c r="O21" s="7"/>
      <c r="P21" s="5"/>
      <c r="Q21" s="5"/>
    </row>
    <row r="22" spans="1:17" x14ac:dyDescent="0.25">
      <c r="A22" s="10"/>
      <c r="B22" s="14">
        <f t="shared" ca="1" si="10"/>
        <v>41091</v>
      </c>
      <c r="C22" s="14" t="str">
        <f ca="1">IF(I21&lt;&gt;Variables!$B$1,IF(H21&lt;&gt;0,C21,I21),"")</f>
        <v>Blue Cash American Express</v>
      </c>
      <c r="D22" s="29">
        <f t="shared" ca="1" si="7"/>
        <v>-1814.7064785812927</v>
      </c>
      <c r="E22" s="29">
        <f t="shared" ca="1" si="8"/>
        <v>130</v>
      </c>
      <c r="F22" s="29">
        <f ca="1">IF(C22&lt;&gt;"",IF(OR(VLOOKUP(C22,$C$3:$L$6,5,0)=Variables!$B$5,B22&gt;VLOOKUP(C22,$C$3:$L$6,8,0)),-D22*VLOOKUP(C22,$C$3:$L$6,6,0)/12,0),"")</f>
        <v>21.927703282857284</v>
      </c>
      <c r="G22" s="29">
        <f ca="1">IF(I22&lt;&gt;Variables!$B$1,IF(C22&lt;&gt;"",$I$9-E22-F22,""),-D22)</f>
        <v>348.07229671714271</v>
      </c>
      <c r="H22" s="29">
        <f t="shared" ca="1" si="11"/>
        <v>-1466.6341818641499</v>
      </c>
      <c r="I22" s="31" t="str">
        <f ca="1">IF(C22&lt;&gt;"",IF(D22+$I$9-E22-F22&gt;=0,IF(ISERROR(INDEX($C$3:$C$6,MATCH(C22,$C$3:$C$6,0)+1,0)),Variables!$B$1,INDEX($C$3:$C$6,MATCH(C22,$C$3:$C$6,0)+1,0)),""),"")</f>
        <v/>
      </c>
      <c r="J22" s="29" t="str">
        <f ca="1">IF(ISERROR(VLOOKUP(I22,$C$3:$L$6,5,0)),"",IF(OR(VLOOKUP(I22,$C$3:$L$6,5,0)=Variables!$B$5,B22&gt;VLOOKUP(I22,$C$3:$L$6,8,0)),IF(VLOOKUP(I22,$C$3:$L$6,5,0)=Variables!$B$5,((YEAR(B22)-YEAR($B$12))*12+MONTH(B22)-MONTH($B$12)),((YEAR(B22)-YEAR(VLOOKUP(I22,$C$3:$L$6,8,0)))*12+MONTH(B22)-MONTH(VLOOKUP(I22,$C$3:$L$6,8,0))))*(VLOOKUP(I22,$C$3:$L$6,10,0)*VLOOKUP(I22,$C$3:$L$6,6,0)/12),0))</f>
        <v/>
      </c>
      <c r="K22" s="29" t="str">
        <f ca="1">IF(C22&lt;&gt;"",IF(I22&lt;&gt;"",IF(ISERROR(VLOOKUP(I22,$C$3:$L$6,10,0)),"",VLOOKUP(I22,$C$3:$L$6,10,0)+J22+IF(OR(VLOOKUP(I22,$C$3:$L$6,5,0)=Variables!$B$5,B22&gt;VLOOKUP(I22,$C$3:$L$6,8,0)),IF(VLOOKUP(I22,$C$3:$L$6,5,0)=Variables!$B$5,((YEAR(B22)-YEAR($B$12))*12+MONTH(B22)-MONTH($B$12)),((YEAR(B22)-YEAR(VLOOKUP(I22,$C$3:$L$6,8,0)))*12+MONTH(B22)-MONTH(VLOOKUP(I22,$C$3:$L$6,8,0))))*VLOOKUP(I22,$C$3:$L$6,7,0),0)),""),"")</f>
        <v/>
      </c>
      <c r="L22" s="29" t="str">
        <f t="shared" ca="1" si="9"/>
        <v/>
      </c>
      <c r="M22" s="35"/>
      <c r="N22" s="37"/>
      <c r="O22" s="7"/>
      <c r="P22" s="1"/>
      <c r="Q22" s="5"/>
    </row>
    <row r="23" spans="1:17" x14ac:dyDescent="0.25">
      <c r="A23" s="10"/>
      <c r="B23" s="14">
        <f t="shared" ca="1" si="10"/>
        <v>41122</v>
      </c>
      <c r="C23" s="14" t="str">
        <f ca="1">IF(I22&lt;&gt;Variables!$B$1,IF(H22&lt;&gt;0,C22,I22),"")</f>
        <v>Blue Cash American Express</v>
      </c>
      <c r="D23" s="29">
        <f t="shared" ca="1" si="7"/>
        <v>-1466.6341818641499</v>
      </c>
      <c r="E23" s="29">
        <f t="shared" ca="1" si="8"/>
        <v>130</v>
      </c>
      <c r="F23" s="29">
        <f ca="1">IF(C23&lt;&gt;"",IF(OR(VLOOKUP(C23,$C$3:$L$6,5,0)=Variables!$B$5,B23&gt;VLOOKUP(C23,$C$3:$L$6,8,0)),-D23*VLOOKUP(C23,$C$3:$L$6,6,0)/12,0),"")</f>
        <v>17.721829697525145</v>
      </c>
      <c r="G23" s="29">
        <f ca="1">IF(I23&lt;&gt;Variables!$B$1,IF(C23&lt;&gt;"",$I$9-E23-F23,""),-D23)</f>
        <v>352.27817030247485</v>
      </c>
      <c r="H23" s="29">
        <f t="shared" ca="1" si="11"/>
        <v>-1114.3560115616751</v>
      </c>
      <c r="I23" s="31" t="str">
        <f ca="1">IF(C23&lt;&gt;"",IF(D23+$I$9-E23-F23&gt;=0,IF(ISERROR(INDEX($C$3:$C$6,MATCH(C23,$C$3:$C$6,0)+1,0)),Variables!$B$1,INDEX($C$3:$C$6,MATCH(C23,$C$3:$C$6,0)+1,0)),""),"")</f>
        <v/>
      </c>
      <c r="J23" s="29" t="str">
        <f ca="1">IF(ISERROR(VLOOKUP(I23,$C$3:$L$6,5,0)),"",IF(OR(VLOOKUP(I23,$C$3:$L$6,5,0)=Variables!$B$5,B23&gt;VLOOKUP(I23,$C$3:$L$6,8,0)),IF(VLOOKUP(I23,$C$3:$L$6,5,0)=Variables!$B$5,((YEAR(B23)-YEAR($B$12))*12+MONTH(B23)-MONTH($B$12)),((YEAR(B23)-YEAR(VLOOKUP(I23,$C$3:$L$6,8,0)))*12+MONTH(B23)-MONTH(VLOOKUP(I23,$C$3:$L$6,8,0))))*(VLOOKUP(I23,$C$3:$L$6,10,0)*VLOOKUP(I23,$C$3:$L$6,6,0)/12),0))</f>
        <v/>
      </c>
      <c r="K23" s="29" t="str">
        <f ca="1">IF(C23&lt;&gt;"",IF(I23&lt;&gt;"",IF(ISERROR(VLOOKUP(I23,$C$3:$L$6,10,0)),"",VLOOKUP(I23,$C$3:$L$6,10,0)+J23+IF(OR(VLOOKUP(I23,$C$3:$L$6,5,0)=Variables!$B$5,B23&gt;VLOOKUP(I23,$C$3:$L$6,8,0)),IF(VLOOKUP(I23,$C$3:$L$6,5,0)=Variables!$B$5,((YEAR(B23)-YEAR($B$12))*12+MONTH(B23)-MONTH($B$12)),((YEAR(B23)-YEAR(VLOOKUP(I23,$C$3:$L$6,8,0)))*12+MONTH(B23)-MONTH(VLOOKUP(I23,$C$3:$L$6,8,0))))*VLOOKUP(I23,$C$3:$L$6,7,0),0)),""),"")</f>
        <v/>
      </c>
      <c r="L23" s="29" t="str">
        <f t="shared" ca="1" si="9"/>
        <v/>
      </c>
      <c r="M23" s="35"/>
      <c r="N23" s="37"/>
      <c r="O23" s="7"/>
    </row>
    <row r="24" spans="1:17" x14ac:dyDescent="0.25">
      <c r="A24" s="10"/>
      <c r="B24" s="14">
        <f t="shared" ca="1" si="10"/>
        <v>41153</v>
      </c>
      <c r="C24" s="14" t="str">
        <f ca="1">IF(I23&lt;&gt;Variables!$B$1,IF(H23&lt;&gt;0,C23,I23),"")</f>
        <v>Blue Cash American Express</v>
      </c>
      <c r="D24" s="29">
        <f t="shared" ca="1" si="7"/>
        <v>-1114.3560115616751</v>
      </c>
      <c r="E24" s="29">
        <f t="shared" ca="1" si="8"/>
        <v>130</v>
      </c>
      <c r="F24" s="29">
        <f ca="1">IF(C24&lt;&gt;"",IF(OR(VLOOKUP(C24,$C$3:$L$6,5,0)=Variables!$B$5,B24&gt;VLOOKUP(C24,$C$3:$L$6,8,0)),-D24*VLOOKUP(C24,$C$3:$L$6,6,0)/12,0),"")</f>
        <v>13.465135139703575</v>
      </c>
      <c r="G24" s="29">
        <f ca="1">IF(I24&lt;&gt;Variables!$B$1,IF(C24&lt;&gt;"",$I$9-E24-F24,""),-D24)</f>
        <v>356.53486486029641</v>
      </c>
      <c r="H24" s="29">
        <f t="shared" ca="1" si="11"/>
        <v>-757.82114670137867</v>
      </c>
      <c r="I24" s="31" t="str">
        <f ca="1">IF(C24&lt;&gt;"",IF(D24+$I$9-E24-F24&gt;=0,IF(ISERROR(INDEX($C$3:$C$6,MATCH(C24,$C$3:$C$6,0)+1,0)),Variables!$B$1,INDEX($C$3:$C$6,MATCH(C24,$C$3:$C$6,0)+1,0)),""),"")</f>
        <v/>
      </c>
      <c r="J24" s="29" t="str">
        <f ca="1">IF(ISERROR(VLOOKUP(I24,$C$3:$L$6,5,0)),"",IF(OR(VLOOKUP(I24,$C$3:$L$6,5,0)=Variables!$B$5,B24&gt;VLOOKUP(I24,$C$3:$L$6,8,0)),IF(VLOOKUP(I24,$C$3:$L$6,5,0)=Variables!$B$5,((YEAR(B24)-YEAR($B$12))*12+MONTH(B24)-MONTH($B$12)),((YEAR(B24)-YEAR(VLOOKUP(I24,$C$3:$L$6,8,0)))*12+MONTH(B24)-MONTH(VLOOKUP(I24,$C$3:$L$6,8,0))))*(VLOOKUP(I24,$C$3:$L$6,10,0)*VLOOKUP(I24,$C$3:$L$6,6,0)/12),0))</f>
        <v/>
      </c>
      <c r="K24" s="29" t="str">
        <f ca="1">IF(C24&lt;&gt;"",IF(I24&lt;&gt;"",IF(ISERROR(VLOOKUP(I24,$C$3:$L$6,10,0)),"",VLOOKUP(I24,$C$3:$L$6,10,0)+J24+IF(OR(VLOOKUP(I24,$C$3:$L$6,5,0)=Variables!$B$5,B24&gt;VLOOKUP(I24,$C$3:$L$6,8,0)),IF(VLOOKUP(I24,$C$3:$L$6,5,0)=Variables!$B$5,((YEAR(B24)-YEAR($B$12))*12+MONTH(B24)-MONTH($B$12)),((YEAR(B24)-YEAR(VLOOKUP(I24,$C$3:$L$6,8,0)))*12+MONTH(B24)-MONTH(VLOOKUP(I24,$C$3:$L$6,8,0))))*VLOOKUP(I24,$C$3:$L$6,7,0),0)),""),"")</f>
        <v/>
      </c>
      <c r="L24" s="29" t="str">
        <f t="shared" ca="1" si="9"/>
        <v/>
      </c>
      <c r="M24" s="35"/>
      <c r="N24" s="37"/>
      <c r="O24" s="7"/>
      <c r="P24" s="5"/>
      <c r="Q24" s="5"/>
    </row>
    <row r="25" spans="1:17" x14ac:dyDescent="0.25">
      <c r="A25" s="10"/>
      <c r="B25" s="14">
        <f t="shared" ca="1" si="10"/>
        <v>41183</v>
      </c>
      <c r="C25" s="14" t="str">
        <f ca="1">IF(I24&lt;&gt;Variables!$B$1,IF(H24&lt;&gt;0,C24,I24),"")</f>
        <v>Blue Cash American Express</v>
      </c>
      <c r="D25" s="29">
        <f t="shared" ca="1" si="7"/>
        <v>-757.82114670137867</v>
      </c>
      <c r="E25" s="29">
        <f t="shared" ca="1" si="8"/>
        <v>130</v>
      </c>
      <c r="F25" s="29">
        <f ca="1">IF(C25&lt;&gt;"",IF(OR(VLOOKUP(C25,$C$3:$L$6,5,0)=Variables!$B$5,B25&gt;VLOOKUP(C25,$C$3:$L$6,8,0)),-D25*VLOOKUP(C25,$C$3:$L$6,6,0)/12,0),"")</f>
        <v>9.1570055226416578</v>
      </c>
      <c r="G25" s="29">
        <f ca="1">IF(I25&lt;&gt;Variables!$B$1,IF(C25&lt;&gt;"",$I$9-E25-F25,""),-D25)</f>
        <v>360.84299447735833</v>
      </c>
      <c r="H25" s="29">
        <f t="shared" ca="1" si="11"/>
        <v>-396.97815222402033</v>
      </c>
      <c r="I25" s="31" t="str">
        <f ca="1">IF(C25&lt;&gt;"",IF(D25+$I$9-E25-F25&gt;=0,IF(ISERROR(INDEX($C$3:$C$6,MATCH(C25,$C$3:$C$6,0)+1,0)),Variables!$B$1,INDEX($C$3:$C$6,MATCH(C25,$C$3:$C$6,0)+1,0)),""),"")</f>
        <v/>
      </c>
      <c r="J25" s="29" t="str">
        <f ca="1">IF(ISERROR(VLOOKUP(I25,$C$3:$L$6,5,0)),"",IF(OR(VLOOKUP(I25,$C$3:$L$6,5,0)=Variables!$B$5,B25&gt;VLOOKUP(I25,$C$3:$L$6,8,0)),IF(VLOOKUP(I25,$C$3:$L$6,5,0)=Variables!$B$5,((YEAR(B25)-YEAR($B$12))*12+MONTH(B25)-MONTH($B$12)),((YEAR(B25)-YEAR(VLOOKUP(I25,$C$3:$L$6,8,0)))*12+MONTH(B25)-MONTH(VLOOKUP(I25,$C$3:$L$6,8,0))))*(VLOOKUP(I25,$C$3:$L$6,10,0)*VLOOKUP(I25,$C$3:$L$6,6,0)/12),0))</f>
        <v/>
      </c>
      <c r="K25" s="29" t="str">
        <f ca="1">IF(C25&lt;&gt;"",IF(I25&lt;&gt;"",IF(ISERROR(VLOOKUP(I25,$C$3:$L$6,10,0)),"",VLOOKUP(I25,$C$3:$L$6,10,0)+J25+IF(OR(VLOOKUP(I25,$C$3:$L$6,5,0)=Variables!$B$5,B25&gt;VLOOKUP(I25,$C$3:$L$6,8,0)),IF(VLOOKUP(I25,$C$3:$L$6,5,0)=Variables!$B$5,((YEAR(B25)-YEAR($B$12))*12+MONTH(B25)-MONTH($B$12)),((YEAR(B25)-YEAR(VLOOKUP(I25,$C$3:$L$6,8,0)))*12+MONTH(B25)-MONTH(VLOOKUP(I25,$C$3:$L$6,8,0))))*VLOOKUP(I25,$C$3:$L$6,7,0),0)),""),"")</f>
        <v/>
      </c>
      <c r="L25" s="29" t="str">
        <f t="shared" ca="1" si="9"/>
        <v/>
      </c>
      <c r="M25" s="35"/>
      <c r="N25" s="37"/>
      <c r="O25" s="7"/>
      <c r="P25" s="5"/>
      <c r="Q25" s="5"/>
    </row>
    <row r="26" spans="1:17" x14ac:dyDescent="0.25">
      <c r="A26" s="10"/>
      <c r="B26" s="14">
        <f t="shared" ca="1" si="10"/>
        <v>41214</v>
      </c>
      <c r="C26" s="14" t="str">
        <f ca="1">IF(I25&lt;&gt;Variables!$B$1,IF(H25&lt;&gt;0,C25,I25),"")</f>
        <v>Blue Cash American Express</v>
      </c>
      <c r="D26" s="29">
        <f t="shared" ca="1" si="7"/>
        <v>-396.97815222402033</v>
      </c>
      <c r="E26" s="29">
        <f t="shared" ca="1" si="8"/>
        <v>130</v>
      </c>
      <c r="F26" s="29">
        <f ca="1">IF(C26&lt;&gt;"",IF(OR(VLOOKUP(C26,$C$3:$L$6,5,0)=Variables!$B$5,B26&gt;VLOOKUP(C26,$C$3:$L$6,8,0)),-D26*VLOOKUP(C26,$C$3:$L$6,6,0)/12,0),"")</f>
        <v>4.7968193393735783</v>
      </c>
      <c r="G26" s="29">
        <f ca="1">IF(I26&lt;&gt;Variables!$B$1,IF(C26&lt;&gt;"",$I$9-E26-F26,""),-D26)</f>
        <v>365.2031806606264</v>
      </c>
      <c r="H26" s="29">
        <f t="shared" ca="1" si="11"/>
        <v>-31.774971563393933</v>
      </c>
      <c r="I26" s="31" t="str">
        <f ca="1">IF(C26&lt;&gt;"",IF(D26+$I$9-E26-F26&gt;=0,IF(ISERROR(INDEX($C$3:$C$6,MATCH(C26,$C$3:$C$6,0)+1,0)),Variables!$B$1,INDEX($C$3:$C$6,MATCH(C26,$C$3:$C$6,0)+1,0)),""),"")</f>
        <v/>
      </c>
      <c r="J26" s="29" t="str">
        <f ca="1">IF(ISERROR(VLOOKUP(I26,$C$3:$L$6,5,0)),"",IF(OR(VLOOKUP(I26,$C$3:$L$6,5,0)=Variables!$B$5,B26&gt;VLOOKUP(I26,$C$3:$L$6,8,0)),IF(VLOOKUP(I26,$C$3:$L$6,5,0)=Variables!$B$5,((YEAR(B26)-YEAR($B$12))*12+MONTH(B26)-MONTH($B$12)),((YEAR(B26)-YEAR(VLOOKUP(I26,$C$3:$L$6,8,0)))*12+MONTH(B26)-MONTH(VLOOKUP(I26,$C$3:$L$6,8,0))))*(VLOOKUP(I26,$C$3:$L$6,10,0)*VLOOKUP(I26,$C$3:$L$6,6,0)/12),0))</f>
        <v/>
      </c>
      <c r="K26" s="29" t="str">
        <f ca="1">IF(C26&lt;&gt;"",IF(I26&lt;&gt;"",IF(ISERROR(VLOOKUP(I26,$C$3:$L$6,10,0)),"",VLOOKUP(I26,$C$3:$L$6,10,0)+J26+IF(OR(VLOOKUP(I26,$C$3:$L$6,5,0)=Variables!$B$5,B26&gt;VLOOKUP(I26,$C$3:$L$6,8,0)),IF(VLOOKUP(I26,$C$3:$L$6,5,0)=Variables!$B$5,((YEAR(B26)-YEAR($B$12))*12+MONTH(B26)-MONTH($B$12)),((YEAR(B26)-YEAR(VLOOKUP(I26,$C$3:$L$6,8,0)))*12+MONTH(B26)-MONTH(VLOOKUP(I26,$C$3:$L$6,8,0))))*VLOOKUP(I26,$C$3:$L$6,7,0),0)),""),"")</f>
        <v/>
      </c>
      <c r="L26" s="29" t="str">
        <f t="shared" ca="1" si="9"/>
        <v/>
      </c>
      <c r="M26" s="35"/>
      <c r="N26" s="35"/>
      <c r="O26" s="5"/>
      <c r="P26" s="5"/>
      <c r="Q26" s="5"/>
    </row>
    <row r="27" spans="1:17" x14ac:dyDescent="0.25">
      <c r="A27" s="10"/>
      <c r="B27" s="14">
        <f t="shared" ca="1" si="10"/>
        <v>41244</v>
      </c>
      <c r="C27" s="14" t="str">
        <f ca="1">IF(I26&lt;&gt;Variables!$B$1,IF(H26&lt;&gt;0,C26,I26),"")</f>
        <v>Blue Cash American Express</v>
      </c>
      <c r="D27" s="29">
        <f t="shared" ca="1" si="7"/>
        <v>-31.774971563393933</v>
      </c>
      <c r="E27" s="29">
        <f t="shared" ca="1" si="8"/>
        <v>130</v>
      </c>
      <c r="F27" s="29">
        <f ca="1">IF(C27&lt;&gt;"",IF(OR(VLOOKUP(C27,$C$3:$L$6,5,0)=Variables!$B$5,B27&gt;VLOOKUP(C27,$C$3:$L$6,8,0)),-D27*VLOOKUP(C27,$C$3:$L$6,6,0)/12,0),"")</f>
        <v>0.38394757305767668</v>
      </c>
      <c r="G27" s="29">
        <f ca="1">IF(I27&lt;&gt;Variables!$B$1,IF(C27&lt;&gt;"",$I$9-E27-F27,""),-D27)</f>
        <v>369.6160524269423</v>
      </c>
      <c r="H27" s="29">
        <f t="shared" ca="1" si="11"/>
        <v>0</v>
      </c>
      <c r="I27" s="31" t="str">
        <f ca="1">IF(C27&lt;&gt;"",IF(D27+$I$9-E27-F27&gt;=0,IF(ISERROR(INDEX($C$3:$C$6,MATCH(C27,$C$3:$C$6,0)+1,0)),Variables!$B$1,INDEX($C$3:$C$6,MATCH(C27,$C$3:$C$6,0)+1,0)),""),"")</f>
        <v>Chase Freedom</v>
      </c>
      <c r="J27" s="29">
        <f ca="1">IF(ISERROR(VLOOKUP(I27,$C$3:$L$6,5,0)),"",IF(OR(VLOOKUP(I27,$C$3:$L$6,5,0)=Variables!$B$5,B27&gt;VLOOKUP(I27,$C$3:$L$6,8,0)),IF(VLOOKUP(I27,$C$3:$L$6,5,0)=Variables!$B$5,((YEAR(B27)-YEAR($B$12))*12+MONTH(B27)-MONTH($B$12)),((YEAR(B27)-YEAR(VLOOKUP(I27,$C$3:$L$6,8,0)))*12+MONTH(B27)-MONTH(VLOOKUP(I27,$C$3:$L$6,8,0))))*(VLOOKUP(I27,$C$3:$L$6,10,0)*VLOOKUP(I27,$C$3:$L$6,6,0)/12),0))</f>
        <v>-1280</v>
      </c>
      <c r="K27" s="29">
        <f ca="1">IF(C27&lt;&gt;"",IF(I27&lt;&gt;"",IF(ISERROR(VLOOKUP(I27,$C$3:$L$6,10,0)),"",VLOOKUP(I27,$C$3:$L$6,10,0)+J27+IF(OR(VLOOKUP(I27,$C$3:$L$6,5,0)=Variables!$B$5,B27&gt;VLOOKUP(I27,$C$3:$L$6,8,0)),IF(VLOOKUP(I27,$C$3:$L$6,5,0)=Variables!$B$5,((YEAR(B27)-YEAR($B$12))*12+MONTH(B27)-MONTH($B$12)),((YEAR(B27)-YEAR(VLOOKUP(I27,$C$3:$L$6,8,0)))*12+MONTH(B27)-MONTH(VLOOKUP(I27,$C$3:$L$6,8,0))))*VLOOKUP(I27,$C$3:$L$6,7,0),0)),""),"")</f>
        <v>-8080</v>
      </c>
      <c r="L27" s="29">
        <f t="shared" ca="1" si="9"/>
        <v>-7742.158919136451</v>
      </c>
      <c r="M27" s="35"/>
      <c r="N27" s="35"/>
      <c r="O27" s="5"/>
      <c r="P27" s="5"/>
      <c r="Q27" s="5"/>
    </row>
    <row r="28" spans="1:17" x14ac:dyDescent="0.25">
      <c r="A28" s="10"/>
      <c r="B28" s="14">
        <f t="shared" ca="1" si="10"/>
        <v>41275</v>
      </c>
      <c r="C28" s="14" t="str">
        <f ca="1">IF(I27&lt;&gt;Variables!$B$1,IF(H27&lt;&gt;0,C27,I27),"")</f>
        <v>Chase Freedom</v>
      </c>
      <c r="D28" s="29">
        <f t="shared" ref="D28:D91" ca="1" si="12">IF(C28&lt;&gt;"",IF(H27&lt;&gt;0,H27,L27),"")</f>
        <v>-7742.158919136451</v>
      </c>
      <c r="E28" s="29">
        <f t="shared" ref="E28:E91" ca="1" si="13">IF(C28&lt;&gt;"",MINPAYMENT(C28,ROW(B28),COLUMN(B28)),"")</f>
        <v>50</v>
      </c>
      <c r="F28" s="29">
        <f ca="1">IF(C28&lt;&gt;"",IF(OR(VLOOKUP(C28,$C$3:$L$6,5,0)=Variables!$B$5,B28&gt;VLOOKUP(C28,$C$3:$L$6,8,0)),-D28*VLOOKUP(C28,$C$3:$L$6,6,0)/12,0),"")</f>
        <v>82.583028470788818</v>
      </c>
      <c r="G28" s="29">
        <f ca="1">IF(I28&lt;&gt;Variables!$B$1,IF(C28&lt;&gt;"",$I$9-E28-F28,""),-D28)</f>
        <v>367.4169715292112</v>
      </c>
      <c r="H28" s="29">
        <f t="shared" ca="1" si="11"/>
        <v>-7374.74194760724</v>
      </c>
      <c r="I28" s="31" t="str">
        <f ca="1">IF(C28&lt;&gt;"",IF(D28+$I$9-E28-F28&gt;=0,IF(ISERROR(INDEX($C$3:$C$6,MATCH(C28,$C$3:$C$6,0)+1,0)),Variables!$B$1,INDEX($C$3:$C$6,MATCH(C28,$C$3:$C$6,0)+1,0)),""),"")</f>
        <v/>
      </c>
      <c r="J28" s="29" t="str">
        <f ca="1">IF(ISERROR(VLOOKUP(I28,$C$3:$L$6,5,0)),"",IF(OR(VLOOKUP(I28,$C$3:$L$6,5,0)=Variables!$B$5,B28&gt;VLOOKUP(I28,$C$3:$L$6,8,0)),IF(VLOOKUP(I28,$C$3:$L$6,5,0)=Variables!$B$5,((YEAR(B28)-YEAR($B$12))*12+MONTH(B28)-MONTH($B$12)),((YEAR(B28)-YEAR(VLOOKUP(I28,$C$3:$L$6,8,0)))*12+MONTH(B28)-MONTH(VLOOKUP(I28,$C$3:$L$6,8,0))))*(VLOOKUP(I28,$C$3:$L$6,10,0)*VLOOKUP(I28,$C$3:$L$6,6,0)/12),0))</f>
        <v/>
      </c>
      <c r="K28" s="29" t="str">
        <f ca="1">IF(C28&lt;&gt;"",IF(I28&lt;&gt;"",IF(ISERROR(VLOOKUP(I28,$C$3:$L$6,10,0)),"",VLOOKUP(I28,$C$3:$L$6,10,0)+J28+IF(OR(VLOOKUP(I28,$C$3:$L$6,5,0)=Variables!$B$5,B28&gt;VLOOKUP(I28,$C$3:$L$6,8,0)),IF(VLOOKUP(I28,$C$3:$L$6,5,0)=Variables!$B$5,((YEAR(B28)-YEAR($B$12))*12+MONTH(B28)-MONTH($B$12)),((YEAR(B28)-YEAR(VLOOKUP(I28,$C$3:$L$6,8,0)))*12+MONTH(B28)-MONTH(VLOOKUP(I28,$C$3:$L$6,8,0))))*VLOOKUP(I28,$C$3:$L$6,7,0),0)),""),"")</f>
        <v/>
      </c>
      <c r="L28" s="29" t="str">
        <f t="shared" ref="L28:L91" ca="1" si="14">IF(C28&lt;&gt;"",IF(ISERROR(IF(D28+G28&gt;=0,K28+D28+G28,"")),"",IF(D28+G28&gt;=0,K28+D28+G28,"")),"")</f>
        <v/>
      </c>
      <c r="M28" s="35"/>
      <c r="N28" s="35"/>
      <c r="O28" s="5"/>
      <c r="P28" s="5"/>
      <c r="Q28" s="5"/>
    </row>
    <row r="29" spans="1:17" x14ac:dyDescent="0.25">
      <c r="A29" s="10"/>
      <c r="B29" s="14">
        <f t="shared" ref="B29:B92" ca="1" si="15">IF(C29&lt;&gt;"",DATE(YEAR(B28),MONTH(B28)+1,DAY(B28)),"")</f>
        <v>41306</v>
      </c>
      <c r="C29" s="14" t="str">
        <f ca="1">IF(I28&lt;&gt;Variables!$B$1,IF(H28&lt;&gt;0,C28,I28),"")</f>
        <v>Chase Freedom</v>
      </c>
      <c r="D29" s="29">
        <f t="shared" ca="1" si="12"/>
        <v>-7374.74194760724</v>
      </c>
      <c r="E29" s="29">
        <f t="shared" ca="1" si="13"/>
        <v>50</v>
      </c>
      <c r="F29" s="29">
        <f ca="1">IF(C29&lt;&gt;"",IF(OR(VLOOKUP(C29,$C$3:$L$6,5,0)=Variables!$B$5,B29&gt;VLOOKUP(C29,$C$3:$L$6,8,0)),-D29*VLOOKUP(C29,$C$3:$L$6,6,0)/12,0),"")</f>
        <v>78.663914107810555</v>
      </c>
      <c r="G29" s="29">
        <f ca="1">IF(I29&lt;&gt;Variables!$B$1,IF(C29&lt;&gt;"",$I$9-E29-F29,""),-D29)</f>
        <v>371.33608589218943</v>
      </c>
      <c r="H29" s="29">
        <f t="shared" ref="H29:H92" ca="1" si="16">IF(C29&lt;&gt;"",IF(D29+G29&lt;0,D29+G29,0),"")</f>
        <v>-7003.4058617150504</v>
      </c>
      <c r="I29" s="31" t="str">
        <f ca="1">IF(C29&lt;&gt;"",IF(D29+$I$9-E29-F29&gt;=0,IF(ISERROR(INDEX($C$3:$C$6,MATCH(C29,$C$3:$C$6,0)+1,0)),Variables!$B$1,INDEX($C$3:$C$6,MATCH(C29,$C$3:$C$6,0)+1,0)),""),"")</f>
        <v/>
      </c>
      <c r="J29" s="29" t="str">
        <f ca="1">IF(ISERROR(VLOOKUP(I29,$C$3:$L$6,5,0)),"",IF(OR(VLOOKUP(I29,$C$3:$L$6,5,0)=Variables!$B$5,B29&gt;VLOOKUP(I29,$C$3:$L$6,8,0)),IF(VLOOKUP(I29,$C$3:$L$6,5,0)=Variables!$B$5,((YEAR(B29)-YEAR($B$12))*12+MONTH(B29)-MONTH($B$12)),((YEAR(B29)-YEAR(VLOOKUP(I29,$C$3:$L$6,8,0)))*12+MONTH(B29)-MONTH(VLOOKUP(I29,$C$3:$L$6,8,0))))*(VLOOKUP(I29,$C$3:$L$6,10,0)*VLOOKUP(I29,$C$3:$L$6,6,0)/12),0))</f>
        <v/>
      </c>
      <c r="K29" s="29" t="str">
        <f ca="1">IF(C29&lt;&gt;"",IF(I29&lt;&gt;"",IF(ISERROR(VLOOKUP(I29,$C$3:$L$6,10,0)),"",VLOOKUP(I29,$C$3:$L$6,10,0)+J29+IF(OR(VLOOKUP(I29,$C$3:$L$6,5,0)=Variables!$B$5,B29&gt;VLOOKUP(I29,$C$3:$L$6,8,0)),IF(VLOOKUP(I29,$C$3:$L$6,5,0)=Variables!$B$5,((YEAR(B29)-YEAR($B$12))*12+MONTH(B29)-MONTH($B$12)),((YEAR(B29)-YEAR(VLOOKUP(I29,$C$3:$L$6,8,0)))*12+MONTH(B29)-MONTH(VLOOKUP(I29,$C$3:$L$6,8,0))))*VLOOKUP(I29,$C$3:$L$6,7,0),0)),""),"")</f>
        <v/>
      </c>
      <c r="L29" s="29" t="str">
        <f t="shared" ca="1" si="14"/>
        <v/>
      </c>
      <c r="M29" s="10"/>
      <c r="N29" s="10"/>
      <c r="P29" s="5"/>
      <c r="Q29" s="5"/>
    </row>
    <row r="30" spans="1:17" x14ac:dyDescent="0.25">
      <c r="A30" s="10"/>
      <c r="B30" s="14">
        <f t="shared" ca="1" si="15"/>
        <v>41334</v>
      </c>
      <c r="C30" s="14" t="str">
        <f ca="1">IF(I29&lt;&gt;Variables!$B$1,IF(H29&lt;&gt;0,C29,I29),"")</f>
        <v>Chase Freedom</v>
      </c>
      <c r="D30" s="29">
        <f t="shared" ca="1" si="12"/>
        <v>-7003.4058617150504</v>
      </c>
      <c r="E30" s="29">
        <f t="shared" ca="1" si="13"/>
        <v>50</v>
      </c>
      <c r="F30" s="29">
        <f ca="1">IF(C30&lt;&gt;"",IF(OR(VLOOKUP(C30,$C$3:$L$6,5,0)=Variables!$B$5,B30&gt;VLOOKUP(C30,$C$3:$L$6,8,0)),-D30*VLOOKUP(C30,$C$3:$L$6,6,0)/12,0),"")</f>
        <v>74.702995858293875</v>
      </c>
      <c r="G30" s="29">
        <f ca="1">IF(I30&lt;&gt;Variables!$B$1,IF(C30&lt;&gt;"",$I$9-E30-F30,""),-D30)</f>
        <v>375.29700414170611</v>
      </c>
      <c r="H30" s="29">
        <f t="shared" ca="1" si="16"/>
        <v>-6628.1088575733447</v>
      </c>
      <c r="I30" s="31" t="str">
        <f ca="1">IF(C30&lt;&gt;"",IF(D30+$I$9-E30-F30&gt;=0,IF(ISERROR(INDEX($C$3:$C$6,MATCH(C30,$C$3:$C$6,0)+1,0)),Variables!$B$1,INDEX($C$3:$C$6,MATCH(C30,$C$3:$C$6,0)+1,0)),""),"")</f>
        <v/>
      </c>
      <c r="J30" s="29" t="str">
        <f ca="1">IF(ISERROR(VLOOKUP(I30,$C$3:$L$6,5,0)),"",IF(OR(VLOOKUP(I30,$C$3:$L$6,5,0)=Variables!$B$5,B30&gt;VLOOKUP(I30,$C$3:$L$6,8,0)),IF(VLOOKUP(I30,$C$3:$L$6,5,0)=Variables!$B$5,((YEAR(B30)-YEAR($B$12))*12+MONTH(B30)-MONTH($B$12)),((YEAR(B30)-YEAR(VLOOKUP(I30,$C$3:$L$6,8,0)))*12+MONTH(B30)-MONTH(VLOOKUP(I30,$C$3:$L$6,8,0))))*(VLOOKUP(I30,$C$3:$L$6,10,0)*VLOOKUP(I30,$C$3:$L$6,6,0)/12),0))</f>
        <v/>
      </c>
      <c r="K30" s="29" t="str">
        <f ca="1">IF(C30&lt;&gt;"",IF(I30&lt;&gt;"",IF(ISERROR(VLOOKUP(I30,$C$3:$L$6,10,0)),"",VLOOKUP(I30,$C$3:$L$6,10,0)+J30+IF(OR(VLOOKUP(I30,$C$3:$L$6,5,0)=Variables!$B$5,B30&gt;VLOOKUP(I30,$C$3:$L$6,8,0)),IF(VLOOKUP(I30,$C$3:$L$6,5,0)=Variables!$B$5,((YEAR(B30)-YEAR($B$12))*12+MONTH(B30)-MONTH($B$12)),((YEAR(B30)-YEAR(VLOOKUP(I30,$C$3:$L$6,8,0)))*12+MONTH(B30)-MONTH(VLOOKUP(I30,$C$3:$L$6,8,0))))*VLOOKUP(I30,$C$3:$L$6,7,0),0)),""),"")</f>
        <v/>
      </c>
      <c r="L30" s="29" t="str">
        <f t="shared" ca="1" si="14"/>
        <v/>
      </c>
      <c r="M30" s="10"/>
      <c r="N30" s="10"/>
      <c r="P30" s="5"/>
      <c r="Q30" s="5"/>
    </row>
    <row r="31" spans="1:17" x14ac:dyDescent="0.25">
      <c r="A31" s="10"/>
      <c r="B31" s="14">
        <f t="shared" ca="1" si="15"/>
        <v>41365</v>
      </c>
      <c r="C31" s="14" t="str">
        <f ca="1">IF(I30&lt;&gt;Variables!$B$1,IF(H30&lt;&gt;0,C30,I30),"")</f>
        <v>Chase Freedom</v>
      </c>
      <c r="D31" s="29">
        <f t="shared" ca="1" si="12"/>
        <v>-6628.1088575733447</v>
      </c>
      <c r="E31" s="29">
        <f t="shared" ca="1" si="13"/>
        <v>50</v>
      </c>
      <c r="F31" s="29">
        <f ca="1">IF(C31&lt;&gt;"",IF(OR(VLOOKUP(C31,$C$3:$L$6,5,0)=Variables!$B$5,B31&gt;VLOOKUP(C31,$C$3:$L$6,8,0)),-D31*VLOOKUP(C31,$C$3:$L$6,6,0)/12,0),"")</f>
        <v>70.699827814115679</v>
      </c>
      <c r="G31" s="29">
        <f ca="1">IF(I31&lt;&gt;Variables!$B$1,IF(C31&lt;&gt;"",$I$9-E31-F31,""),-D31)</f>
        <v>379.30017218588432</v>
      </c>
      <c r="H31" s="29">
        <f t="shared" ca="1" si="16"/>
        <v>-6248.8086853874602</v>
      </c>
      <c r="I31" s="31" t="str">
        <f ca="1">IF(C31&lt;&gt;"",IF(D31+$I$9-E31-F31&gt;=0,IF(ISERROR(INDEX($C$3:$C$6,MATCH(C31,$C$3:$C$6,0)+1,0)),Variables!$B$1,INDEX($C$3:$C$6,MATCH(C31,$C$3:$C$6,0)+1,0)),""),"")</f>
        <v/>
      </c>
      <c r="J31" s="29" t="str">
        <f ca="1">IF(ISERROR(VLOOKUP(I31,$C$3:$L$6,5,0)),"",IF(OR(VLOOKUP(I31,$C$3:$L$6,5,0)=Variables!$B$5,B31&gt;VLOOKUP(I31,$C$3:$L$6,8,0)),IF(VLOOKUP(I31,$C$3:$L$6,5,0)=Variables!$B$5,((YEAR(B31)-YEAR($B$12))*12+MONTH(B31)-MONTH($B$12)),((YEAR(B31)-YEAR(VLOOKUP(I31,$C$3:$L$6,8,0)))*12+MONTH(B31)-MONTH(VLOOKUP(I31,$C$3:$L$6,8,0))))*(VLOOKUP(I31,$C$3:$L$6,10,0)*VLOOKUP(I31,$C$3:$L$6,6,0)/12),0))</f>
        <v/>
      </c>
      <c r="K31" s="29" t="str">
        <f ca="1">IF(C31&lt;&gt;"",IF(I31&lt;&gt;"",IF(ISERROR(VLOOKUP(I31,$C$3:$L$6,10,0)),"",VLOOKUP(I31,$C$3:$L$6,10,0)+J31+IF(OR(VLOOKUP(I31,$C$3:$L$6,5,0)=Variables!$B$5,B31&gt;VLOOKUP(I31,$C$3:$L$6,8,0)),IF(VLOOKUP(I31,$C$3:$L$6,5,0)=Variables!$B$5,((YEAR(B31)-YEAR($B$12))*12+MONTH(B31)-MONTH($B$12)),((YEAR(B31)-YEAR(VLOOKUP(I31,$C$3:$L$6,8,0)))*12+MONTH(B31)-MONTH(VLOOKUP(I31,$C$3:$L$6,8,0))))*VLOOKUP(I31,$C$3:$L$6,7,0),0)),""),"")</f>
        <v/>
      </c>
      <c r="L31" s="29" t="str">
        <f t="shared" ca="1" si="14"/>
        <v/>
      </c>
      <c r="M31" s="10"/>
      <c r="N31" s="10"/>
      <c r="P31" s="5"/>
      <c r="Q31" s="5"/>
    </row>
    <row r="32" spans="1:17" x14ac:dyDescent="0.25">
      <c r="A32" s="10"/>
      <c r="B32" s="14">
        <f t="shared" ca="1" si="15"/>
        <v>41395</v>
      </c>
      <c r="C32" s="14" t="str">
        <f ca="1">IF(I31&lt;&gt;Variables!$B$1,IF(H31&lt;&gt;0,C31,I31),"")</f>
        <v>Chase Freedom</v>
      </c>
      <c r="D32" s="29">
        <f t="shared" ca="1" si="12"/>
        <v>-6248.8086853874602</v>
      </c>
      <c r="E32" s="29">
        <f t="shared" ca="1" si="13"/>
        <v>50</v>
      </c>
      <c r="F32" s="29">
        <f ca="1">IF(C32&lt;&gt;"",IF(OR(VLOOKUP(C32,$C$3:$L$6,5,0)=Variables!$B$5,B32&gt;VLOOKUP(C32,$C$3:$L$6,8,0)),-D32*VLOOKUP(C32,$C$3:$L$6,6,0)/12,0),"")</f>
        <v>66.653959310799578</v>
      </c>
      <c r="G32" s="29">
        <f ca="1">IF(I32&lt;&gt;Variables!$B$1,IF(C32&lt;&gt;"",$I$9-E32-F32,""),-D32)</f>
        <v>383.34604068920044</v>
      </c>
      <c r="H32" s="29">
        <f t="shared" ca="1" si="16"/>
        <v>-5865.4626446982602</v>
      </c>
      <c r="I32" s="31" t="str">
        <f ca="1">IF(C32&lt;&gt;"",IF(D32+$I$9-E32-F32&gt;=0,IF(ISERROR(INDEX($C$3:$C$6,MATCH(C32,$C$3:$C$6,0)+1,0)),Variables!$B$1,INDEX($C$3:$C$6,MATCH(C32,$C$3:$C$6,0)+1,0)),""),"")</f>
        <v/>
      </c>
      <c r="J32" s="29" t="str">
        <f ca="1">IF(ISERROR(VLOOKUP(I32,$C$3:$L$6,5,0)),"",IF(OR(VLOOKUP(I32,$C$3:$L$6,5,0)=Variables!$B$5,B32&gt;VLOOKUP(I32,$C$3:$L$6,8,0)),IF(VLOOKUP(I32,$C$3:$L$6,5,0)=Variables!$B$5,((YEAR(B32)-YEAR($B$12))*12+MONTH(B32)-MONTH($B$12)),((YEAR(B32)-YEAR(VLOOKUP(I32,$C$3:$L$6,8,0)))*12+MONTH(B32)-MONTH(VLOOKUP(I32,$C$3:$L$6,8,0))))*(VLOOKUP(I32,$C$3:$L$6,10,0)*VLOOKUP(I32,$C$3:$L$6,6,0)/12),0))</f>
        <v/>
      </c>
      <c r="K32" s="29" t="str">
        <f ca="1">IF(C32&lt;&gt;"",IF(I32&lt;&gt;"",IF(ISERROR(VLOOKUP(I32,$C$3:$L$6,10,0)),"",VLOOKUP(I32,$C$3:$L$6,10,0)+J32+IF(OR(VLOOKUP(I32,$C$3:$L$6,5,0)=Variables!$B$5,B32&gt;VLOOKUP(I32,$C$3:$L$6,8,0)),IF(VLOOKUP(I32,$C$3:$L$6,5,0)=Variables!$B$5,((YEAR(B32)-YEAR($B$12))*12+MONTH(B32)-MONTH($B$12)),((YEAR(B32)-YEAR(VLOOKUP(I32,$C$3:$L$6,8,0)))*12+MONTH(B32)-MONTH(VLOOKUP(I32,$C$3:$L$6,8,0))))*VLOOKUP(I32,$C$3:$L$6,7,0),0)),""),"")</f>
        <v/>
      </c>
      <c r="L32" s="29" t="str">
        <f t="shared" ca="1" si="14"/>
        <v/>
      </c>
      <c r="M32" s="10"/>
      <c r="N32" s="10"/>
      <c r="P32" s="5"/>
      <c r="Q32" s="5"/>
    </row>
    <row r="33" spans="1:14" x14ac:dyDescent="0.25">
      <c r="A33" s="10"/>
      <c r="B33" s="14">
        <f t="shared" ca="1" si="15"/>
        <v>41426</v>
      </c>
      <c r="C33" s="14" t="str">
        <f ca="1">IF(I32&lt;&gt;Variables!$B$1,IF(H32&lt;&gt;0,C32,I32),"")</f>
        <v>Chase Freedom</v>
      </c>
      <c r="D33" s="29">
        <f t="shared" ca="1" si="12"/>
        <v>-5865.4626446982602</v>
      </c>
      <c r="E33" s="29">
        <f t="shared" ca="1" si="13"/>
        <v>50</v>
      </c>
      <c r="F33" s="29">
        <f ca="1">IF(C33&lt;&gt;"",IF(OR(VLOOKUP(C33,$C$3:$L$6,5,0)=Variables!$B$5,B33&gt;VLOOKUP(C33,$C$3:$L$6,8,0)),-D33*VLOOKUP(C33,$C$3:$L$6,6,0)/12,0),"")</f>
        <v>62.564934876781443</v>
      </c>
      <c r="G33" s="29">
        <f ca="1">IF(I33&lt;&gt;Variables!$B$1,IF(C33&lt;&gt;"",$I$9-E33-F33,""),-D33)</f>
        <v>387.43506512321858</v>
      </c>
      <c r="H33" s="29">
        <f t="shared" ca="1" si="16"/>
        <v>-5478.0275795750413</v>
      </c>
      <c r="I33" s="31" t="str">
        <f ca="1">IF(C33&lt;&gt;"",IF(D33+$I$9-E33-F33&gt;=0,IF(ISERROR(INDEX($C$3:$C$6,MATCH(C33,$C$3:$C$6,0)+1,0)),Variables!$B$1,INDEX($C$3:$C$6,MATCH(C33,$C$3:$C$6,0)+1,0)),""),"")</f>
        <v/>
      </c>
      <c r="J33" s="29" t="str">
        <f ca="1">IF(ISERROR(VLOOKUP(I33,$C$3:$L$6,5,0)),"",IF(OR(VLOOKUP(I33,$C$3:$L$6,5,0)=Variables!$B$5,B33&gt;VLOOKUP(I33,$C$3:$L$6,8,0)),IF(VLOOKUP(I33,$C$3:$L$6,5,0)=Variables!$B$5,((YEAR(B33)-YEAR($B$12))*12+MONTH(B33)-MONTH($B$12)),((YEAR(B33)-YEAR(VLOOKUP(I33,$C$3:$L$6,8,0)))*12+MONTH(B33)-MONTH(VLOOKUP(I33,$C$3:$L$6,8,0))))*(VLOOKUP(I33,$C$3:$L$6,10,0)*VLOOKUP(I33,$C$3:$L$6,6,0)/12),0))</f>
        <v/>
      </c>
      <c r="K33" s="29" t="str">
        <f ca="1">IF(C33&lt;&gt;"",IF(I33&lt;&gt;"",IF(ISERROR(VLOOKUP(I33,$C$3:$L$6,10,0)),"",VLOOKUP(I33,$C$3:$L$6,10,0)+J33+IF(OR(VLOOKUP(I33,$C$3:$L$6,5,0)=Variables!$B$5,B33&gt;VLOOKUP(I33,$C$3:$L$6,8,0)),IF(VLOOKUP(I33,$C$3:$L$6,5,0)=Variables!$B$5,((YEAR(B33)-YEAR($B$12))*12+MONTH(B33)-MONTH($B$12)),((YEAR(B33)-YEAR(VLOOKUP(I33,$C$3:$L$6,8,0)))*12+MONTH(B33)-MONTH(VLOOKUP(I33,$C$3:$L$6,8,0))))*VLOOKUP(I33,$C$3:$L$6,7,0),0)),""),"")</f>
        <v/>
      </c>
      <c r="L33" s="29" t="str">
        <f t="shared" ca="1" si="14"/>
        <v/>
      </c>
      <c r="M33" s="10"/>
      <c r="N33" s="10"/>
    </row>
    <row r="34" spans="1:14" x14ac:dyDescent="0.25">
      <c r="A34" s="10"/>
      <c r="B34" s="14">
        <f t="shared" ca="1" si="15"/>
        <v>41456</v>
      </c>
      <c r="C34" s="14" t="str">
        <f ca="1">IF(I33&lt;&gt;Variables!$B$1,IF(H33&lt;&gt;0,C33,I33),"")</f>
        <v>Chase Freedom</v>
      </c>
      <c r="D34" s="29">
        <f t="shared" ca="1" si="12"/>
        <v>-5478.0275795750413</v>
      </c>
      <c r="E34" s="29">
        <f t="shared" ca="1" si="13"/>
        <v>50</v>
      </c>
      <c r="F34" s="29">
        <f ca="1">IF(C34&lt;&gt;"",IF(OR(VLOOKUP(C34,$C$3:$L$6,5,0)=Variables!$B$5,B34&gt;VLOOKUP(C34,$C$3:$L$6,8,0)),-D34*VLOOKUP(C34,$C$3:$L$6,6,0)/12,0),"")</f>
        <v>58.432294182133774</v>
      </c>
      <c r="G34" s="29">
        <f ca="1">IF(I34&lt;&gt;Variables!$B$1,IF(C34&lt;&gt;"",$I$9-E34-F34,""),-D34)</f>
        <v>391.56770581786623</v>
      </c>
      <c r="H34" s="29">
        <f t="shared" ca="1" si="16"/>
        <v>-5086.459873757175</v>
      </c>
      <c r="I34" s="31" t="str">
        <f ca="1">IF(C34&lt;&gt;"",IF(D34+$I$9-E34-F34&gt;=0,IF(ISERROR(INDEX($C$3:$C$6,MATCH(C34,$C$3:$C$6,0)+1,0)),Variables!$B$1,INDEX($C$3:$C$6,MATCH(C34,$C$3:$C$6,0)+1,0)),""),"")</f>
        <v/>
      </c>
      <c r="J34" s="29" t="str">
        <f ca="1">IF(ISERROR(VLOOKUP(I34,$C$3:$L$6,5,0)),"",IF(OR(VLOOKUP(I34,$C$3:$L$6,5,0)=Variables!$B$5,B34&gt;VLOOKUP(I34,$C$3:$L$6,8,0)),IF(VLOOKUP(I34,$C$3:$L$6,5,0)=Variables!$B$5,((YEAR(B34)-YEAR($B$12))*12+MONTH(B34)-MONTH($B$12)),((YEAR(B34)-YEAR(VLOOKUP(I34,$C$3:$L$6,8,0)))*12+MONTH(B34)-MONTH(VLOOKUP(I34,$C$3:$L$6,8,0))))*(VLOOKUP(I34,$C$3:$L$6,10,0)*VLOOKUP(I34,$C$3:$L$6,6,0)/12),0))</f>
        <v/>
      </c>
      <c r="K34" s="29" t="str">
        <f ca="1">IF(C34&lt;&gt;"",IF(I34&lt;&gt;"",IF(ISERROR(VLOOKUP(I34,$C$3:$L$6,10,0)),"",VLOOKUP(I34,$C$3:$L$6,10,0)+J34+IF(OR(VLOOKUP(I34,$C$3:$L$6,5,0)=Variables!$B$5,B34&gt;VLOOKUP(I34,$C$3:$L$6,8,0)),IF(VLOOKUP(I34,$C$3:$L$6,5,0)=Variables!$B$5,((YEAR(B34)-YEAR($B$12))*12+MONTH(B34)-MONTH($B$12)),((YEAR(B34)-YEAR(VLOOKUP(I34,$C$3:$L$6,8,0)))*12+MONTH(B34)-MONTH(VLOOKUP(I34,$C$3:$L$6,8,0))))*VLOOKUP(I34,$C$3:$L$6,7,0),0)),""),"")</f>
        <v/>
      </c>
      <c r="L34" s="29" t="str">
        <f t="shared" ca="1" si="14"/>
        <v/>
      </c>
      <c r="M34" s="10"/>
      <c r="N34" s="10"/>
    </row>
    <row r="35" spans="1:14" x14ac:dyDescent="0.25">
      <c r="A35" s="10"/>
      <c r="B35" s="14">
        <f t="shared" ca="1" si="15"/>
        <v>41487</v>
      </c>
      <c r="C35" s="14" t="str">
        <f ca="1">IF(I34&lt;&gt;Variables!$B$1,IF(H34&lt;&gt;0,C34,I34),"")</f>
        <v>Chase Freedom</v>
      </c>
      <c r="D35" s="29">
        <f t="shared" ca="1" si="12"/>
        <v>-5086.459873757175</v>
      </c>
      <c r="E35" s="29">
        <f t="shared" ca="1" si="13"/>
        <v>50</v>
      </c>
      <c r="F35" s="29">
        <f ca="1">IF(C35&lt;&gt;"",IF(OR(VLOOKUP(C35,$C$3:$L$6,5,0)=Variables!$B$5,B35&gt;VLOOKUP(C35,$C$3:$L$6,8,0)),-D35*VLOOKUP(C35,$C$3:$L$6,6,0)/12,0),"")</f>
        <v>54.255571986743206</v>
      </c>
      <c r="G35" s="29">
        <f ca="1">IF(I35&lt;&gt;Variables!$B$1,IF(C35&lt;&gt;"",$I$9-E35-F35,""),-D35)</f>
        <v>395.74442801325677</v>
      </c>
      <c r="H35" s="29">
        <f t="shared" ca="1" si="16"/>
        <v>-4690.7154457439183</v>
      </c>
      <c r="I35" s="31" t="str">
        <f ca="1">IF(C35&lt;&gt;"",IF(D35+$I$9-E35-F35&gt;=0,IF(ISERROR(INDEX($C$3:$C$6,MATCH(C35,$C$3:$C$6,0)+1,0)),Variables!$B$1,INDEX($C$3:$C$6,MATCH(C35,$C$3:$C$6,0)+1,0)),""),"")</f>
        <v/>
      </c>
      <c r="J35" s="29" t="str">
        <f ca="1">IF(ISERROR(VLOOKUP(I35,$C$3:$L$6,5,0)),"",IF(OR(VLOOKUP(I35,$C$3:$L$6,5,0)=Variables!$B$5,B35&gt;VLOOKUP(I35,$C$3:$L$6,8,0)),IF(VLOOKUP(I35,$C$3:$L$6,5,0)=Variables!$B$5,((YEAR(B35)-YEAR($B$12))*12+MONTH(B35)-MONTH($B$12)),((YEAR(B35)-YEAR(VLOOKUP(I35,$C$3:$L$6,8,0)))*12+MONTH(B35)-MONTH(VLOOKUP(I35,$C$3:$L$6,8,0))))*(VLOOKUP(I35,$C$3:$L$6,10,0)*VLOOKUP(I35,$C$3:$L$6,6,0)/12),0))</f>
        <v/>
      </c>
      <c r="K35" s="29" t="str">
        <f ca="1">IF(C35&lt;&gt;"",IF(I35&lt;&gt;"",IF(ISERROR(VLOOKUP(I35,$C$3:$L$6,10,0)),"",VLOOKUP(I35,$C$3:$L$6,10,0)+J35+IF(OR(VLOOKUP(I35,$C$3:$L$6,5,0)=Variables!$B$5,B35&gt;VLOOKUP(I35,$C$3:$L$6,8,0)),IF(VLOOKUP(I35,$C$3:$L$6,5,0)=Variables!$B$5,((YEAR(B35)-YEAR($B$12))*12+MONTH(B35)-MONTH($B$12)),((YEAR(B35)-YEAR(VLOOKUP(I35,$C$3:$L$6,8,0)))*12+MONTH(B35)-MONTH(VLOOKUP(I35,$C$3:$L$6,8,0))))*VLOOKUP(I35,$C$3:$L$6,7,0),0)),""),"")</f>
        <v/>
      </c>
      <c r="L35" s="29" t="str">
        <f t="shared" ca="1" si="14"/>
        <v/>
      </c>
      <c r="M35" s="10"/>
      <c r="N35" s="10"/>
    </row>
    <row r="36" spans="1:14" x14ac:dyDescent="0.25">
      <c r="A36" s="10"/>
      <c r="B36" s="14">
        <f t="shared" ca="1" si="15"/>
        <v>41518</v>
      </c>
      <c r="C36" s="14" t="str">
        <f ca="1">IF(I35&lt;&gt;Variables!$B$1,IF(H35&lt;&gt;0,C35,I35),"")</f>
        <v>Chase Freedom</v>
      </c>
      <c r="D36" s="29">
        <f t="shared" ca="1" si="12"/>
        <v>-4690.7154457439183</v>
      </c>
      <c r="E36" s="29">
        <f t="shared" ca="1" si="13"/>
        <v>50</v>
      </c>
      <c r="F36" s="29">
        <f ca="1">IF(C36&lt;&gt;"",IF(OR(VLOOKUP(C36,$C$3:$L$6,5,0)=Variables!$B$5,B36&gt;VLOOKUP(C36,$C$3:$L$6,8,0)),-D36*VLOOKUP(C36,$C$3:$L$6,6,0)/12,0),"")</f>
        <v>50.034298087935127</v>
      </c>
      <c r="G36" s="29">
        <f ca="1">IF(I36&lt;&gt;Variables!$B$1,IF(C36&lt;&gt;"",$I$9-E36-F36,""),-D36)</f>
        <v>399.9657019120649</v>
      </c>
      <c r="H36" s="29">
        <f t="shared" ca="1" si="16"/>
        <v>-4290.7497438318533</v>
      </c>
      <c r="I36" s="31" t="str">
        <f ca="1">IF(C36&lt;&gt;"",IF(D36+$I$9-E36-F36&gt;=0,IF(ISERROR(INDEX($C$3:$C$6,MATCH(C36,$C$3:$C$6,0)+1,0)),Variables!$B$1,INDEX($C$3:$C$6,MATCH(C36,$C$3:$C$6,0)+1,0)),""),"")</f>
        <v/>
      </c>
      <c r="J36" s="29" t="str">
        <f ca="1">IF(ISERROR(VLOOKUP(I36,$C$3:$L$6,5,0)),"",IF(OR(VLOOKUP(I36,$C$3:$L$6,5,0)=Variables!$B$5,B36&gt;VLOOKUP(I36,$C$3:$L$6,8,0)),IF(VLOOKUP(I36,$C$3:$L$6,5,0)=Variables!$B$5,((YEAR(B36)-YEAR($B$12))*12+MONTH(B36)-MONTH($B$12)),((YEAR(B36)-YEAR(VLOOKUP(I36,$C$3:$L$6,8,0)))*12+MONTH(B36)-MONTH(VLOOKUP(I36,$C$3:$L$6,8,0))))*(VLOOKUP(I36,$C$3:$L$6,10,0)*VLOOKUP(I36,$C$3:$L$6,6,0)/12),0))</f>
        <v/>
      </c>
      <c r="K36" s="29" t="str">
        <f ca="1">IF(C36&lt;&gt;"",IF(I36&lt;&gt;"",IF(ISERROR(VLOOKUP(I36,$C$3:$L$6,10,0)),"",VLOOKUP(I36,$C$3:$L$6,10,0)+J36+IF(OR(VLOOKUP(I36,$C$3:$L$6,5,0)=Variables!$B$5,B36&gt;VLOOKUP(I36,$C$3:$L$6,8,0)),IF(VLOOKUP(I36,$C$3:$L$6,5,0)=Variables!$B$5,((YEAR(B36)-YEAR($B$12))*12+MONTH(B36)-MONTH($B$12)),((YEAR(B36)-YEAR(VLOOKUP(I36,$C$3:$L$6,8,0)))*12+MONTH(B36)-MONTH(VLOOKUP(I36,$C$3:$L$6,8,0))))*VLOOKUP(I36,$C$3:$L$6,7,0),0)),""),"")</f>
        <v/>
      </c>
      <c r="L36" s="29" t="str">
        <f t="shared" ca="1" si="14"/>
        <v/>
      </c>
      <c r="M36" s="10"/>
      <c r="N36" s="10"/>
    </row>
    <row r="37" spans="1:14" x14ac:dyDescent="0.25">
      <c r="A37" s="10"/>
      <c r="B37" s="14">
        <f t="shared" ca="1" si="15"/>
        <v>41548</v>
      </c>
      <c r="C37" s="14" t="str">
        <f ca="1">IF(I36&lt;&gt;Variables!$B$1,IF(H36&lt;&gt;0,C36,I36),"")</f>
        <v>Chase Freedom</v>
      </c>
      <c r="D37" s="29">
        <f t="shared" ca="1" si="12"/>
        <v>-4290.7497438318533</v>
      </c>
      <c r="E37" s="29">
        <f t="shared" ca="1" si="13"/>
        <v>50</v>
      </c>
      <c r="F37" s="29">
        <f ca="1">IF(C37&lt;&gt;"",IF(OR(VLOOKUP(C37,$C$3:$L$6,5,0)=Variables!$B$5,B37&gt;VLOOKUP(C37,$C$3:$L$6,8,0)),-D37*VLOOKUP(C37,$C$3:$L$6,6,0)/12,0),"")</f>
        <v>45.767997267539762</v>
      </c>
      <c r="G37" s="29">
        <f ca="1">IF(I37&lt;&gt;Variables!$B$1,IF(C37&lt;&gt;"",$I$9-E37-F37,""),-D37)</f>
        <v>404.23200273246022</v>
      </c>
      <c r="H37" s="29">
        <f t="shared" ca="1" si="16"/>
        <v>-3886.5177410993929</v>
      </c>
      <c r="I37" s="31" t="str">
        <f ca="1">IF(C37&lt;&gt;"",IF(D37+$I$9-E37-F37&gt;=0,IF(ISERROR(INDEX($C$3:$C$6,MATCH(C37,$C$3:$C$6,0)+1,0)),Variables!$B$1,INDEX($C$3:$C$6,MATCH(C37,$C$3:$C$6,0)+1,0)),""),"")</f>
        <v/>
      </c>
      <c r="J37" s="29" t="str">
        <f ca="1">IF(ISERROR(VLOOKUP(I37,$C$3:$L$6,5,0)),"",IF(OR(VLOOKUP(I37,$C$3:$L$6,5,0)=Variables!$B$5,B37&gt;VLOOKUP(I37,$C$3:$L$6,8,0)),IF(VLOOKUP(I37,$C$3:$L$6,5,0)=Variables!$B$5,((YEAR(B37)-YEAR($B$12))*12+MONTH(B37)-MONTH($B$12)),((YEAR(B37)-YEAR(VLOOKUP(I37,$C$3:$L$6,8,0)))*12+MONTH(B37)-MONTH(VLOOKUP(I37,$C$3:$L$6,8,0))))*(VLOOKUP(I37,$C$3:$L$6,10,0)*VLOOKUP(I37,$C$3:$L$6,6,0)/12),0))</f>
        <v/>
      </c>
      <c r="K37" s="29" t="str">
        <f ca="1">IF(C37&lt;&gt;"",IF(I37&lt;&gt;"",IF(ISERROR(VLOOKUP(I37,$C$3:$L$6,10,0)),"",VLOOKUP(I37,$C$3:$L$6,10,0)+J37+IF(OR(VLOOKUP(I37,$C$3:$L$6,5,0)=Variables!$B$5,B37&gt;VLOOKUP(I37,$C$3:$L$6,8,0)),IF(VLOOKUP(I37,$C$3:$L$6,5,0)=Variables!$B$5,((YEAR(B37)-YEAR($B$12))*12+MONTH(B37)-MONTH($B$12)),((YEAR(B37)-YEAR(VLOOKUP(I37,$C$3:$L$6,8,0)))*12+MONTH(B37)-MONTH(VLOOKUP(I37,$C$3:$L$6,8,0))))*VLOOKUP(I37,$C$3:$L$6,7,0),0)),""),"")</f>
        <v/>
      </c>
      <c r="L37" s="29" t="str">
        <f t="shared" ca="1" si="14"/>
        <v/>
      </c>
      <c r="M37" s="10"/>
      <c r="N37" s="10"/>
    </row>
    <row r="38" spans="1:14" x14ac:dyDescent="0.25">
      <c r="A38" s="10"/>
      <c r="B38" s="14">
        <f t="shared" ca="1" si="15"/>
        <v>41579</v>
      </c>
      <c r="C38" s="14" t="str">
        <f ca="1">IF(I37&lt;&gt;Variables!$B$1,IF(H37&lt;&gt;0,C37,I37),"")</f>
        <v>Chase Freedom</v>
      </c>
      <c r="D38" s="29">
        <f t="shared" ca="1" si="12"/>
        <v>-3886.5177410993929</v>
      </c>
      <c r="E38" s="29">
        <f t="shared" ca="1" si="13"/>
        <v>50</v>
      </c>
      <c r="F38" s="29">
        <f ca="1">IF(C38&lt;&gt;"",IF(OR(VLOOKUP(C38,$C$3:$L$6,5,0)=Variables!$B$5,B38&gt;VLOOKUP(C38,$C$3:$L$6,8,0)),-D38*VLOOKUP(C38,$C$3:$L$6,6,0)/12,0),"")</f>
        <v>41.456189238393527</v>
      </c>
      <c r="G38" s="29">
        <f ca="1">IF(I38&lt;&gt;Variables!$B$1,IF(C38&lt;&gt;"",$I$9-E38-F38,""),-D38)</f>
        <v>408.54381076160649</v>
      </c>
      <c r="H38" s="29">
        <f t="shared" ca="1" si="16"/>
        <v>-3477.9739303377864</v>
      </c>
      <c r="I38" s="31" t="str">
        <f ca="1">IF(C38&lt;&gt;"",IF(D38+$I$9-E38-F38&gt;=0,IF(ISERROR(INDEX($C$3:$C$6,MATCH(C38,$C$3:$C$6,0)+1,0)),Variables!$B$1,INDEX($C$3:$C$6,MATCH(C38,$C$3:$C$6,0)+1,0)),""),"")</f>
        <v/>
      </c>
      <c r="J38" s="29" t="str">
        <f ca="1">IF(ISERROR(VLOOKUP(I38,$C$3:$L$6,5,0)),"",IF(OR(VLOOKUP(I38,$C$3:$L$6,5,0)=Variables!$B$5,B38&gt;VLOOKUP(I38,$C$3:$L$6,8,0)),IF(VLOOKUP(I38,$C$3:$L$6,5,0)=Variables!$B$5,((YEAR(B38)-YEAR($B$12))*12+MONTH(B38)-MONTH($B$12)),((YEAR(B38)-YEAR(VLOOKUP(I38,$C$3:$L$6,8,0)))*12+MONTH(B38)-MONTH(VLOOKUP(I38,$C$3:$L$6,8,0))))*(VLOOKUP(I38,$C$3:$L$6,10,0)*VLOOKUP(I38,$C$3:$L$6,6,0)/12),0))</f>
        <v/>
      </c>
      <c r="K38" s="29" t="str">
        <f ca="1">IF(C38&lt;&gt;"",IF(I38&lt;&gt;"",IF(ISERROR(VLOOKUP(I38,$C$3:$L$6,10,0)),"",VLOOKUP(I38,$C$3:$L$6,10,0)+J38+IF(OR(VLOOKUP(I38,$C$3:$L$6,5,0)=Variables!$B$5,B38&gt;VLOOKUP(I38,$C$3:$L$6,8,0)),IF(VLOOKUP(I38,$C$3:$L$6,5,0)=Variables!$B$5,((YEAR(B38)-YEAR($B$12))*12+MONTH(B38)-MONTH($B$12)),((YEAR(B38)-YEAR(VLOOKUP(I38,$C$3:$L$6,8,0)))*12+MONTH(B38)-MONTH(VLOOKUP(I38,$C$3:$L$6,8,0))))*VLOOKUP(I38,$C$3:$L$6,7,0),0)),""),"")</f>
        <v/>
      </c>
      <c r="L38" s="29" t="str">
        <f t="shared" ca="1" si="14"/>
        <v/>
      </c>
      <c r="M38" s="10"/>
      <c r="N38" s="10"/>
    </row>
    <row r="39" spans="1:14" x14ac:dyDescent="0.25">
      <c r="A39" s="10"/>
      <c r="B39" s="14">
        <f t="shared" ca="1" si="15"/>
        <v>41609</v>
      </c>
      <c r="C39" s="14" t="str">
        <f ca="1">IF(I38&lt;&gt;Variables!$B$1,IF(H38&lt;&gt;0,C38,I38),"")</f>
        <v>Chase Freedom</v>
      </c>
      <c r="D39" s="29">
        <f t="shared" ca="1" si="12"/>
        <v>-3477.9739303377864</v>
      </c>
      <c r="E39" s="29">
        <f t="shared" ca="1" si="13"/>
        <v>50</v>
      </c>
      <c r="F39" s="29">
        <f ca="1">IF(C39&lt;&gt;"",IF(OR(VLOOKUP(C39,$C$3:$L$6,5,0)=Variables!$B$5,B39&gt;VLOOKUP(C39,$C$3:$L$6,8,0)),-D39*VLOOKUP(C39,$C$3:$L$6,6,0)/12,0),"")</f>
        <v>37.098388590269721</v>
      </c>
      <c r="G39" s="29">
        <f ca="1">IF(I39&lt;&gt;Variables!$B$1,IF(C39&lt;&gt;"",$I$9-E39-F39,""),-D39)</f>
        <v>412.90161140973026</v>
      </c>
      <c r="H39" s="29">
        <f t="shared" ca="1" si="16"/>
        <v>-3065.0723189280561</v>
      </c>
      <c r="I39" s="31" t="str">
        <f ca="1">IF(C39&lt;&gt;"",IF(D39+$I$9-E39-F39&gt;=0,IF(ISERROR(INDEX($C$3:$C$6,MATCH(C39,$C$3:$C$6,0)+1,0)),Variables!$B$1,INDEX($C$3:$C$6,MATCH(C39,$C$3:$C$6,0)+1,0)),""),"")</f>
        <v/>
      </c>
      <c r="J39" s="29" t="str">
        <f ca="1">IF(ISERROR(VLOOKUP(I39,$C$3:$L$6,5,0)),"",IF(OR(VLOOKUP(I39,$C$3:$L$6,5,0)=Variables!$B$5,B39&gt;VLOOKUP(I39,$C$3:$L$6,8,0)),IF(VLOOKUP(I39,$C$3:$L$6,5,0)=Variables!$B$5,((YEAR(B39)-YEAR($B$12))*12+MONTH(B39)-MONTH($B$12)),((YEAR(B39)-YEAR(VLOOKUP(I39,$C$3:$L$6,8,0)))*12+MONTH(B39)-MONTH(VLOOKUP(I39,$C$3:$L$6,8,0))))*(VLOOKUP(I39,$C$3:$L$6,10,0)*VLOOKUP(I39,$C$3:$L$6,6,0)/12),0))</f>
        <v/>
      </c>
      <c r="K39" s="29" t="str">
        <f ca="1">IF(C39&lt;&gt;"",IF(I39&lt;&gt;"",IF(ISERROR(VLOOKUP(I39,$C$3:$L$6,10,0)),"",VLOOKUP(I39,$C$3:$L$6,10,0)+J39+IF(OR(VLOOKUP(I39,$C$3:$L$6,5,0)=Variables!$B$5,B39&gt;VLOOKUP(I39,$C$3:$L$6,8,0)),IF(VLOOKUP(I39,$C$3:$L$6,5,0)=Variables!$B$5,((YEAR(B39)-YEAR($B$12))*12+MONTH(B39)-MONTH($B$12)),((YEAR(B39)-YEAR(VLOOKUP(I39,$C$3:$L$6,8,0)))*12+MONTH(B39)-MONTH(VLOOKUP(I39,$C$3:$L$6,8,0))))*VLOOKUP(I39,$C$3:$L$6,7,0),0)),""),"")</f>
        <v/>
      </c>
      <c r="L39" s="29" t="str">
        <f t="shared" ca="1" si="14"/>
        <v/>
      </c>
      <c r="M39" s="10"/>
      <c r="N39" s="10"/>
    </row>
    <row r="40" spans="1:14" x14ac:dyDescent="0.25">
      <c r="A40" s="10"/>
      <c r="B40" s="14">
        <f t="shared" ca="1" si="15"/>
        <v>41640</v>
      </c>
      <c r="C40" s="14" t="str">
        <f ca="1">IF(I39&lt;&gt;Variables!$B$1,IF(H39&lt;&gt;0,C39,I39),"")</f>
        <v>Chase Freedom</v>
      </c>
      <c r="D40" s="29">
        <f t="shared" ca="1" si="12"/>
        <v>-3065.0723189280561</v>
      </c>
      <c r="E40" s="29">
        <f t="shared" ca="1" si="13"/>
        <v>50</v>
      </c>
      <c r="F40" s="29">
        <f ca="1">IF(C40&lt;&gt;"",IF(OR(VLOOKUP(C40,$C$3:$L$6,5,0)=Variables!$B$5,B40&gt;VLOOKUP(C40,$C$3:$L$6,8,0)),-D40*VLOOKUP(C40,$C$3:$L$6,6,0)/12,0),"")</f>
        <v>32.6941047352326</v>
      </c>
      <c r="G40" s="29">
        <f ca="1">IF(I40&lt;&gt;Variables!$B$1,IF(C40&lt;&gt;"",$I$9-E40-F40,""),-D40)</f>
        <v>417.3058952647674</v>
      </c>
      <c r="H40" s="29">
        <f t="shared" ca="1" si="16"/>
        <v>-2647.7664236632886</v>
      </c>
      <c r="I40" s="31" t="str">
        <f ca="1">IF(C40&lt;&gt;"",IF(D40+$I$9-E40-F40&gt;=0,IF(ISERROR(INDEX($C$3:$C$6,MATCH(C40,$C$3:$C$6,0)+1,0)),Variables!$B$1,INDEX($C$3:$C$6,MATCH(C40,$C$3:$C$6,0)+1,0)),""),"")</f>
        <v/>
      </c>
      <c r="J40" s="29" t="str">
        <f ca="1">IF(ISERROR(VLOOKUP(I40,$C$3:$L$6,5,0)),"",IF(OR(VLOOKUP(I40,$C$3:$L$6,5,0)=Variables!$B$5,B40&gt;VLOOKUP(I40,$C$3:$L$6,8,0)),IF(VLOOKUP(I40,$C$3:$L$6,5,0)=Variables!$B$5,((YEAR(B40)-YEAR($B$12))*12+MONTH(B40)-MONTH($B$12)),((YEAR(B40)-YEAR(VLOOKUP(I40,$C$3:$L$6,8,0)))*12+MONTH(B40)-MONTH(VLOOKUP(I40,$C$3:$L$6,8,0))))*(VLOOKUP(I40,$C$3:$L$6,10,0)*VLOOKUP(I40,$C$3:$L$6,6,0)/12),0))</f>
        <v/>
      </c>
      <c r="K40" s="29" t="str">
        <f ca="1">IF(C40&lt;&gt;"",IF(I40&lt;&gt;"",IF(ISERROR(VLOOKUP(I40,$C$3:$L$6,10,0)),"",VLOOKUP(I40,$C$3:$L$6,10,0)+J40+IF(OR(VLOOKUP(I40,$C$3:$L$6,5,0)=Variables!$B$5,B40&gt;VLOOKUP(I40,$C$3:$L$6,8,0)),IF(VLOOKUP(I40,$C$3:$L$6,5,0)=Variables!$B$5,((YEAR(B40)-YEAR($B$12))*12+MONTH(B40)-MONTH($B$12)),((YEAR(B40)-YEAR(VLOOKUP(I40,$C$3:$L$6,8,0)))*12+MONTH(B40)-MONTH(VLOOKUP(I40,$C$3:$L$6,8,0))))*VLOOKUP(I40,$C$3:$L$6,7,0),0)),""),"")</f>
        <v/>
      </c>
      <c r="L40" s="29" t="str">
        <f t="shared" ca="1" si="14"/>
        <v/>
      </c>
      <c r="M40" s="10"/>
      <c r="N40" s="10"/>
    </row>
    <row r="41" spans="1:14" x14ac:dyDescent="0.25">
      <c r="A41" s="10"/>
      <c r="B41" s="14">
        <f t="shared" ca="1" si="15"/>
        <v>41671</v>
      </c>
      <c r="C41" s="14" t="str">
        <f ca="1">IF(I40&lt;&gt;Variables!$B$1,IF(H40&lt;&gt;0,C40,I40),"")</f>
        <v>Chase Freedom</v>
      </c>
      <c r="D41" s="29">
        <f t="shared" ca="1" si="12"/>
        <v>-2647.7664236632886</v>
      </c>
      <c r="E41" s="29">
        <f t="shared" ca="1" si="13"/>
        <v>50</v>
      </c>
      <c r="F41" s="29">
        <f ca="1">IF(C41&lt;&gt;"",IF(OR(VLOOKUP(C41,$C$3:$L$6,5,0)=Variables!$B$5,B41&gt;VLOOKUP(C41,$C$3:$L$6,8,0)),-D41*VLOOKUP(C41,$C$3:$L$6,6,0)/12,0),"")</f>
        <v>28.242841852408414</v>
      </c>
      <c r="G41" s="29">
        <f ca="1">IF(I41&lt;&gt;Variables!$B$1,IF(C41&lt;&gt;"",$I$9-E41-F41,""),-D41)</f>
        <v>421.75715814759161</v>
      </c>
      <c r="H41" s="29">
        <f t="shared" ca="1" si="16"/>
        <v>-2226.0092655156968</v>
      </c>
      <c r="I41" s="31" t="str">
        <f ca="1">IF(C41&lt;&gt;"",IF(D41+$I$9-E41-F41&gt;=0,IF(ISERROR(INDEX($C$3:$C$6,MATCH(C41,$C$3:$C$6,0)+1,0)),Variables!$B$1,INDEX($C$3:$C$6,MATCH(C41,$C$3:$C$6,0)+1,0)),""),"")</f>
        <v/>
      </c>
      <c r="J41" s="29" t="str">
        <f ca="1">IF(ISERROR(VLOOKUP(I41,$C$3:$L$6,5,0)),"",IF(OR(VLOOKUP(I41,$C$3:$L$6,5,0)=Variables!$B$5,B41&gt;VLOOKUP(I41,$C$3:$L$6,8,0)),IF(VLOOKUP(I41,$C$3:$L$6,5,0)=Variables!$B$5,((YEAR(B41)-YEAR($B$12))*12+MONTH(B41)-MONTH($B$12)),((YEAR(B41)-YEAR(VLOOKUP(I41,$C$3:$L$6,8,0)))*12+MONTH(B41)-MONTH(VLOOKUP(I41,$C$3:$L$6,8,0))))*(VLOOKUP(I41,$C$3:$L$6,10,0)*VLOOKUP(I41,$C$3:$L$6,6,0)/12),0))</f>
        <v/>
      </c>
      <c r="K41" s="29" t="str">
        <f ca="1">IF(C41&lt;&gt;"",IF(I41&lt;&gt;"",IF(ISERROR(VLOOKUP(I41,$C$3:$L$6,10,0)),"",VLOOKUP(I41,$C$3:$L$6,10,0)+J41+IF(OR(VLOOKUP(I41,$C$3:$L$6,5,0)=Variables!$B$5,B41&gt;VLOOKUP(I41,$C$3:$L$6,8,0)),IF(VLOOKUP(I41,$C$3:$L$6,5,0)=Variables!$B$5,((YEAR(B41)-YEAR($B$12))*12+MONTH(B41)-MONTH($B$12)),((YEAR(B41)-YEAR(VLOOKUP(I41,$C$3:$L$6,8,0)))*12+MONTH(B41)-MONTH(VLOOKUP(I41,$C$3:$L$6,8,0))))*VLOOKUP(I41,$C$3:$L$6,7,0),0)),""),"")</f>
        <v/>
      </c>
      <c r="L41" s="29" t="str">
        <f t="shared" ca="1" si="14"/>
        <v/>
      </c>
      <c r="M41" s="10"/>
      <c r="N41" s="10"/>
    </row>
    <row r="42" spans="1:14" x14ac:dyDescent="0.25">
      <c r="A42" s="10"/>
      <c r="B42" s="14">
        <f t="shared" ca="1" si="15"/>
        <v>41699</v>
      </c>
      <c r="C42" s="14" t="str">
        <f ca="1">IF(I41&lt;&gt;Variables!$B$1,IF(H41&lt;&gt;0,C41,I41),"")</f>
        <v>Chase Freedom</v>
      </c>
      <c r="D42" s="29">
        <f t="shared" ca="1" si="12"/>
        <v>-2226.0092655156968</v>
      </c>
      <c r="E42" s="29">
        <f t="shared" ca="1" si="13"/>
        <v>50</v>
      </c>
      <c r="F42" s="29">
        <f ca="1">IF(C42&lt;&gt;"",IF(OR(VLOOKUP(C42,$C$3:$L$6,5,0)=Variables!$B$5,B42&gt;VLOOKUP(C42,$C$3:$L$6,8,0)),-D42*VLOOKUP(C42,$C$3:$L$6,6,0)/12,0),"")</f>
        <v>23.744098832167435</v>
      </c>
      <c r="G42" s="29">
        <f ca="1">IF(I42&lt;&gt;Variables!$B$1,IF(C42&lt;&gt;"",$I$9-E42-F42,""),-D42)</f>
        <v>426.25590116783258</v>
      </c>
      <c r="H42" s="29">
        <f t="shared" ca="1" si="16"/>
        <v>-1799.7533643478641</v>
      </c>
      <c r="I42" s="31" t="str">
        <f ca="1">IF(C42&lt;&gt;"",IF(D42+$I$9-E42-F42&gt;=0,IF(ISERROR(INDEX($C$3:$C$6,MATCH(C42,$C$3:$C$6,0)+1,0)),Variables!$B$1,INDEX($C$3:$C$6,MATCH(C42,$C$3:$C$6,0)+1,0)),""),"")</f>
        <v/>
      </c>
      <c r="J42" s="29" t="str">
        <f ca="1">IF(ISERROR(VLOOKUP(I42,$C$3:$L$6,5,0)),"",IF(OR(VLOOKUP(I42,$C$3:$L$6,5,0)=Variables!$B$5,B42&gt;VLOOKUP(I42,$C$3:$L$6,8,0)),IF(VLOOKUP(I42,$C$3:$L$6,5,0)=Variables!$B$5,((YEAR(B42)-YEAR($B$12))*12+MONTH(B42)-MONTH($B$12)),((YEAR(B42)-YEAR(VLOOKUP(I42,$C$3:$L$6,8,0)))*12+MONTH(B42)-MONTH(VLOOKUP(I42,$C$3:$L$6,8,0))))*(VLOOKUP(I42,$C$3:$L$6,10,0)*VLOOKUP(I42,$C$3:$L$6,6,0)/12),0))</f>
        <v/>
      </c>
      <c r="K42" s="29" t="str">
        <f ca="1">IF(C42&lt;&gt;"",IF(I42&lt;&gt;"",IF(ISERROR(VLOOKUP(I42,$C$3:$L$6,10,0)),"",VLOOKUP(I42,$C$3:$L$6,10,0)+J42+IF(OR(VLOOKUP(I42,$C$3:$L$6,5,0)=Variables!$B$5,B42&gt;VLOOKUP(I42,$C$3:$L$6,8,0)),IF(VLOOKUP(I42,$C$3:$L$6,5,0)=Variables!$B$5,((YEAR(B42)-YEAR($B$12))*12+MONTH(B42)-MONTH($B$12)),((YEAR(B42)-YEAR(VLOOKUP(I42,$C$3:$L$6,8,0)))*12+MONTH(B42)-MONTH(VLOOKUP(I42,$C$3:$L$6,8,0))))*VLOOKUP(I42,$C$3:$L$6,7,0),0)),""),"")</f>
        <v/>
      </c>
      <c r="L42" s="29" t="str">
        <f t="shared" ca="1" si="14"/>
        <v/>
      </c>
      <c r="M42" s="10"/>
      <c r="N42" s="10"/>
    </row>
    <row r="43" spans="1:14" x14ac:dyDescent="0.25">
      <c r="A43" s="10"/>
      <c r="B43" s="14">
        <f t="shared" ca="1" si="15"/>
        <v>41730</v>
      </c>
      <c r="C43" s="14" t="str">
        <f ca="1">IF(I42&lt;&gt;Variables!$B$1,IF(H42&lt;&gt;0,C42,I42),"")</f>
        <v>Chase Freedom</v>
      </c>
      <c r="D43" s="29">
        <f t="shared" ca="1" si="12"/>
        <v>-1799.7533643478641</v>
      </c>
      <c r="E43" s="29">
        <f t="shared" ca="1" si="13"/>
        <v>50</v>
      </c>
      <c r="F43" s="29">
        <f ca="1">IF(C43&lt;&gt;"",IF(OR(VLOOKUP(C43,$C$3:$L$6,5,0)=Variables!$B$5,B43&gt;VLOOKUP(C43,$C$3:$L$6,8,0)),-D43*VLOOKUP(C43,$C$3:$L$6,6,0)/12,0),"")</f>
        <v>19.197369219710552</v>
      </c>
      <c r="G43" s="29">
        <f ca="1">IF(I43&lt;&gt;Variables!$B$1,IF(C43&lt;&gt;"",$I$9-E43-F43,""),-D43)</f>
        <v>430.80263078028946</v>
      </c>
      <c r="H43" s="29">
        <f t="shared" ca="1" si="16"/>
        <v>-1368.9507335675746</v>
      </c>
      <c r="I43" s="31" t="str">
        <f ca="1">IF(C43&lt;&gt;"",IF(D43+$I$9-E43-F43&gt;=0,IF(ISERROR(INDEX($C$3:$C$6,MATCH(C43,$C$3:$C$6,0)+1,0)),Variables!$B$1,INDEX($C$3:$C$6,MATCH(C43,$C$3:$C$6,0)+1,0)),""),"")</f>
        <v/>
      </c>
      <c r="J43" s="29" t="str">
        <f ca="1">IF(ISERROR(VLOOKUP(I43,$C$3:$L$6,5,0)),"",IF(OR(VLOOKUP(I43,$C$3:$L$6,5,0)=Variables!$B$5,B43&gt;VLOOKUP(I43,$C$3:$L$6,8,0)),IF(VLOOKUP(I43,$C$3:$L$6,5,0)=Variables!$B$5,((YEAR(B43)-YEAR($B$12))*12+MONTH(B43)-MONTH($B$12)),((YEAR(B43)-YEAR(VLOOKUP(I43,$C$3:$L$6,8,0)))*12+MONTH(B43)-MONTH(VLOOKUP(I43,$C$3:$L$6,8,0))))*(VLOOKUP(I43,$C$3:$L$6,10,0)*VLOOKUP(I43,$C$3:$L$6,6,0)/12),0))</f>
        <v/>
      </c>
      <c r="K43" s="29" t="str">
        <f ca="1">IF(C43&lt;&gt;"",IF(I43&lt;&gt;"",IF(ISERROR(VLOOKUP(I43,$C$3:$L$6,10,0)),"",VLOOKUP(I43,$C$3:$L$6,10,0)+J43+IF(OR(VLOOKUP(I43,$C$3:$L$6,5,0)=Variables!$B$5,B43&gt;VLOOKUP(I43,$C$3:$L$6,8,0)),IF(VLOOKUP(I43,$C$3:$L$6,5,0)=Variables!$B$5,((YEAR(B43)-YEAR($B$12))*12+MONTH(B43)-MONTH($B$12)),((YEAR(B43)-YEAR(VLOOKUP(I43,$C$3:$L$6,8,0)))*12+MONTH(B43)-MONTH(VLOOKUP(I43,$C$3:$L$6,8,0))))*VLOOKUP(I43,$C$3:$L$6,7,0),0)),""),"")</f>
        <v/>
      </c>
      <c r="L43" s="29" t="str">
        <f t="shared" ca="1" si="14"/>
        <v/>
      </c>
      <c r="M43" s="10"/>
      <c r="N43" s="10"/>
    </row>
    <row r="44" spans="1:14" x14ac:dyDescent="0.25">
      <c r="A44" s="10"/>
      <c r="B44" s="14">
        <f t="shared" ca="1" si="15"/>
        <v>41760</v>
      </c>
      <c r="C44" s="14" t="str">
        <f ca="1">IF(I43&lt;&gt;Variables!$B$1,IF(H43&lt;&gt;0,C43,I43),"")</f>
        <v>Chase Freedom</v>
      </c>
      <c r="D44" s="29">
        <f t="shared" ca="1" si="12"/>
        <v>-1368.9507335675746</v>
      </c>
      <c r="E44" s="29">
        <f t="shared" ca="1" si="13"/>
        <v>50</v>
      </c>
      <c r="F44" s="29">
        <f ca="1">IF(C44&lt;&gt;"",IF(OR(VLOOKUP(C44,$C$3:$L$6,5,0)=Variables!$B$5,B44&gt;VLOOKUP(C44,$C$3:$L$6,8,0)),-D44*VLOOKUP(C44,$C$3:$L$6,6,0)/12,0),"")</f>
        <v>14.602141158054129</v>
      </c>
      <c r="G44" s="29">
        <f ca="1">IF(I44&lt;&gt;Variables!$B$1,IF(C44&lt;&gt;"",$I$9-E44-F44,""),-D44)</f>
        <v>435.39785884194589</v>
      </c>
      <c r="H44" s="29">
        <f t="shared" ca="1" si="16"/>
        <v>-933.55287472562873</v>
      </c>
      <c r="I44" s="31" t="str">
        <f ca="1">IF(C44&lt;&gt;"",IF(D44+$I$9-E44-F44&gt;=0,IF(ISERROR(INDEX($C$3:$C$6,MATCH(C44,$C$3:$C$6,0)+1,0)),Variables!$B$1,INDEX($C$3:$C$6,MATCH(C44,$C$3:$C$6,0)+1,0)),""),"")</f>
        <v/>
      </c>
      <c r="J44" s="29" t="str">
        <f ca="1">IF(ISERROR(VLOOKUP(I44,$C$3:$L$6,5,0)),"",IF(OR(VLOOKUP(I44,$C$3:$L$6,5,0)=Variables!$B$5,B44&gt;VLOOKUP(I44,$C$3:$L$6,8,0)),IF(VLOOKUP(I44,$C$3:$L$6,5,0)=Variables!$B$5,((YEAR(B44)-YEAR($B$12))*12+MONTH(B44)-MONTH($B$12)),((YEAR(B44)-YEAR(VLOOKUP(I44,$C$3:$L$6,8,0)))*12+MONTH(B44)-MONTH(VLOOKUP(I44,$C$3:$L$6,8,0))))*(VLOOKUP(I44,$C$3:$L$6,10,0)*VLOOKUP(I44,$C$3:$L$6,6,0)/12),0))</f>
        <v/>
      </c>
      <c r="K44" s="29" t="str">
        <f ca="1">IF(C44&lt;&gt;"",IF(I44&lt;&gt;"",IF(ISERROR(VLOOKUP(I44,$C$3:$L$6,10,0)),"",VLOOKUP(I44,$C$3:$L$6,10,0)+J44+IF(OR(VLOOKUP(I44,$C$3:$L$6,5,0)=Variables!$B$5,B44&gt;VLOOKUP(I44,$C$3:$L$6,8,0)),IF(VLOOKUP(I44,$C$3:$L$6,5,0)=Variables!$B$5,((YEAR(B44)-YEAR($B$12))*12+MONTH(B44)-MONTH($B$12)),((YEAR(B44)-YEAR(VLOOKUP(I44,$C$3:$L$6,8,0)))*12+MONTH(B44)-MONTH(VLOOKUP(I44,$C$3:$L$6,8,0))))*VLOOKUP(I44,$C$3:$L$6,7,0),0)),""),"")</f>
        <v/>
      </c>
      <c r="L44" s="29" t="str">
        <f t="shared" ca="1" si="14"/>
        <v/>
      </c>
      <c r="M44" s="10"/>
      <c r="N44" s="10"/>
    </row>
    <row r="45" spans="1:14" x14ac:dyDescent="0.25">
      <c r="A45" s="10"/>
      <c r="B45" s="14">
        <f t="shared" ca="1" si="15"/>
        <v>41791</v>
      </c>
      <c r="C45" s="14" t="str">
        <f ca="1">IF(I44&lt;&gt;Variables!$B$1,IF(H44&lt;&gt;0,C44,I44),"")</f>
        <v>Chase Freedom</v>
      </c>
      <c r="D45" s="29">
        <f t="shared" ca="1" si="12"/>
        <v>-933.55287472562873</v>
      </c>
      <c r="E45" s="29">
        <f t="shared" ca="1" si="13"/>
        <v>50</v>
      </c>
      <c r="F45" s="29">
        <f ca="1">IF(C45&lt;&gt;"",IF(OR(VLOOKUP(C45,$C$3:$L$6,5,0)=Variables!$B$5,B45&gt;VLOOKUP(C45,$C$3:$L$6,8,0)),-D45*VLOOKUP(C45,$C$3:$L$6,6,0)/12,0),"")</f>
        <v>9.9578973304067073</v>
      </c>
      <c r="G45" s="29">
        <f ca="1">IF(I45&lt;&gt;Variables!$B$1,IF(C45&lt;&gt;"",$I$9-E45-F45,""),-D45)</f>
        <v>440.04210266959331</v>
      </c>
      <c r="H45" s="29">
        <f t="shared" ca="1" si="16"/>
        <v>-493.51077205603542</v>
      </c>
      <c r="I45" s="31" t="str">
        <f ca="1">IF(C45&lt;&gt;"",IF(D45+$I$9-E45-F45&gt;=0,IF(ISERROR(INDEX($C$3:$C$6,MATCH(C45,$C$3:$C$6,0)+1,0)),Variables!$B$1,INDEX($C$3:$C$6,MATCH(C45,$C$3:$C$6,0)+1,0)),""),"")</f>
        <v/>
      </c>
      <c r="J45" s="29" t="str">
        <f ca="1">IF(ISERROR(VLOOKUP(I45,$C$3:$L$6,5,0)),"",IF(OR(VLOOKUP(I45,$C$3:$L$6,5,0)=Variables!$B$5,B45&gt;VLOOKUP(I45,$C$3:$L$6,8,0)),IF(VLOOKUP(I45,$C$3:$L$6,5,0)=Variables!$B$5,((YEAR(B45)-YEAR($B$12))*12+MONTH(B45)-MONTH($B$12)),((YEAR(B45)-YEAR(VLOOKUP(I45,$C$3:$L$6,8,0)))*12+MONTH(B45)-MONTH(VLOOKUP(I45,$C$3:$L$6,8,0))))*(VLOOKUP(I45,$C$3:$L$6,10,0)*VLOOKUP(I45,$C$3:$L$6,6,0)/12),0))</f>
        <v/>
      </c>
      <c r="K45" s="29" t="str">
        <f ca="1">IF(C45&lt;&gt;"",IF(I45&lt;&gt;"",IF(ISERROR(VLOOKUP(I45,$C$3:$L$6,10,0)),"",VLOOKUP(I45,$C$3:$L$6,10,0)+J45+IF(OR(VLOOKUP(I45,$C$3:$L$6,5,0)=Variables!$B$5,B45&gt;VLOOKUP(I45,$C$3:$L$6,8,0)),IF(VLOOKUP(I45,$C$3:$L$6,5,0)=Variables!$B$5,((YEAR(B45)-YEAR($B$12))*12+MONTH(B45)-MONTH($B$12)),((YEAR(B45)-YEAR(VLOOKUP(I45,$C$3:$L$6,8,0)))*12+MONTH(B45)-MONTH(VLOOKUP(I45,$C$3:$L$6,8,0))))*VLOOKUP(I45,$C$3:$L$6,7,0),0)),""),"")</f>
        <v/>
      </c>
      <c r="L45" s="29" t="str">
        <f t="shared" ca="1" si="14"/>
        <v/>
      </c>
      <c r="M45" s="10"/>
      <c r="N45" s="10"/>
    </row>
    <row r="46" spans="1:14" x14ac:dyDescent="0.25">
      <c r="A46" s="10"/>
      <c r="B46" s="14">
        <f t="shared" ca="1" si="15"/>
        <v>41821</v>
      </c>
      <c r="C46" s="14" t="str">
        <f ca="1">IF(I45&lt;&gt;Variables!$B$1,IF(H45&lt;&gt;0,C45,I45),"")</f>
        <v>Chase Freedom</v>
      </c>
      <c r="D46" s="29">
        <f t="shared" ca="1" si="12"/>
        <v>-493.51077205603542</v>
      </c>
      <c r="E46" s="29">
        <f t="shared" ca="1" si="13"/>
        <v>50</v>
      </c>
      <c r="F46" s="29">
        <f ca="1">IF(C46&lt;&gt;"",IF(OR(VLOOKUP(C46,$C$3:$L$6,5,0)=Variables!$B$5,B46&gt;VLOOKUP(C46,$C$3:$L$6,8,0)),-D46*VLOOKUP(C46,$C$3:$L$6,6,0)/12,0),"")</f>
        <v>5.2641149019310447</v>
      </c>
      <c r="G46" s="29">
        <f ca="1">IF(I46&lt;&gt;Variables!$B$1,IF(C46&lt;&gt;"",$I$9-E46-F46,""),-D46)</f>
        <v>444.73588509806893</v>
      </c>
      <c r="H46" s="29">
        <f t="shared" ca="1" si="16"/>
        <v>-48.774886957966487</v>
      </c>
      <c r="I46" s="31" t="str">
        <f ca="1">IF(C46&lt;&gt;"",IF(D46+$I$9-E46-F46&gt;=0,IF(ISERROR(INDEX($C$3:$C$6,MATCH(C46,$C$3:$C$6,0)+1,0)),Variables!$B$1,INDEX($C$3:$C$6,MATCH(C46,$C$3:$C$6,0)+1,0)),""),"")</f>
        <v/>
      </c>
      <c r="J46" s="29" t="str">
        <f ca="1">IF(ISERROR(VLOOKUP(I46,$C$3:$L$6,5,0)),"",IF(OR(VLOOKUP(I46,$C$3:$L$6,5,0)=Variables!$B$5,B46&gt;VLOOKUP(I46,$C$3:$L$6,8,0)),IF(VLOOKUP(I46,$C$3:$L$6,5,0)=Variables!$B$5,((YEAR(B46)-YEAR($B$12))*12+MONTH(B46)-MONTH($B$12)),((YEAR(B46)-YEAR(VLOOKUP(I46,$C$3:$L$6,8,0)))*12+MONTH(B46)-MONTH(VLOOKUP(I46,$C$3:$L$6,8,0))))*(VLOOKUP(I46,$C$3:$L$6,10,0)*VLOOKUP(I46,$C$3:$L$6,6,0)/12),0))</f>
        <v/>
      </c>
      <c r="K46" s="29" t="str">
        <f ca="1">IF(C46&lt;&gt;"",IF(I46&lt;&gt;"",IF(ISERROR(VLOOKUP(I46,$C$3:$L$6,10,0)),"",VLOOKUP(I46,$C$3:$L$6,10,0)+J46+IF(OR(VLOOKUP(I46,$C$3:$L$6,5,0)=Variables!$B$5,B46&gt;VLOOKUP(I46,$C$3:$L$6,8,0)),IF(VLOOKUP(I46,$C$3:$L$6,5,0)=Variables!$B$5,((YEAR(B46)-YEAR($B$12))*12+MONTH(B46)-MONTH($B$12)),((YEAR(B46)-YEAR(VLOOKUP(I46,$C$3:$L$6,8,0)))*12+MONTH(B46)-MONTH(VLOOKUP(I46,$C$3:$L$6,8,0))))*VLOOKUP(I46,$C$3:$L$6,7,0),0)),""),"")</f>
        <v/>
      </c>
      <c r="L46" s="29" t="str">
        <f t="shared" ca="1" si="14"/>
        <v/>
      </c>
      <c r="M46" s="10"/>
      <c r="N46" s="10"/>
    </row>
    <row r="47" spans="1:14" x14ac:dyDescent="0.25">
      <c r="A47" s="10"/>
      <c r="B47" s="14">
        <f t="shared" ca="1" si="15"/>
        <v>41852</v>
      </c>
      <c r="C47" s="14" t="str">
        <f ca="1">IF(I46&lt;&gt;Variables!$B$1,IF(H46&lt;&gt;0,C46,I46),"")</f>
        <v>Chase Freedom</v>
      </c>
      <c r="D47" s="29">
        <f t="shared" ca="1" si="12"/>
        <v>-48.774886957966487</v>
      </c>
      <c r="E47" s="29">
        <f t="shared" ca="1" si="13"/>
        <v>50</v>
      </c>
      <c r="F47" s="29">
        <f ca="1">IF(C47&lt;&gt;"",IF(OR(VLOOKUP(C47,$C$3:$L$6,5,0)=Variables!$B$5,B47&gt;VLOOKUP(C47,$C$3:$L$6,8,0)),-D47*VLOOKUP(C47,$C$3:$L$6,6,0)/12,0),"")</f>
        <v>0.52026546088497583</v>
      </c>
      <c r="G47" s="29">
        <f ca="1">IF(I47&lt;&gt;Variables!$B$1,IF(C47&lt;&gt;"",$I$9-E47-F47,""),-D47)</f>
        <v>449.47973453911504</v>
      </c>
      <c r="H47" s="29">
        <f t="shared" ca="1" si="16"/>
        <v>0</v>
      </c>
      <c r="I47" s="31" t="str">
        <f ca="1">IF(C47&lt;&gt;"",IF(D47+$I$9-E47-F47&gt;=0,IF(ISERROR(INDEX($C$3:$C$6,MATCH(C47,$C$3:$C$6,0)+1,0)),Variables!$B$1,INDEX($C$3:$C$6,MATCH(C47,$C$3:$C$6,0)+1,0)),""),"")</f>
        <v>Perkins School Loan</v>
      </c>
      <c r="J47" s="29">
        <f ca="1">IF(ISERROR(VLOOKUP(I47,$C$3:$L$6,5,0)),"",IF(OR(VLOOKUP(I47,$C$3:$L$6,5,0)=Variables!$B$5,B47&gt;VLOOKUP(I47,$C$3:$L$6,8,0)),IF(VLOOKUP(I47,$C$3:$L$6,5,0)=Variables!$B$5,((YEAR(B47)-YEAR($B$12))*12+MONTH(B47)-MONTH($B$12)),((YEAR(B47)-YEAR(VLOOKUP(I47,$C$3:$L$6,8,0)))*12+MONTH(B47)-MONTH(VLOOKUP(I47,$C$3:$L$6,8,0))))*(VLOOKUP(I47,$C$3:$L$6,10,0)*VLOOKUP(I47,$C$3:$L$6,6,0)/12),0))</f>
        <v>-675</v>
      </c>
      <c r="K47" s="29">
        <f ca="1">IF(C47&lt;&gt;"",IF(I47&lt;&gt;"",IF(ISERROR(VLOOKUP(I47,$C$3:$L$6,10,0)),"",VLOOKUP(I47,$C$3:$L$6,10,0)+J47+IF(OR(VLOOKUP(I47,$C$3:$L$6,5,0)=Variables!$B$5,B47&gt;VLOOKUP(I47,$C$3:$L$6,8,0)),IF(VLOOKUP(I47,$C$3:$L$6,5,0)=Variables!$B$5,((YEAR(B47)-YEAR($B$12))*12+MONTH(B47)-MONTH($B$12)),((YEAR(B47)-YEAR(VLOOKUP(I47,$C$3:$L$6,8,0)))*12+MONTH(B47)-MONTH(VLOOKUP(I47,$C$3:$L$6,8,0))))*VLOOKUP(I47,$C$3:$L$6,7,0),0)),""),"")</f>
        <v>-5325</v>
      </c>
      <c r="L47" s="29">
        <f t="shared" ca="1" si="14"/>
        <v>-4924.2951524188511</v>
      </c>
      <c r="M47" s="10"/>
      <c r="N47" s="10"/>
    </row>
    <row r="48" spans="1:14" x14ac:dyDescent="0.25">
      <c r="A48" s="10"/>
      <c r="B48" s="14">
        <f t="shared" ca="1" si="15"/>
        <v>41883</v>
      </c>
      <c r="C48" s="14" t="str">
        <f ca="1">IF(I47&lt;&gt;Variables!$B$1,IF(H47&lt;&gt;0,C47,I47),"")</f>
        <v>Perkins School Loan</v>
      </c>
      <c r="D48" s="29">
        <f t="shared" ca="1" si="12"/>
        <v>-4924.2951524188511</v>
      </c>
      <c r="E48" s="29">
        <f t="shared" ca="1" si="13"/>
        <v>0</v>
      </c>
      <c r="F48" s="29">
        <f ca="1">IF(C48&lt;&gt;"",IF(OR(VLOOKUP(C48,$C$3:$L$6,5,0)=Variables!$B$5,B48&gt;VLOOKUP(C48,$C$3:$L$6,8,0)),-D48*VLOOKUP(C48,$C$3:$L$6,6,0)/12,0),"")</f>
        <v>20.51789646841188</v>
      </c>
      <c r="G48" s="29">
        <f ca="1">IF(I48&lt;&gt;Variables!$B$1,IF(C48&lt;&gt;"",$I$9-E48-F48,""),-D48)</f>
        <v>479.48210353158811</v>
      </c>
      <c r="H48" s="29">
        <f t="shared" ca="1" si="16"/>
        <v>-4444.813048887263</v>
      </c>
      <c r="I48" s="31" t="str">
        <f ca="1">IF(C48&lt;&gt;"",IF(D48+$I$9-E48-F48&gt;=0,IF(ISERROR(INDEX($C$3:$C$6,MATCH(C48,$C$3:$C$6,0)+1,0)),Variables!$B$1,INDEX($C$3:$C$6,MATCH(C48,$C$3:$C$6,0)+1,0)),""),"")</f>
        <v/>
      </c>
      <c r="J48" s="29" t="str">
        <f ca="1">IF(ISERROR(VLOOKUP(I48,$C$3:$L$6,5,0)),"",IF(OR(VLOOKUP(I48,$C$3:$L$6,5,0)=Variables!$B$5,B48&gt;VLOOKUP(I48,$C$3:$L$6,8,0)),IF(VLOOKUP(I48,$C$3:$L$6,5,0)=Variables!$B$5,((YEAR(B48)-YEAR($B$12))*12+MONTH(B48)-MONTH($B$12)),((YEAR(B48)-YEAR(VLOOKUP(I48,$C$3:$L$6,8,0)))*12+MONTH(B48)-MONTH(VLOOKUP(I48,$C$3:$L$6,8,0))))*(VLOOKUP(I48,$C$3:$L$6,10,0)*VLOOKUP(I48,$C$3:$L$6,6,0)/12),0))</f>
        <v/>
      </c>
      <c r="K48" s="29" t="str">
        <f ca="1">IF(C48&lt;&gt;"",IF(I48&lt;&gt;"",IF(ISERROR(VLOOKUP(I48,$C$3:$L$6,10,0)),"",VLOOKUP(I48,$C$3:$L$6,10,0)+J48+IF(OR(VLOOKUP(I48,$C$3:$L$6,5,0)=Variables!$B$5,B48&gt;VLOOKUP(I48,$C$3:$L$6,8,0)),IF(VLOOKUP(I48,$C$3:$L$6,5,0)=Variables!$B$5,((YEAR(B48)-YEAR($B$12))*12+MONTH(B48)-MONTH($B$12)),((YEAR(B48)-YEAR(VLOOKUP(I48,$C$3:$L$6,8,0)))*12+MONTH(B48)-MONTH(VLOOKUP(I48,$C$3:$L$6,8,0))))*VLOOKUP(I48,$C$3:$L$6,7,0),0)),""),"")</f>
        <v/>
      </c>
      <c r="L48" s="29" t="str">
        <f t="shared" ca="1" si="14"/>
        <v/>
      </c>
      <c r="M48" s="10"/>
      <c r="N48" s="10"/>
    </row>
    <row r="49" spans="1:14" x14ac:dyDescent="0.25">
      <c r="A49" s="10"/>
      <c r="B49" s="14">
        <f t="shared" ca="1" si="15"/>
        <v>41913</v>
      </c>
      <c r="C49" s="14" t="str">
        <f ca="1">IF(I48&lt;&gt;Variables!$B$1,IF(H48&lt;&gt;0,C48,I48),"")</f>
        <v>Perkins School Loan</v>
      </c>
      <c r="D49" s="29">
        <f t="shared" ca="1" si="12"/>
        <v>-4444.813048887263</v>
      </c>
      <c r="E49" s="29">
        <f t="shared" ca="1" si="13"/>
        <v>0</v>
      </c>
      <c r="F49" s="29">
        <f ca="1">IF(C49&lt;&gt;"",IF(OR(VLOOKUP(C49,$C$3:$L$6,5,0)=Variables!$B$5,B49&gt;VLOOKUP(C49,$C$3:$L$6,8,0)),-D49*VLOOKUP(C49,$C$3:$L$6,6,0)/12,0),"")</f>
        <v>18.520054370363596</v>
      </c>
      <c r="G49" s="29">
        <f ca="1">IF(I49&lt;&gt;Variables!$B$1,IF(C49&lt;&gt;"",$I$9-E49-F49,""),-D49)</f>
        <v>481.4799456296364</v>
      </c>
      <c r="H49" s="29">
        <f t="shared" ca="1" si="16"/>
        <v>-3963.3331032576266</v>
      </c>
      <c r="I49" s="31" t="str">
        <f ca="1">IF(C49&lt;&gt;"",IF(D49+$I$9-E49-F49&gt;=0,IF(ISERROR(INDEX($C$3:$C$6,MATCH(C49,$C$3:$C$6,0)+1,0)),Variables!$B$1,INDEX($C$3:$C$6,MATCH(C49,$C$3:$C$6,0)+1,0)),""),"")</f>
        <v/>
      </c>
      <c r="J49" s="29" t="str">
        <f ca="1">IF(ISERROR(VLOOKUP(I49,$C$3:$L$6,5,0)),"",IF(OR(VLOOKUP(I49,$C$3:$L$6,5,0)=Variables!$B$5,B49&gt;VLOOKUP(I49,$C$3:$L$6,8,0)),IF(VLOOKUP(I49,$C$3:$L$6,5,0)=Variables!$B$5,((YEAR(B49)-YEAR($B$12))*12+MONTH(B49)-MONTH($B$12)),((YEAR(B49)-YEAR(VLOOKUP(I49,$C$3:$L$6,8,0)))*12+MONTH(B49)-MONTH(VLOOKUP(I49,$C$3:$L$6,8,0))))*(VLOOKUP(I49,$C$3:$L$6,10,0)*VLOOKUP(I49,$C$3:$L$6,6,0)/12),0))</f>
        <v/>
      </c>
      <c r="K49" s="29" t="str">
        <f ca="1">IF(C49&lt;&gt;"",IF(I49&lt;&gt;"",IF(ISERROR(VLOOKUP(I49,$C$3:$L$6,10,0)),"",VLOOKUP(I49,$C$3:$L$6,10,0)+J49+IF(OR(VLOOKUP(I49,$C$3:$L$6,5,0)=Variables!$B$5,B49&gt;VLOOKUP(I49,$C$3:$L$6,8,0)),IF(VLOOKUP(I49,$C$3:$L$6,5,0)=Variables!$B$5,((YEAR(B49)-YEAR($B$12))*12+MONTH(B49)-MONTH($B$12)),((YEAR(B49)-YEAR(VLOOKUP(I49,$C$3:$L$6,8,0)))*12+MONTH(B49)-MONTH(VLOOKUP(I49,$C$3:$L$6,8,0))))*VLOOKUP(I49,$C$3:$L$6,7,0),0)),""),"")</f>
        <v/>
      </c>
      <c r="L49" s="29" t="str">
        <f t="shared" ca="1" si="14"/>
        <v/>
      </c>
      <c r="M49" s="10"/>
      <c r="N49" s="10"/>
    </row>
    <row r="50" spans="1:14" x14ac:dyDescent="0.25">
      <c r="A50" s="10"/>
      <c r="B50" s="14">
        <f t="shared" ca="1" si="15"/>
        <v>41944</v>
      </c>
      <c r="C50" s="14" t="str">
        <f ca="1">IF(I49&lt;&gt;Variables!$B$1,IF(H49&lt;&gt;0,C49,I49),"")</f>
        <v>Perkins School Loan</v>
      </c>
      <c r="D50" s="29">
        <f t="shared" ca="1" si="12"/>
        <v>-3963.3331032576266</v>
      </c>
      <c r="E50" s="29">
        <f t="shared" ca="1" si="13"/>
        <v>0</v>
      </c>
      <c r="F50" s="29">
        <f ca="1">IF(C50&lt;&gt;"",IF(OR(VLOOKUP(C50,$C$3:$L$6,5,0)=Variables!$B$5,B50&gt;VLOOKUP(C50,$C$3:$L$6,8,0)),-D50*VLOOKUP(C50,$C$3:$L$6,6,0)/12,0),"")</f>
        <v>16.513887930240113</v>
      </c>
      <c r="G50" s="29">
        <f ca="1">IF(I50&lt;&gt;Variables!$B$1,IF(C50&lt;&gt;"",$I$9-E50-F50,""),-D50)</f>
        <v>483.48611206975988</v>
      </c>
      <c r="H50" s="29">
        <f t="shared" ca="1" si="16"/>
        <v>-3479.8469911878665</v>
      </c>
      <c r="I50" s="31" t="str">
        <f ca="1">IF(C50&lt;&gt;"",IF(D50+$I$9-E50-F50&gt;=0,IF(ISERROR(INDEX($C$3:$C$6,MATCH(C50,$C$3:$C$6,0)+1,0)),Variables!$B$1,INDEX($C$3:$C$6,MATCH(C50,$C$3:$C$6,0)+1,0)),""),"")</f>
        <v/>
      </c>
      <c r="J50" s="29" t="str">
        <f ca="1">IF(ISERROR(VLOOKUP(I50,$C$3:$L$6,5,0)),"",IF(OR(VLOOKUP(I50,$C$3:$L$6,5,0)=Variables!$B$5,B50&gt;VLOOKUP(I50,$C$3:$L$6,8,0)),IF(VLOOKUP(I50,$C$3:$L$6,5,0)=Variables!$B$5,((YEAR(B50)-YEAR($B$12))*12+MONTH(B50)-MONTH($B$12)),((YEAR(B50)-YEAR(VLOOKUP(I50,$C$3:$L$6,8,0)))*12+MONTH(B50)-MONTH(VLOOKUP(I50,$C$3:$L$6,8,0))))*(VLOOKUP(I50,$C$3:$L$6,10,0)*VLOOKUP(I50,$C$3:$L$6,6,0)/12),0))</f>
        <v/>
      </c>
      <c r="K50" s="29" t="str">
        <f ca="1">IF(C50&lt;&gt;"",IF(I50&lt;&gt;"",IF(ISERROR(VLOOKUP(I50,$C$3:$L$6,10,0)),"",VLOOKUP(I50,$C$3:$L$6,10,0)+J50+IF(OR(VLOOKUP(I50,$C$3:$L$6,5,0)=Variables!$B$5,B50&gt;VLOOKUP(I50,$C$3:$L$6,8,0)),IF(VLOOKUP(I50,$C$3:$L$6,5,0)=Variables!$B$5,((YEAR(B50)-YEAR($B$12))*12+MONTH(B50)-MONTH($B$12)),((YEAR(B50)-YEAR(VLOOKUP(I50,$C$3:$L$6,8,0)))*12+MONTH(B50)-MONTH(VLOOKUP(I50,$C$3:$L$6,8,0))))*VLOOKUP(I50,$C$3:$L$6,7,0),0)),""),"")</f>
        <v/>
      </c>
      <c r="L50" s="29" t="str">
        <f t="shared" ca="1" si="14"/>
        <v/>
      </c>
      <c r="M50" s="10"/>
      <c r="N50" s="10"/>
    </row>
    <row r="51" spans="1:14" x14ac:dyDescent="0.25">
      <c r="A51" s="10"/>
      <c r="B51" s="14">
        <f t="shared" ca="1" si="15"/>
        <v>41974</v>
      </c>
      <c r="C51" s="14" t="str">
        <f ca="1">IF(I50&lt;&gt;Variables!$B$1,IF(H50&lt;&gt;0,C50,I50),"")</f>
        <v>Perkins School Loan</v>
      </c>
      <c r="D51" s="29">
        <f t="shared" ca="1" si="12"/>
        <v>-3479.8469911878665</v>
      </c>
      <c r="E51" s="29">
        <f t="shared" ca="1" si="13"/>
        <v>0</v>
      </c>
      <c r="F51" s="29">
        <f ca="1">IF(C51&lt;&gt;"",IF(OR(VLOOKUP(C51,$C$3:$L$6,5,0)=Variables!$B$5,B51&gt;VLOOKUP(C51,$C$3:$L$6,8,0)),-D51*VLOOKUP(C51,$C$3:$L$6,6,0)/12,0),"")</f>
        <v>14.499362463282779</v>
      </c>
      <c r="G51" s="29">
        <f ca="1">IF(I51&lt;&gt;Variables!$B$1,IF(C51&lt;&gt;"",$I$9-E51-F51,""),-D51)</f>
        <v>485.50063753671725</v>
      </c>
      <c r="H51" s="29">
        <f t="shared" ca="1" si="16"/>
        <v>-2994.346353651149</v>
      </c>
      <c r="I51" s="31" t="str">
        <f ca="1">IF(C51&lt;&gt;"",IF(D51+$I$9-E51-F51&gt;=0,IF(ISERROR(INDEX($C$3:$C$6,MATCH(C51,$C$3:$C$6,0)+1,0)),Variables!$B$1,INDEX($C$3:$C$6,MATCH(C51,$C$3:$C$6,0)+1,0)),""),"")</f>
        <v/>
      </c>
      <c r="J51" s="29" t="str">
        <f ca="1">IF(ISERROR(VLOOKUP(I51,$C$3:$L$6,5,0)),"",IF(OR(VLOOKUP(I51,$C$3:$L$6,5,0)=Variables!$B$5,B51&gt;VLOOKUP(I51,$C$3:$L$6,8,0)),IF(VLOOKUP(I51,$C$3:$L$6,5,0)=Variables!$B$5,((YEAR(B51)-YEAR($B$12))*12+MONTH(B51)-MONTH($B$12)),((YEAR(B51)-YEAR(VLOOKUP(I51,$C$3:$L$6,8,0)))*12+MONTH(B51)-MONTH(VLOOKUP(I51,$C$3:$L$6,8,0))))*(VLOOKUP(I51,$C$3:$L$6,10,0)*VLOOKUP(I51,$C$3:$L$6,6,0)/12),0))</f>
        <v/>
      </c>
      <c r="K51" s="29" t="str">
        <f ca="1">IF(C51&lt;&gt;"",IF(I51&lt;&gt;"",IF(ISERROR(VLOOKUP(I51,$C$3:$L$6,10,0)),"",VLOOKUP(I51,$C$3:$L$6,10,0)+J51+IF(OR(VLOOKUP(I51,$C$3:$L$6,5,0)=Variables!$B$5,B51&gt;VLOOKUP(I51,$C$3:$L$6,8,0)),IF(VLOOKUP(I51,$C$3:$L$6,5,0)=Variables!$B$5,((YEAR(B51)-YEAR($B$12))*12+MONTH(B51)-MONTH($B$12)),((YEAR(B51)-YEAR(VLOOKUP(I51,$C$3:$L$6,8,0)))*12+MONTH(B51)-MONTH(VLOOKUP(I51,$C$3:$L$6,8,0))))*VLOOKUP(I51,$C$3:$L$6,7,0),0)),""),"")</f>
        <v/>
      </c>
      <c r="L51" s="29" t="str">
        <f t="shared" ca="1" si="14"/>
        <v/>
      </c>
      <c r="M51" s="10"/>
      <c r="N51" s="10"/>
    </row>
    <row r="52" spans="1:14" x14ac:dyDescent="0.25">
      <c r="A52" s="10"/>
      <c r="B52" s="14">
        <f t="shared" ca="1" si="15"/>
        <v>42005</v>
      </c>
      <c r="C52" s="14" t="str">
        <f ca="1">IF(I51&lt;&gt;Variables!$B$1,IF(H51&lt;&gt;0,C51,I51),"")</f>
        <v>Perkins School Loan</v>
      </c>
      <c r="D52" s="29">
        <f t="shared" ca="1" si="12"/>
        <v>-2994.346353651149</v>
      </c>
      <c r="E52" s="29">
        <f t="shared" ca="1" si="13"/>
        <v>0</v>
      </c>
      <c r="F52" s="29">
        <f ca="1">IF(C52&lt;&gt;"",IF(OR(VLOOKUP(C52,$C$3:$L$6,5,0)=Variables!$B$5,B52&gt;VLOOKUP(C52,$C$3:$L$6,8,0)),-D52*VLOOKUP(C52,$C$3:$L$6,6,0)/12,0),"")</f>
        <v>12.476443140213121</v>
      </c>
      <c r="G52" s="29">
        <f ca="1">IF(I52&lt;&gt;Variables!$B$1,IF(C52&lt;&gt;"",$I$9-E52-F52,""),-D52)</f>
        <v>487.52355685978688</v>
      </c>
      <c r="H52" s="29">
        <f t="shared" ca="1" si="16"/>
        <v>-2506.8227967913622</v>
      </c>
      <c r="I52" s="31" t="str">
        <f ca="1">IF(C52&lt;&gt;"",IF(D52+$I$9-E52-F52&gt;=0,IF(ISERROR(INDEX($C$3:$C$6,MATCH(C52,$C$3:$C$6,0)+1,0)),Variables!$B$1,INDEX($C$3:$C$6,MATCH(C52,$C$3:$C$6,0)+1,0)),""),"")</f>
        <v/>
      </c>
      <c r="J52" s="29" t="str">
        <f ca="1">IF(ISERROR(VLOOKUP(I52,$C$3:$L$6,5,0)),"",IF(OR(VLOOKUP(I52,$C$3:$L$6,5,0)=Variables!$B$5,B52&gt;VLOOKUP(I52,$C$3:$L$6,8,0)),IF(VLOOKUP(I52,$C$3:$L$6,5,0)=Variables!$B$5,((YEAR(B52)-YEAR($B$12))*12+MONTH(B52)-MONTH($B$12)),((YEAR(B52)-YEAR(VLOOKUP(I52,$C$3:$L$6,8,0)))*12+MONTH(B52)-MONTH(VLOOKUP(I52,$C$3:$L$6,8,0))))*(VLOOKUP(I52,$C$3:$L$6,10,0)*VLOOKUP(I52,$C$3:$L$6,6,0)/12),0))</f>
        <v/>
      </c>
      <c r="K52" s="29" t="str">
        <f ca="1">IF(C52&lt;&gt;"",IF(I52&lt;&gt;"",IF(ISERROR(VLOOKUP(I52,$C$3:$L$6,10,0)),"",VLOOKUP(I52,$C$3:$L$6,10,0)+J52+IF(OR(VLOOKUP(I52,$C$3:$L$6,5,0)=Variables!$B$5,B52&gt;VLOOKUP(I52,$C$3:$L$6,8,0)),IF(VLOOKUP(I52,$C$3:$L$6,5,0)=Variables!$B$5,((YEAR(B52)-YEAR($B$12))*12+MONTH(B52)-MONTH($B$12)),((YEAR(B52)-YEAR(VLOOKUP(I52,$C$3:$L$6,8,0)))*12+MONTH(B52)-MONTH(VLOOKUP(I52,$C$3:$L$6,8,0))))*VLOOKUP(I52,$C$3:$L$6,7,0),0)),""),"")</f>
        <v/>
      </c>
      <c r="L52" s="29" t="str">
        <f t="shared" ca="1" si="14"/>
        <v/>
      </c>
      <c r="M52" s="10"/>
      <c r="N52" s="10"/>
    </row>
    <row r="53" spans="1:14" x14ac:dyDescent="0.25">
      <c r="A53" s="10"/>
      <c r="B53" s="14">
        <f t="shared" ca="1" si="15"/>
        <v>42036</v>
      </c>
      <c r="C53" s="14" t="str">
        <f ca="1">IF(I52&lt;&gt;Variables!$B$1,IF(H52&lt;&gt;0,C52,I52),"")</f>
        <v>Perkins School Loan</v>
      </c>
      <c r="D53" s="29">
        <f t="shared" ca="1" si="12"/>
        <v>-2506.8227967913622</v>
      </c>
      <c r="E53" s="29">
        <f t="shared" ca="1" si="13"/>
        <v>0</v>
      </c>
      <c r="F53" s="29">
        <f ca="1">IF(C53&lt;&gt;"",IF(OR(VLOOKUP(C53,$C$3:$L$6,5,0)=Variables!$B$5,B53&gt;VLOOKUP(C53,$C$3:$L$6,8,0)),-D53*VLOOKUP(C53,$C$3:$L$6,6,0)/12,0),"")</f>
        <v>10.445094986630677</v>
      </c>
      <c r="G53" s="29">
        <f ca="1">IF(I53&lt;&gt;Variables!$B$1,IF(C53&lt;&gt;"",$I$9-E53-F53,""),-D53)</f>
        <v>489.55490501336931</v>
      </c>
      <c r="H53" s="29">
        <f t="shared" ca="1" si="16"/>
        <v>-2017.2678917779929</v>
      </c>
      <c r="I53" s="31" t="str">
        <f ca="1">IF(C53&lt;&gt;"",IF(D53+$I$9-E53-F53&gt;=0,IF(ISERROR(INDEX($C$3:$C$6,MATCH(C53,$C$3:$C$6,0)+1,0)),Variables!$B$1,INDEX($C$3:$C$6,MATCH(C53,$C$3:$C$6,0)+1,0)),""),"")</f>
        <v/>
      </c>
      <c r="J53" s="29" t="str">
        <f ca="1">IF(ISERROR(VLOOKUP(I53,$C$3:$L$6,5,0)),"",IF(OR(VLOOKUP(I53,$C$3:$L$6,5,0)=Variables!$B$5,B53&gt;VLOOKUP(I53,$C$3:$L$6,8,0)),IF(VLOOKUP(I53,$C$3:$L$6,5,0)=Variables!$B$5,((YEAR(B53)-YEAR($B$12))*12+MONTH(B53)-MONTH($B$12)),((YEAR(B53)-YEAR(VLOOKUP(I53,$C$3:$L$6,8,0)))*12+MONTH(B53)-MONTH(VLOOKUP(I53,$C$3:$L$6,8,0))))*(VLOOKUP(I53,$C$3:$L$6,10,0)*VLOOKUP(I53,$C$3:$L$6,6,0)/12),0))</f>
        <v/>
      </c>
      <c r="K53" s="29" t="str">
        <f ca="1">IF(C53&lt;&gt;"",IF(I53&lt;&gt;"",IF(ISERROR(VLOOKUP(I53,$C$3:$L$6,10,0)),"",VLOOKUP(I53,$C$3:$L$6,10,0)+J53+IF(OR(VLOOKUP(I53,$C$3:$L$6,5,0)=Variables!$B$5,B53&gt;VLOOKUP(I53,$C$3:$L$6,8,0)),IF(VLOOKUP(I53,$C$3:$L$6,5,0)=Variables!$B$5,((YEAR(B53)-YEAR($B$12))*12+MONTH(B53)-MONTH($B$12)),((YEAR(B53)-YEAR(VLOOKUP(I53,$C$3:$L$6,8,0)))*12+MONTH(B53)-MONTH(VLOOKUP(I53,$C$3:$L$6,8,0))))*VLOOKUP(I53,$C$3:$L$6,7,0),0)),""),"")</f>
        <v/>
      </c>
      <c r="L53" s="29" t="str">
        <f t="shared" ca="1" si="14"/>
        <v/>
      </c>
      <c r="M53" s="10"/>
      <c r="N53" s="10"/>
    </row>
    <row r="54" spans="1:14" x14ac:dyDescent="0.25">
      <c r="A54" s="10"/>
      <c r="B54" s="14">
        <f t="shared" ca="1" si="15"/>
        <v>42064</v>
      </c>
      <c r="C54" s="14" t="str">
        <f ca="1">IF(I53&lt;&gt;Variables!$B$1,IF(H53&lt;&gt;0,C53,I53),"")</f>
        <v>Perkins School Loan</v>
      </c>
      <c r="D54" s="29">
        <f t="shared" ca="1" si="12"/>
        <v>-2017.2678917779929</v>
      </c>
      <c r="E54" s="29">
        <f t="shared" ca="1" si="13"/>
        <v>0</v>
      </c>
      <c r="F54" s="29">
        <f ca="1">IF(C54&lt;&gt;"",IF(OR(VLOOKUP(C54,$C$3:$L$6,5,0)=Variables!$B$5,B54&gt;VLOOKUP(C54,$C$3:$L$6,8,0)),-D54*VLOOKUP(C54,$C$3:$L$6,6,0)/12,0),"")</f>
        <v>8.4052828824083043</v>
      </c>
      <c r="G54" s="29">
        <f ca="1">IF(I54&lt;&gt;Variables!$B$1,IF(C54&lt;&gt;"",$I$9-E54-F54,""),-D54)</f>
        <v>491.5947171175917</v>
      </c>
      <c r="H54" s="29">
        <f t="shared" ca="1" si="16"/>
        <v>-1525.6731746604012</v>
      </c>
      <c r="I54" s="31" t="str">
        <f ca="1">IF(C54&lt;&gt;"",IF(D54+$I$9-E54-F54&gt;=0,IF(ISERROR(INDEX($C$3:$C$6,MATCH(C54,$C$3:$C$6,0)+1,0)),Variables!$B$1,INDEX($C$3:$C$6,MATCH(C54,$C$3:$C$6,0)+1,0)),""),"")</f>
        <v/>
      </c>
      <c r="J54" s="29" t="str">
        <f ca="1">IF(ISERROR(VLOOKUP(I54,$C$3:$L$6,5,0)),"",IF(OR(VLOOKUP(I54,$C$3:$L$6,5,0)=Variables!$B$5,B54&gt;VLOOKUP(I54,$C$3:$L$6,8,0)),IF(VLOOKUP(I54,$C$3:$L$6,5,0)=Variables!$B$5,((YEAR(B54)-YEAR($B$12))*12+MONTH(B54)-MONTH($B$12)),((YEAR(B54)-YEAR(VLOOKUP(I54,$C$3:$L$6,8,0)))*12+MONTH(B54)-MONTH(VLOOKUP(I54,$C$3:$L$6,8,0))))*(VLOOKUP(I54,$C$3:$L$6,10,0)*VLOOKUP(I54,$C$3:$L$6,6,0)/12),0))</f>
        <v/>
      </c>
      <c r="K54" s="29" t="str">
        <f ca="1">IF(C54&lt;&gt;"",IF(I54&lt;&gt;"",IF(ISERROR(VLOOKUP(I54,$C$3:$L$6,10,0)),"",VLOOKUP(I54,$C$3:$L$6,10,0)+J54+IF(OR(VLOOKUP(I54,$C$3:$L$6,5,0)=Variables!$B$5,B54&gt;VLOOKUP(I54,$C$3:$L$6,8,0)),IF(VLOOKUP(I54,$C$3:$L$6,5,0)=Variables!$B$5,((YEAR(B54)-YEAR($B$12))*12+MONTH(B54)-MONTH($B$12)),((YEAR(B54)-YEAR(VLOOKUP(I54,$C$3:$L$6,8,0)))*12+MONTH(B54)-MONTH(VLOOKUP(I54,$C$3:$L$6,8,0))))*VLOOKUP(I54,$C$3:$L$6,7,0),0)),""),"")</f>
        <v/>
      </c>
      <c r="L54" s="29" t="str">
        <f t="shared" ca="1" si="14"/>
        <v/>
      </c>
      <c r="M54" s="10"/>
      <c r="N54" s="10"/>
    </row>
    <row r="55" spans="1:14" x14ac:dyDescent="0.25">
      <c r="A55" s="10"/>
      <c r="B55" s="14">
        <f t="shared" ca="1" si="15"/>
        <v>42095</v>
      </c>
      <c r="C55" s="14" t="str">
        <f ca="1">IF(I54&lt;&gt;Variables!$B$1,IF(H54&lt;&gt;0,C54,I54),"")</f>
        <v>Perkins School Loan</v>
      </c>
      <c r="D55" s="29">
        <f t="shared" ca="1" si="12"/>
        <v>-1525.6731746604012</v>
      </c>
      <c r="E55" s="29">
        <f t="shared" ca="1" si="13"/>
        <v>0</v>
      </c>
      <c r="F55" s="29">
        <f ca="1">IF(C55&lt;&gt;"",IF(OR(VLOOKUP(C55,$C$3:$L$6,5,0)=Variables!$B$5,B55&gt;VLOOKUP(C55,$C$3:$L$6,8,0)),-D55*VLOOKUP(C55,$C$3:$L$6,6,0)/12,0),"")</f>
        <v>6.3569715610850048</v>
      </c>
      <c r="G55" s="29">
        <f ca="1">IF(I55&lt;&gt;Variables!$B$1,IF(C55&lt;&gt;"",$I$9-E55-F55,""),-D55)</f>
        <v>493.643028438915</v>
      </c>
      <c r="H55" s="29">
        <f t="shared" ca="1" si="16"/>
        <v>-1032.0301462214861</v>
      </c>
      <c r="I55" s="31" t="str">
        <f ca="1">IF(C55&lt;&gt;"",IF(D55+$I$9-E55-F55&gt;=0,IF(ISERROR(INDEX($C$3:$C$6,MATCH(C55,$C$3:$C$6,0)+1,0)),Variables!$B$1,INDEX($C$3:$C$6,MATCH(C55,$C$3:$C$6,0)+1,0)),""),"")</f>
        <v/>
      </c>
      <c r="J55" s="29" t="str">
        <f ca="1">IF(ISERROR(VLOOKUP(I55,$C$3:$L$6,5,0)),"",IF(OR(VLOOKUP(I55,$C$3:$L$6,5,0)=Variables!$B$5,B55&gt;VLOOKUP(I55,$C$3:$L$6,8,0)),IF(VLOOKUP(I55,$C$3:$L$6,5,0)=Variables!$B$5,((YEAR(B55)-YEAR($B$12))*12+MONTH(B55)-MONTH($B$12)),((YEAR(B55)-YEAR(VLOOKUP(I55,$C$3:$L$6,8,0)))*12+MONTH(B55)-MONTH(VLOOKUP(I55,$C$3:$L$6,8,0))))*(VLOOKUP(I55,$C$3:$L$6,10,0)*VLOOKUP(I55,$C$3:$L$6,6,0)/12),0))</f>
        <v/>
      </c>
      <c r="K55" s="29" t="str">
        <f ca="1">IF(C55&lt;&gt;"",IF(I55&lt;&gt;"",IF(ISERROR(VLOOKUP(I55,$C$3:$L$6,10,0)),"",VLOOKUP(I55,$C$3:$L$6,10,0)+J55+IF(OR(VLOOKUP(I55,$C$3:$L$6,5,0)=Variables!$B$5,B55&gt;VLOOKUP(I55,$C$3:$L$6,8,0)),IF(VLOOKUP(I55,$C$3:$L$6,5,0)=Variables!$B$5,((YEAR(B55)-YEAR($B$12))*12+MONTH(B55)-MONTH($B$12)),((YEAR(B55)-YEAR(VLOOKUP(I55,$C$3:$L$6,8,0)))*12+MONTH(B55)-MONTH(VLOOKUP(I55,$C$3:$L$6,8,0))))*VLOOKUP(I55,$C$3:$L$6,7,0),0)),""),"")</f>
        <v/>
      </c>
      <c r="L55" s="29" t="str">
        <f t="shared" ca="1" si="14"/>
        <v/>
      </c>
      <c r="M55" s="10"/>
      <c r="N55" s="10"/>
    </row>
    <row r="56" spans="1:14" x14ac:dyDescent="0.25">
      <c r="A56" s="10"/>
      <c r="B56" s="14">
        <f t="shared" ca="1" si="15"/>
        <v>42125</v>
      </c>
      <c r="C56" s="14" t="str">
        <f ca="1">IF(I55&lt;&gt;Variables!$B$1,IF(H55&lt;&gt;0,C55,I55),"")</f>
        <v>Perkins School Loan</v>
      </c>
      <c r="D56" s="29">
        <f t="shared" ca="1" si="12"/>
        <v>-1032.0301462214861</v>
      </c>
      <c r="E56" s="29">
        <f t="shared" ca="1" si="13"/>
        <v>0</v>
      </c>
      <c r="F56" s="29">
        <f ca="1">IF(C56&lt;&gt;"",IF(OR(VLOOKUP(C56,$C$3:$L$6,5,0)=Variables!$B$5,B56&gt;VLOOKUP(C56,$C$3:$L$6,8,0)),-D56*VLOOKUP(C56,$C$3:$L$6,6,0)/12,0),"")</f>
        <v>4.3001256092561926</v>
      </c>
      <c r="G56" s="29">
        <f ca="1">IF(I56&lt;&gt;Variables!$B$1,IF(C56&lt;&gt;"",$I$9-E56-F56,""),-D56)</f>
        <v>495.69987439074379</v>
      </c>
      <c r="H56" s="29">
        <f t="shared" ca="1" si="16"/>
        <v>-536.33027183074228</v>
      </c>
      <c r="I56" s="31" t="str">
        <f ca="1">IF(C56&lt;&gt;"",IF(D56+$I$9-E56-F56&gt;=0,IF(ISERROR(INDEX($C$3:$C$6,MATCH(C56,$C$3:$C$6,0)+1,0)),Variables!$B$1,INDEX($C$3:$C$6,MATCH(C56,$C$3:$C$6,0)+1,0)),""),"")</f>
        <v/>
      </c>
      <c r="J56" s="29" t="str">
        <f ca="1">IF(ISERROR(VLOOKUP(I56,$C$3:$L$6,5,0)),"",IF(OR(VLOOKUP(I56,$C$3:$L$6,5,0)=Variables!$B$5,B56&gt;VLOOKUP(I56,$C$3:$L$6,8,0)),IF(VLOOKUP(I56,$C$3:$L$6,5,0)=Variables!$B$5,((YEAR(B56)-YEAR($B$12))*12+MONTH(B56)-MONTH($B$12)),((YEAR(B56)-YEAR(VLOOKUP(I56,$C$3:$L$6,8,0)))*12+MONTH(B56)-MONTH(VLOOKUP(I56,$C$3:$L$6,8,0))))*(VLOOKUP(I56,$C$3:$L$6,10,0)*VLOOKUP(I56,$C$3:$L$6,6,0)/12),0))</f>
        <v/>
      </c>
      <c r="K56" s="29" t="str">
        <f ca="1">IF(C56&lt;&gt;"",IF(I56&lt;&gt;"",IF(ISERROR(VLOOKUP(I56,$C$3:$L$6,10,0)),"",VLOOKUP(I56,$C$3:$L$6,10,0)+J56+IF(OR(VLOOKUP(I56,$C$3:$L$6,5,0)=Variables!$B$5,B56&gt;VLOOKUP(I56,$C$3:$L$6,8,0)),IF(VLOOKUP(I56,$C$3:$L$6,5,0)=Variables!$B$5,((YEAR(B56)-YEAR($B$12))*12+MONTH(B56)-MONTH($B$12)),((YEAR(B56)-YEAR(VLOOKUP(I56,$C$3:$L$6,8,0)))*12+MONTH(B56)-MONTH(VLOOKUP(I56,$C$3:$L$6,8,0))))*VLOOKUP(I56,$C$3:$L$6,7,0),0)),""),"")</f>
        <v/>
      </c>
      <c r="L56" s="29" t="str">
        <f t="shared" ca="1" si="14"/>
        <v/>
      </c>
      <c r="M56" s="10"/>
      <c r="N56" s="10"/>
    </row>
    <row r="57" spans="1:14" x14ac:dyDescent="0.25">
      <c r="A57" s="10"/>
      <c r="B57" s="14">
        <f t="shared" ca="1" si="15"/>
        <v>42156</v>
      </c>
      <c r="C57" s="14" t="str">
        <f ca="1">IF(I56&lt;&gt;Variables!$B$1,IF(H56&lt;&gt;0,C56,I56),"")</f>
        <v>Perkins School Loan</v>
      </c>
      <c r="D57" s="29">
        <f t="shared" ca="1" si="12"/>
        <v>-536.33027183074228</v>
      </c>
      <c r="E57" s="29">
        <f t="shared" ca="1" si="13"/>
        <v>0</v>
      </c>
      <c r="F57" s="29">
        <f ca="1">IF(C57&lt;&gt;"",IF(OR(VLOOKUP(C57,$C$3:$L$6,5,0)=Variables!$B$5,B57&gt;VLOOKUP(C57,$C$3:$L$6,8,0)),-D57*VLOOKUP(C57,$C$3:$L$6,6,0)/12,0),"")</f>
        <v>2.2347094659614264</v>
      </c>
      <c r="G57" s="29">
        <f ca="1">IF(I57&lt;&gt;Variables!$B$1,IF(C57&lt;&gt;"",$I$9-E57-F57,""),-D57)</f>
        <v>497.76529053403857</v>
      </c>
      <c r="H57" s="29">
        <f t="shared" ca="1" si="16"/>
        <v>-38.564981296703706</v>
      </c>
      <c r="I57" s="31" t="str">
        <f ca="1">IF(C57&lt;&gt;"",IF(D57+$I$9-E57-F57&gt;=0,IF(ISERROR(INDEX($C$3:$C$6,MATCH(C57,$C$3:$C$6,0)+1,0)),Variables!$B$1,INDEX($C$3:$C$6,MATCH(C57,$C$3:$C$6,0)+1,0)),""),"")</f>
        <v/>
      </c>
      <c r="J57" s="29" t="str">
        <f ca="1">IF(ISERROR(VLOOKUP(I57,$C$3:$L$6,5,0)),"",IF(OR(VLOOKUP(I57,$C$3:$L$6,5,0)=Variables!$B$5,B57&gt;VLOOKUP(I57,$C$3:$L$6,8,0)),IF(VLOOKUP(I57,$C$3:$L$6,5,0)=Variables!$B$5,((YEAR(B57)-YEAR($B$12))*12+MONTH(B57)-MONTH($B$12)),((YEAR(B57)-YEAR(VLOOKUP(I57,$C$3:$L$6,8,0)))*12+MONTH(B57)-MONTH(VLOOKUP(I57,$C$3:$L$6,8,0))))*(VLOOKUP(I57,$C$3:$L$6,10,0)*VLOOKUP(I57,$C$3:$L$6,6,0)/12),0))</f>
        <v/>
      </c>
      <c r="K57" s="29" t="str">
        <f ca="1">IF(C57&lt;&gt;"",IF(I57&lt;&gt;"",IF(ISERROR(VLOOKUP(I57,$C$3:$L$6,10,0)),"",VLOOKUP(I57,$C$3:$L$6,10,0)+J57+IF(OR(VLOOKUP(I57,$C$3:$L$6,5,0)=Variables!$B$5,B57&gt;VLOOKUP(I57,$C$3:$L$6,8,0)),IF(VLOOKUP(I57,$C$3:$L$6,5,0)=Variables!$B$5,((YEAR(B57)-YEAR($B$12))*12+MONTH(B57)-MONTH($B$12)),((YEAR(B57)-YEAR(VLOOKUP(I57,$C$3:$L$6,8,0)))*12+MONTH(B57)-MONTH(VLOOKUP(I57,$C$3:$L$6,8,0))))*VLOOKUP(I57,$C$3:$L$6,7,0),0)),""),"")</f>
        <v/>
      </c>
      <c r="L57" s="29" t="str">
        <f t="shared" ca="1" si="14"/>
        <v/>
      </c>
      <c r="M57" s="10"/>
      <c r="N57" s="10"/>
    </row>
    <row r="58" spans="1:14" x14ac:dyDescent="0.25">
      <c r="A58" s="10"/>
      <c r="B58" s="14">
        <f t="shared" ca="1" si="15"/>
        <v>42186</v>
      </c>
      <c r="C58" s="14" t="str">
        <f ca="1">IF(I57&lt;&gt;Variables!$B$1,IF(H57&lt;&gt;0,C57,I57),"")</f>
        <v>Perkins School Loan</v>
      </c>
      <c r="D58" s="29">
        <f t="shared" ca="1" si="12"/>
        <v>-38.564981296703706</v>
      </c>
      <c r="E58" s="29">
        <f t="shared" ca="1" si="13"/>
        <v>0</v>
      </c>
      <c r="F58" s="29">
        <f ca="1">IF(C58&lt;&gt;"",IF(OR(VLOOKUP(C58,$C$3:$L$6,5,0)=Variables!$B$5,B58&gt;VLOOKUP(C58,$C$3:$L$6,8,0)),-D58*VLOOKUP(C58,$C$3:$L$6,6,0)/12,0),"")</f>
        <v>0.16068742206959877</v>
      </c>
      <c r="G58" s="29">
        <f ca="1">IF(I58&lt;&gt;Variables!$B$1,IF(C58&lt;&gt;"",$I$9-E58-F58,""),-D58)</f>
        <v>38.564981296703706</v>
      </c>
      <c r="H58" s="29">
        <f t="shared" ca="1" si="16"/>
        <v>0</v>
      </c>
      <c r="I58" s="31" t="str">
        <f ca="1">IF(C58&lt;&gt;"",IF(D58+$I$9-E58-F58&gt;=0,IF(ISERROR(INDEX($C$3:$C$6,MATCH(C58,$C$3:$C$6,0)+1,0)),Variables!$B$1,INDEX($C$3:$C$6,MATCH(C58,$C$3:$C$6,0)+1,0)),""),"")</f>
        <v>DEBT FREE!</v>
      </c>
      <c r="J58" s="29" t="str">
        <f ca="1">IF(ISERROR(VLOOKUP(I58,$C$3:$L$6,5,0)),"",IF(OR(VLOOKUP(I58,$C$3:$L$6,5,0)=Variables!$B$5,B58&gt;VLOOKUP(I58,$C$3:$L$6,8,0)),IF(VLOOKUP(I58,$C$3:$L$6,5,0)=Variables!$B$5,((YEAR(B58)-YEAR($B$12))*12+MONTH(B58)-MONTH($B$12)),((YEAR(B58)-YEAR(VLOOKUP(I58,$C$3:$L$6,8,0)))*12+MONTH(B58)-MONTH(VLOOKUP(I58,$C$3:$L$6,8,0))))*(VLOOKUP(I58,$C$3:$L$6,10,0)*VLOOKUP(I58,$C$3:$L$6,6,0)/12),0))</f>
        <v/>
      </c>
      <c r="K58" s="29" t="str">
        <f ca="1">IF(C58&lt;&gt;"",IF(I58&lt;&gt;"",IF(ISERROR(VLOOKUP(I58,$C$3:$L$6,10,0)),"",VLOOKUP(I58,$C$3:$L$6,10,0)+J58+IF(OR(VLOOKUP(I58,$C$3:$L$6,5,0)=Variables!$B$5,B58&gt;VLOOKUP(I58,$C$3:$L$6,8,0)),IF(VLOOKUP(I58,$C$3:$L$6,5,0)=Variables!$B$5,((YEAR(B58)-YEAR($B$12))*12+MONTH(B58)-MONTH($B$12)),((YEAR(B58)-YEAR(VLOOKUP(I58,$C$3:$L$6,8,0)))*12+MONTH(B58)-MONTH(VLOOKUP(I58,$C$3:$L$6,8,0))))*VLOOKUP(I58,$C$3:$L$6,7,0),0)),""),"")</f>
        <v/>
      </c>
      <c r="L58" s="29" t="str">
        <f t="shared" ca="1" si="14"/>
        <v/>
      </c>
      <c r="M58" s="10"/>
      <c r="N58" s="10"/>
    </row>
    <row r="59" spans="1:14" x14ac:dyDescent="0.25">
      <c r="A59" s="10"/>
      <c r="B59" s="14" t="str">
        <f t="shared" ca="1" si="15"/>
        <v/>
      </c>
      <c r="C59" s="14" t="str">
        <f ca="1">IF(I58&lt;&gt;Variables!$B$1,IF(H58&lt;&gt;0,C58,I58),"")</f>
        <v/>
      </c>
      <c r="D59" s="29" t="str">
        <f t="shared" ca="1" si="12"/>
        <v/>
      </c>
      <c r="E59" s="29" t="str">
        <f t="shared" ca="1" si="13"/>
        <v/>
      </c>
      <c r="F59" s="29" t="str">
        <f ca="1">IF(C59&lt;&gt;"",IF(OR(VLOOKUP(C59,$C$3:$L$6,5,0)=Variables!$B$5,B59&gt;VLOOKUP(C59,$C$3:$L$6,8,0)),-D59*VLOOKUP(C59,$C$3:$L$6,6,0)/12,0),"")</f>
        <v/>
      </c>
      <c r="G59" s="29" t="str">
        <f ca="1">IF(I59&lt;&gt;Variables!$B$1,IF(C59&lt;&gt;"",$I$9-E59-F59,""),-D59)</f>
        <v/>
      </c>
      <c r="H59" s="29" t="str">
        <f t="shared" ca="1" si="16"/>
        <v/>
      </c>
      <c r="I59" s="31" t="str">
        <f ca="1">IF(C59&lt;&gt;"",IF(D59+$I$9-E59-F59&gt;=0,IF(ISERROR(INDEX($C$3:$C$6,MATCH(C59,$C$3:$C$6,0)+1,0)),Variables!$B$1,INDEX($C$3:$C$6,MATCH(C59,$C$3:$C$6,0)+1,0)),""),"")</f>
        <v/>
      </c>
      <c r="J59" s="29" t="str">
        <f ca="1">IF(ISERROR(VLOOKUP(I59,$C$3:$L$6,5,0)),"",IF(OR(VLOOKUP(I59,$C$3:$L$6,5,0)=Variables!$B$5,B59&gt;VLOOKUP(I59,$C$3:$L$6,8,0)),IF(VLOOKUP(I59,$C$3:$L$6,5,0)=Variables!$B$5,((YEAR(B59)-YEAR($B$12))*12+MONTH(B59)-MONTH($B$12)),((YEAR(B59)-YEAR(VLOOKUP(I59,$C$3:$L$6,8,0)))*12+MONTH(B59)-MONTH(VLOOKUP(I59,$C$3:$L$6,8,0))))*(VLOOKUP(I59,$C$3:$L$6,10,0)*VLOOKUP(I59,$C$3:$L$6,6,0)/12),0))</f>
        <v/>
      </c>
      <c r="K59" s="29" t="str">
        <f ca="1">IF(C59&lt;&gt;"",IF(I59&lt;&gt;"",IF(ISERROR(VLOOKUP(I59,$C$3:$L$6,10,0)),"",VLOOKUP(I59,$C$3:$L$6,10,0)+J59+IF(OR(VLOOKUP(I59,$C$3:$L$6,5,0)=Variables!$B$5,B59&gt;VLOOKUP(I59,$C$3:$L$6,8,0)),IF(VLOOKUP(I59,$C$3:$L$6,5,0)=Variables!$B$5,((YEAR(B59)-YEAR($B$12))*12+MONTH(B59)-MONTH($B$12)),((YEAR(B59)-YEAR(VLOOKUP(I59,$C$3:$L$6,8,0)))*12+MONTH(B59)-MONTH(VLOOKUP(I59,$C$3:$L$6,8,0))))*VLOOKUP(I59,$C$3:$L$6,7,0),0)),""),"")</f>
        <v/>
      </c>
      <c r="L59" s="29" t="str">
        <f t="shared" ca="1" si="14"/>
        <v/>
      </c>
      <c r="M59" s="10"/>
      <c r="N59" s="10"/>
    </row>
    <row r="60" spans="1:14" x14ac:dyDescent="0.25">
      <c r="A60" s="10"/>
      <c r="B60" s="14" t="str">
        <f t="shared" ca="1" si="15"/>
        <v/>
      </c>
      <c r="C60" s="14" t="str">
        <f ca="1">IF(I59&lt;&gt;Variables!$B$1,IF(H59&lt;&gt;0,C59,I59),"")</f>
        <v/>
      </c>
      <c r="D60" s="29" t="str">
        <f t="shared" ca="1" si="12"/>
        <v/>
      </c>
      <c r="E60" s="29" t="str">
        <f t="shared" ca="1" si="13"/>
        <v/>
      </c>
      <c r="F60" s="29" t="str">
        <f ca="1">IF(C60&lt;&gt;"",IF(OR(VLOOKUP(C60,$C$3:$L$6,5,0)=Variables!$B$5,B60&gt;VLOOKUP(C60,$C$3:$L$6,8,0)),-D60*VLOOKUP(C60,$C$3:$L$6,6,0)/12,0),"")</f>
        <v/>
      </c>
      <c r="G60" s="29" t="str">
        <f ca="1">IF(I60&lt;&gt;Variables!$B$1,IF(C60&lt;&gt;"",$I$9-E60-F60,""),-D60)</f>
        <v/>
      </c>
      <c r="H60" s="29" t="str">
        <f t="shared" ca="1" si="16"/>
        <v/>
      </c>
      <c r="I60" s="31" t="str">
        <f ca="1">IF(C60&lt;&gt;"",IF(D60+$I$9-E60-F60&gt;=0,IF(ISERROR(INDEX($C$3:$C$6,MATCH(C60,$C$3:$C$6,0)+1,0)),Variables!$B$1,INDEX($C$3:$C$6,MATCH(C60,$C$3:$C$6,0)+1,0)),""),"")</f>
        <v/>
      </c>
      <c r="J60" s="29" t="str">
        <f ca="1">IF(ISERROR(VLOOKUP(I60,$C$3:$L$6,5,0)),"",IF(OR(VLOOKUP(I60,$C$3:$L$6,5,0)=Variables!$B$5,B60&gt;VLOOKUP(I60,$C$3:$L$6,8,0)),IF(VLOOKUP(I60,$C$3:$L$6,5,0)=Variables!$B$5,((YEAR(B60)-YEAR($B$12))*12+MONTH(B60)-MONTH($B$12)),((YEAR(B60)-YEAR(VLOOKUP(I60,$C$3:$L$6,8,0)))*12+MONTH(B60)-MONTH(VLOOKUP(I60,$C$3:$L$6,8,0))))*(VLOOKUP(I60,$C$3:$L$6,10,0)*VLOOKUP(I60,$C$3:$L$6,6,0)/12),0))</f>
        <v/>
      </c>
      <c r="K60" s="29" t="str">
        <f ca="1">IF(C60&lt;&gt;"",IF(I60&lt;&gt;"",IF(ISERROR(VLOOKUP(I60,$C$3:$L$6,10,0)),"",VLOOKUP(I60,$C$3:$L$6,10,0)+J60+IF(OR(VLOOKUP(I60,$C$3:$L$6,5,0)=Variables!$B$5,B60&gt;VLOOKUP(I60,$C$3:$L$6,8,0)),IF(VLOOKUP(I60,$C$3:$L$6,5,0)=Variables!$B$5,((YEAR(B60)-YEAR($B$12))*12+MONTH(B60)-MONTH($B$12)),((YEAR(B60)-YEAR(VLOOKUP(I60,$C$3:$L$6,8,0)))*12+MONTH(B60)-MONTH(VLOOKUP(I60,$C$3:$L$6,8,0))))*VLOOKUP(I60,$C$3:$L$6,7,0),0)),""),"")</f>
        <v/>
      </c>
      <c r="L60" s="29" t="str">
        <f t="shared" ca="1" si="14"/>
        <v/>
      </c>
      <c r="M60" s="10"/>
      <c r="N60" s="10"/>
    </row>
    <row r="61" spans="1:14" x14ac:dyDescent="0.25">
      <c r="A61" s="10"/>
      <c r="B61" s="14" t="str">
        <f t="shared" ca="1" si="15"/>
        <v/>
      </c>
      <c r="C61" s="14" t="str">
        <f ca="1">IF(I60&lt;&gt;Variables!$B$1,IF(H60&lt;&gt;0,C60,I60),"")</f>
        <v/>
      </c>
      <c r="D61" s="29" t="str">
        <f t="shared" ca="1" si="12"/>
        <v/>
      </c>
      <c r="E61" s="29" t="str">
        <f t="shared" ca="1" si="13"/>
        <v/>
      </c>
      <c r="F61" s="29" t="str">
        <f ca="1">IF(C61&lt;&gt;"",IF(OR(VLOOKUP(C61,$C$3:$L$6,5,0)=Variables!$B$5,B61&gt;VLOOKUP(C61,$C$3:$L$6,8,0)),-D61*VLOOKUP(C61,$C$3:$L$6,6,0)/12,0),"")</f>
        <v/>
      </c>
      <c r="G61" s="29" t="str">
        <f ca="1">IF(I61&lt;&gt;Variables!$B$1,IF(C61&lt;&gt;"",$I$9-E61-F61,""),-D61)</f>
        <v/>
      </c>
      <c r="H61" s="29" t="str">
        <f t="shared" ca="1" si="16"/>
        <v/>
      </c>
      <c r="I61" s="31" t="str">
        <f ca="1">IF(C61&lt;&gt;"",IF(D61+$I$9-E61-F61&gt;=0,IF(ISERROR(INDEX($C$3:$C$6,MATCH(C61,$C$3:$C$6,0)+1,0)),Variables!$B$1,INDEX($C$3:$C$6,MATCH(C61,$C$3:$C$6,0)+1,0)),""),"")</f>
        <v/>
      </c>
      <c r="J61" s="29" t="str">
        <f ca="1">IF(ISERROR(VLOOKUP(I61,$C$3:$L$6,5,0)),"",IF(OR(VLOOKUP(I61,$C$3:$L$6,5,0)=Variables!$B$5,B61&gt;VLOOKUP(I61,$C$3:$L$6,8,0)),IF(VLOOKUP(I61,$C$3:$L$6,5,0)=Variables!$B$5,((YEAR(B61)-YEAR($B$12))*12+MONTH(B61)-MONTH($B$12)),((YEAR(B61)-YEAR(VLOOKUP(I61,$C$3:$L$6,8,0)))*12+MONTH(B61)-MONTH(VLOOKUP(I61,$C$3:$L$6,8,0))))*(VLOOKUP(I61,$C$3:$L$6,10,0)*VLOOKUP(I61,$C$3:$L$6,6,0)/12),0))</f>
        <v/>
      </c>
      <c r="K61" s="29" t="str">
        <f ca="1">IF(C61&lt;&gt;"",IF(I61&lt;&gt;"",IF(ISERROR(VLOOKUP(I61,$C$3:$L$6,10,0)),"",VLOOKUP(I61,$C$3:$L$6,10,0)+J61+IF(OR(VLOOKUP(I61,$C$3:$L$6,5,0)=Variables!$B$5,B61&gt;VLOOKUP(I61,$C$3:$L$6,8,0)),IF(VLOOKUP(I61,$C$3:$L$6,5,0)=Variables!$B$5,((YEAR(B61)-YEAR($B$12))*12+MONTH(B61)-MONTH($B$12)),((YEAR(B61)-YEAR(VLOOKUP(I61,$C$3:$L$6,8,0)))*12+MONTH(B61)-MONTH(VLOOKUP(I61,$C$3:$L$6,8,0))))*VLOOKUP(I61,$C$3:$L$6,7,0),0)),""),"")</f>
        <v/>
      </c>
      <c r="L61" s="29" t="str">
        <f t="shared" ca="1" si="14"/>
        <v/>
      </c>
      <c r="M61" s="10"/>
      <c r="N61" s="10"/>
    </row>
    <row r="62" spans="1:14" x14ac:dyDescent="0.25">
      <c r="A62" s="10"/>
      <c r="B62" s="14" t="str">
        <f t="shared" ca="1" si="15"/>
        <v/>
      </c>
      <c r="C62" s="14" t="str">
        <f ca="1">IF(I61&lt;&gt;Variables!$B$1,IF(H61&lt;&gt;0,C61,I61),"")</f>
        <v/>
      </c>
      <c r="D62" s="29" t="str">
        <f t="shared" ca="1" si="12"/>
        <v/>
      </c>
      <c r="E62" s="29" t="str">
        <f t="shared" ca="1" si="13"/>
        <v/>
      </c>
      <c r="F62" s="29" t="str">
        <f ca="1">IF(C62&lt;&gt;"",IF(OR(VLOOKUP(C62,$C$3:$L$6,5,0)=Variables!$B$5,B62&gt;VLOOKUP(C62,$C$3:$L$6,8,0)),-D62*VLOOKUP(C62,$C$3:$L$6,6,0)/12,0),"")</f>
        <v/>
      </c>
      <c r="G62" s="29" t="str">
        <f ca="1">IF(I62&lt;&gt;Variables!$B$1,IF(C62&lt;&gt;"",$I$9-E62-F62,""),-D62)</f>
        <v/>
      </c>
      <c r="H62" s="29" t="str">
        <f t="shared" ca="1" si="16"/>
        <v/>
      </c>
      <c r="I62" s="31" t="str">
        <f ca="1">IF(C62&lt;&gt;"",IF(D62+$I$9-E62-F62&gt;=0,IF(ISERROR(INDEX($C$3:$C$6,MATCH(C62,$C$3:$C$6,0)+1,0)),Variables!$B$1,INDEX($C$3:$C$6,MATCH(C62,$C$3:$C$6,0)+1,0)),""),"")</f>
        <v/>
      </c>
      <c r="J62" s="29" t="str">
        <f ca="1">IF(ISERROR(VLOOKUP(I62,$C$3:$L$6,5,0)),"",IF(OR(VLOOKUP(I62,$C$3:$L$6,5,0)=Variables!$B$5,B62&gt;VLOOKUP(I62,$C$3:$L$6,8,0)),IF(VLOOKUP(I62,$C$3:$L$6,5,0)=Variables!$B$5,((YEAR(B62)-YEAR($B$12))*12+MONTH(B62)-MONTH($B$12)),((YEAR(B62)-YEAR(VLOOKUP(I62,$C$3:$L$6,8,0)))*12+MONTH(B62)-MONTH(VLOOKUP(I62,$C$3:$L$6,8,0))))*(VLOOKUP(I62,$C$3:$L$6,10,0)*VLOOKUP(I62,$C$3:$L$6,6,0)/12),0))</f>
        <v/>
      </c>
      <c r="K62" s="29" t="str">
        <f ca="1">IF(C62&lt;&gt;"",IF(I62&lt;&gt;"",IF(ISERROR(VLOOKUP(I62,$C$3:$L$6,10,0)),"",VLOOKUP(I62,$C$3:$L$6,10,0)+J62+IF(OR(VLOOKUP(I62,$C$3:$L$6,5,0)=Variables!$B$5,B62&gt;VLOOKUP(I62,$C$3:$L$6,8,0)),IF(VLOOKUP(I62,$C$3:$L$6,5,0)=Variables!$B$5,((YEAR(B62)-YEAR($B$12))*12+MONTH(B62)-MONTH($B$12)),((YEAR(B62)-YEAR(VLOOKUP(I62,$C$3:$L$6,8,0)))*12+MONTH(B62)-MONTH(VLOOKUP(I62,$C$3:$L$6,8,0))))*VLOOKUP(I62,$C$3:$L$6,7,0),0)),""),"")</f>
        <v/>
      </c>
      <c r="L62" s="29" t="str">
        <f t="shared" ca="1" si="14"/>
        <v/>
      </c>
      <c r="M62" s="10"/>
      <c r="N62" s="10"/>
    </row>
    <row r="63" spans="1:14" x14ac:dyDescent="0.25">
      <c r="A63" s="10"/>
      <c r="B63" s="14" t="str">
        <f t="shared" ca="1" si="15"/>
        <v/>
      </c>
      <c r="C63" s="14" t="str">
        <f ca="1">IF(I62&lt;&gt;Variables!$B$1,IF(H62&lt;&gt;0,C62,I62),"")</f>
        <v/>
      </c>
      <c r="D63" s="29" t="str">
        <f t="shared" ca="1" si="12"/>
        <v/>
      </c>
      <c r="E63" s="29" t="str">
        <f t="shared" ca="1" si="13"/>
        <v/>
      </c>
      <c r="F63" s="29" t="str">
        <f ca="1">IF(C63&lt;&gt;"",IF(OR(VLOOKUP(C63,$C$3:$L$6,5,0)=Variables!$B$5,B63&gt;VLOOKUP(C63,$C$3:$L$6,8,0)),-D63*VLOOKUP(C63,$C$3:$L$6,6,0)/12,0),"")</f>
        <v/>
      </c>
      <c r="G63" s="29" t="str">
        <f ca="1">IF(I63&lt;&gt;Variables!$B$1,IF(C63&lt;&gt;"",$I$9-E63-F63,""),-D63)</f>
        <v/>
      </c>
      <c r="H63" s="29" t="str">
        <f t="shared" ca="1" si="16"/>
        <v/>
      </c>
      <c r="I63" s="31" t="str">
        <f ca="1">IF(C63&lt;&gt;"",IF(D63+$I$9-E63-F63&gt;=0,IF(ISERROR(INDEX($C$3:$C$6,MATCH(C63,$C$3:$C$6,0)+1,0)),Variables!$B$1,INDEX($C$3:$C$6,MATCH(C63,$C$3:$C$6,0)+1,0)),""),"")</f>
        <v/>
      </c>
      <c r="J63" s="29" t="str">
        <f ca="1">IF(ISERROR(VLOOKUP(I63,$C$3:$L$6,5,0)),"",IF(OR(VLOOKUP(I63,$C$3:$L$6,5,0)=Variables!$B$5,B63&gt;VLOOKUP(I63,$C$3:$L$6,8,0)),IF(VLOOKUP(I63,$C$3:$L$6,5,0)=Variables!$B$5,((YEAR(B63)-YEAR($B$12))*12+MONTH(B63)-MONTH($B$12)),((YEAR(B63)-YEAR(VLOOKUP(I63,$C$3:$L$6,8,0)))*12+MONTH(B63)-MONTH(VLOOKUP(I63,$C$3:$L$6,8,0))))*(VLOOKUP(I63,$C$3:$L$6,10,0)*VLOOKUP(I63,$C$3:$L$6,6,0)/12),0))</f>
        <v/>
      </c>
      <c r="K63" s="29" t="str">
        <f ca="1">IF(C63&lt;&gt;"",IF(I63&lt;&gt;"",IF(ISERROR(VLOOKUP(I63,$C$3:$L$6,10,0)),"",VLOOKUP(I63,$C$3:$L$6,10,0)+J63+IF(OR(VLOOKUP(I63,$C$3:$L$6,5,0)=Variables!$B$5,B63&gt;VLOOKUP(I63,$C$3:$L$6,8,0)),IF(VLOOKUP(I63,$C$3:$L$6,5,0)=Variables!$B$5,((YEAR(B63)-YEAR($B$12))*12+MONTH(B63)-MONTH($B$12)),((YEAR(B63)-YEAR(VLOOKUP(I63,$C$3:$L$6,8,0)))*12+MONTH(B63)-MONTH(VLOOKUP(I63,$C$3:$L$6,8,0))))*VLOOKUP(I63,$C$3:$L$6,7,0),0)),""),"")</f>
        <v/>
      </c>
      <c r="L63" s="29" t="str">
        <f t="shared" ca="1" si="14"/>
        <v/>
      </c>
      <c r="M63" s="10"/>
      <c r="N63" s="10"/>
    </row>
    <row r="64" spans="1:14" x14ac:dyDescent="0.25">
      <c r="A64" s="10"/>
      <c r="B64" s="14" t="str">
        <f t="shared" ca="1" si="15"/>
        <v/>
      </c>
      <c r="C64" s="14" t="str">
        <f ca="1">IF(I63&lt;&gt;Variables!$B$1,IF(H63&lt;&gt;0,C63,I63),"")</f>
        <v/>
      </c>
      <c r="D64" s="29" t="str">
        <f t="shared" ca="1" si="12"/>
        <v/>
      </c>
      <c r="E64" s="29" t="str">
        <f t="shared" ca="1" si="13"/>
        <v/>
      </c>
      <c r="F64" s="29" t="str">
        <f ca="1">IF(C64&lt;&gt;"",IF(OR(VLOOKUP(C64,$C$3:$L$6,5,0)=Variables!$B$5,B64&gt;VLOOKUP(C64,$C$3:$L$6,8,0)),-D64*VLOOKUP(C64,$C$3:$L$6,6,0)/12,0),"")</f>
        <v/>
      </c>
      <c r="G64" s="29" t="str">
        <f ca="1">IF(I64&lt;&gt;Variables!$B$1,IF(C64&lt;&gt;"",$I$9-E64-F64,""),-D64)</f>
        <v/>
      </c>
      <c r="H64" s="29" t="str">
        <f t="shared" ca="1" si="16"/>
        <v/>
      </c>
      <c r="I64" s="31" t="str">
        <f ca="1">IF(C64&lt;&gt;"",IF(D64+$I$9-E64-F64&gt;=0,IF(ISERROR(INDEX($C$3:$C$6,MATCH(C64,$C$3:$C$6,0)+1,0)),Variables!$B$1,INDEX($C$3:$C$6,MATCH(C64,$C$3:$C$6,0)+1,0)),""),"")</f>
        <v/>
      </c>
      <c r="J64" s="29" t="str">
        <f ca="1">IF(ISERROR(VLOOKUP(I64,$C$3:$L$6,5,0)),"",IF(OR(VLOOKUP(I64,$C$3:$L$6,5,0)=Variables!$B$5,B64&gt;VLOOKUP(I64,$C$3:$L$6,8,0)),IF(VLOOKUP(I64,$C$3:$L$6,5,0)=Variables!$B$5,((YEAR(B64)-YEAR($B$12))*12+MONTH(B64)-MONTH($B$12)),((YEAR(B64)-YEAR(VLOOKUP(I64,$C$3:$L$6,8,0)))*12+MONTH(B64)-MONTH(VLOOKUP(I64,$C$3:$L$6,8,0))))*(VLOOKUP(I64,$C$3:$L$6,10,0)*VLOOKUP(I64,$C$3:$L$6,6,0)/12),0))</f>
        <v/>
      </c>
      <c r="K64" s="29" t="str">
        <f ca="1">IF(C64&lt;&gt;"",IF(I64&lt;&gt;"",IF(ISERROR(VLOOKUP(I64,$C$3:$L$6,10,0)),"",VLOOKUP(I64,$C$3:$L$6,10,0)+J64+IF(OR(VLOOKUP(I64,$C$3:$L$6,5,0)=Variables!$B$5,B64&gt;VLOOKUP(I64,$C$3:$L$6,8,0)),IF(VLOOKUP(I64,$C$3:$L$6,5,0)=Variables!$B$5,((YEAR(B64)-YEAR($B$12))*12+MONTH(B64)-MONTH($B$12)),((YEAR(B64)-YEAR(VLOOKUP(I64,$C$3:$L$6,8,0)))*12+MONTH(B64)-MONTH(VLOOKUP(I64,$C$3:$L$6,8,0))))*VLOOKUP(I64,$C$3:$L$6,7,0),0)),""),"")</f>
        <v/>
      </c>
      <c r="L64" s="29" t="str">
        <f t="shared" ca="1" si="14"/>
        <v/>
      </c>
      <c r="M64" s="10"/>
      <c r="N64" s="10"/>
    </row>
    <row r="65" spans="1:14" x14ac:dyDescent="0.25">
      <c r="A65" s="10"/>
      <c r="B65" s="14" t="str">
        <f t="shared" ca="1" si="15"/>
        <v/>
      </c>
      <c r="C65" s="14" t="str">
        <f ca="1">IF(I64&lt;&gt;Variables!$B$1,IF(H64&lt;&gt;0,C64,I64),"")</f>
        <v/>
      </c>
      <c r="D65" s="29" t="str">
        <f t="shared" ca="1" si="12"/>
        <v/>
      </c>
      <c r="E65" s="29" t="str">
        <f t="shared" ca="1" si="13"/>
        <v/>
      </c>
      <c r="F65" s="29" t="str">
        <f ca="1">IF(C65&lt;&gt;"",IF(OR(VLOOKUP(C65,$C$3:$L$6,5,0)=Variables!$B$5,B65&gt;VLOOKUP(C65,$C$3:$L$6,8,0)),-D65*VLOOKUP(C65,$C$3:$L$6,6,0)/12,0),"")</f>
        <v/>
      </c>
      <c r="G65" s="29" t="str">
        <f ca="1">IF(I65&lt;&gt;Variables!$B$1,IF(C65&lt;&gt;"",$I$9-E65-F65,""),-D65)</f>
        <v/>
      </c>
      <c r="H65" s="29" t="str">
        <f t="shared" ca="1" si="16"/>
        <v/>
      </c>
      <c r="I65" s="31" t="str">
        <f ca="1">IF(C65&lt;&gt;"",IF(D65+$I$9-E65-F65&gt;=0,IF(ISERROR(INDEX($C$3:$C$6,MATCH(C65,$C$3:$C$6,0)+1,0)),Variables!$B$1,INDEX($C$3:$C$6,MATCH(C65,$C$3:$C$6,0)+1,0)),""),"")</f>
        <v/>
      </c>
      <c r="J65" s="29" t="str">
        <f ca="1">IF(ISERROR(VLOOKUP(I65,$C$3:$L$6,5,0)),"",IF(OR(VLOOKUP(I65,$C$3:$L$6,5,0)=Variables!$B$5,B65&gt;VLOOKUP(I65,$C$3:$L$6,8,0)),IF(VLOOKUP(I65,$C$3:$L$6,5,0)=Variables!$B$5,((YEAR(B65)-YEAR($B$12))*12+MONTH(B65)-MONTH($B$12)),((YEAR(B65)-YEAR(VLOOKUP(I65,$C$3:$L$6,8,0)))*12+MONTH(B65)-MONTH(VLOOKUP(I65,$C$3:$L$6,8,0))))*(VLOOKUP(I65,$C$3:$L$6,10,0)*VLOOKUP(I65,$C$3:$L$6,6,0)/12),0))</f>
        <v/>
      </c>
      <c r="K65" s="29" t="str">
        <f ca="1">IF(C65&lt;&gt;"",IF(I65&lt;&gt;"",IF(ISERROR(VLOOKUP(I65,$C$3:$L$6,10,0)),"",VLOOKUP(I65,$C$3:$L$6,10,0)+J65+IF(OR(VLOOKUP(I65,$C$3:$L$6,5,0)=Variables!$B$5,B65&gt;VLOOKUP(I65,$C$3:$L$6,8,0)),IF(VLOOKUP(I65,$C$3:$L$6,5,0)=Variables!$B$5,((YEAR(B65)-YEAR($B$12))*12+MONTH(B65)-MONTH($B$12)),((YEAR(B65)-YEAR(VLOOKUP(I65,$C$3:$L$6,8,0)))*12+MONTH(B65)-MONTH(VLOOKUP(I65,$C$3:$L$6,8,0))))*VLOOKUP(I65,$C$3:$L$6,7,0),0)),""),"")</f>
        <v/>
      </c>
      <c r="L65" s="29" t="str">
        <f t="shared" ca="1" si="14"/>
        <v/>
      </c>
      <c r="M65" s="10"/>
      <c r="N65" s="10"/>
    </row>
    <row r="66" spans="1:14" x14ac:dyDescent="0.25">
      <c r="A66" s="10"/>
      <c r="B66" s="14" t="str">
        <f t="shared" ca="1" si="15"/>
        <v/>
      </c>
      <c r="C66" s="14" t="str">
        <f ca="1">IF(I65&lt;&gt;Variables!$B$1,IF(H65&lt;&gt;0,C65,I65),"")</f>
        <v/>
      </c>
      <c r="D66" s="29" t="str">
        <f t="shared" ca="1" si="12"/>
        <v/>
      </c>
      <c r="E66" s="29" t="str">
        <f t="shared" ca="1" si="13"/>
        <v/>
      </c>
      <c r="F66" s="29" t="str">
        <f ca="1">IF(C66&lt;&gt;"",IF(OR(VLOOKUP(C66,$C$3:$L$6,5,0)=Variables!$B$5,B66&gt;VLOOKUP(C66,$C$3:$L$6,8,0)),-D66*VLOOKUP(C66,$C$3:$L$6,6,0)/12,0),"")</f>
        <v/>
      </c>
      <c r="G66" s="29" t="str">
        <f ca="1">IF(I66&lt;&gt;Variables!$B$1,IF(C66&lt;&gt;"",$I$9-E66-F66,""),-D66)</f>
        <v/>
      </c>
      <c r="H66" s="29" t="str">
        <f t="shared" ca="1" si="16"/>
        <v/>
      </c>
      <c r="I66" s="31" t="str">
        <f ca="1">IF(C66&lt;&gt;"",IF(D66+$I$9-E66-F66&gt;=0,IF(ISERROR(INDEX($C$3:$C$6,MATCH(C66,$C$3:$C$6,0)+1,0)),Variables!$B$1,INDEX($C$3:$C$6,MATCH(C66,$C$3:$C$6,0)+1,0)),""),"")</f>
        <v/>
      </c>
      <c r="J66" s="29" t="str">
        <f ca="1">IF(ISERROR(VLOOKUP(I66,$C$3:$L$6,5,0)),"",IF(OR(VLOOKUP(I66,$C$3:$L$6,5,0)=Variables!$B$5,B66&gt;VLOOKUP(I66,$C$3:$L$6,8,0)),IF(VLOOKUP(I66,$C$3:$L$6,5,0)=Variables!$B$5,((YEAR(B66)-YEAR($B$12))*12+MONTH(B66)-MONTH($B$12)),((YEAR(B66)-YEAR(VLOOKUP(I66,$C$3:$L$6,8,0)))*12+MONTH(B66)-MONTH(VLOOKUP(I66,$C$3:$L$6,8,0))))*(VLOOKUP(I66,$C$3:$L$6,10,0)*VLOOKUP(I66,$C$3:$L$6,6,0)/12),0))</f>
        <v/>
      </c>
      <c r="K66" s="29" t="str">
        <f ca="1">IF(C66&lt;&gt;"",IF(I66&lt;&gt;"",IF(ISERROR(VLOOKUP(I66,$C$3:$L$6,10,0)),"",VLOOKUP(I66,$C$3:$L$6,10,0)+J66+IF(OR(VLOOKUP(I66,$C$3:$L$6,5,0)=Variables!$B$5,B66&gt;VLOOKUP(I66,$C$3:$L$6,8,0)),IF(VLOOKUP(I66,$C$3:$L$6,5,0)=Variables!$B$5,((YEAR(B66)-YEAR($B$12))*12+MONTH(B66)-MONTH($B$12)),((YEAR(B66)-YEAR(VLOOKUP(I66,$C$3:$L$6,8,0)))*12+MONTH(B66)-MONTH(VLOOKUP(I66,$C$3:$L$6,8,0))))*VLOOKUP(I66,$C$3:$L$6,7,0),0)),""),"")</f>
        <v/>
      </c>
      <c r="L66" s="29" t="str">
        <f t="shared" ca="1" si="14"/>
        <v/>
      </c>
      <c r="M66" s="10"/>
      <c r="N66" s="10"/>
    </row>
    <row r="67" spans="1:14" x14ac:dyDescent="0.25">
      <c r="A67" s="10"/>
      <c r="B67" s="14" t="str">
        <f t="shared" ca="1" si="15"/>
        <v/>
      </c>
      <c r="C67" s="14" t="str">
        <f ca="1">IF(I66&lt;&gt;Variables!$B$1,IF(H66&lt;&gt;0,C66,I66),"")</f>
        <v/>
      </c>
      <c r="D67" s="29" t="str">
        <f t="shared" ca="1" si="12"/>
        <v/>
      </c>
      <c r="E67" s="29" t="str">
        <f t="shared" ca="1" si="13"/>
        <v/>
      </c>
      <c r="F67" s="29" t="str">
        <f ca="1">IF(C67&lt;&gt;"",IF(OR(VLOOKUP(C67,$C$3:$L$6,5,0)=Variables!$B$5,B67&gt;VLOOKUP(C67,$C$3:$L$6,8,0)),-D67*VLOOKUP(C67,$C$3:$L$6,6,0)/12,0),"")</f>
        <v/>
      </c>
      <c r="G67" s="29" t="str">
        <f ca="1">IF(I67&lt;&gt;Variables!$B$1,IF(C67&lt;&gt;"",$I$9-E67-F67,""),-D67)</f>
        <v/>
      </c>
      <c r="H67" s="29" t="str">
        <f t="shared" ca="1" si="16"/>
        <v/>
      </c>
      <c r="I67" s="31" t="str">
        <f ca="1">IF(C67&lt;&gt;"",IF(D67+$I$9-E67-F67&gt;=0,IF(ISERROR(INDEX($C$3:$C$6,MATCH(C67,$C$3:$C$6,0)+1,0)),Variables!$B$1,INDEX($C$3:$C$6,MATCH(C67,$C$3:$C$6,0)+1,0)),""),"")</f>
        <v/>
      </c>
      <c r="J67" s="29" t="str">
        <f ca="1">IF(ISERROR(VLOOKUP(I67,$C$3:$L$6,5,0)),"",IF(OR(VLOOKUP(I67,$C$3:$L$6,5,0)=Variables!$B$5,B67&gt;VLOOKUP(I67,$C$3:$L$6,8,0)),IF(VLOOKUP(I67,$C$3:$L$6,5,0)=Variables!$B$5,((YEAR(B67)-YEAR($B$12))*12+MONTH(B67)-MONTH($B$12)),((YEAR(B67)-YEAR(VLOOKUP(I67,$C$3:$L$6,8,0)))*12+MONTH(B67)-MONTH(VLOOKUP(I67,$C$3:$L$6,8,0))))*(VLOOKUP(I67,$C$3:$L$6,10,0)*VLOOKUP(I67,$C$3:$L$6,6,0)/12),0))</f>
        <v/>
      </c>
      <c r="K67" s="29" t="str">
        <f ca="1">IF(C67&lt;&gt;"",IF(I67&lt;&gt;"",IF(ISERROR(VLOOKUP(I67,$C$3:$L$6,10,0)),"",VLOOKUP(I67,$C$3:$L$6,10,0)+J67+IF(OR(VLOOKUP(I67,$C$3:$L$6,5,0)=Variables!$B$5,B67&gt;VLOOKUP(I67,$C$3:$L$6,8,0)),IF(VLOOKUP(I67,$C$3:$L$6,5,0)=Variables!$B$5,((YEAR(B67)-YEAR($B$12))*12+MONTH(B67)-MONTH($B$12)),((YEAR(B67)-YEAR(VLOOKUP(I67,$C$3:$L$6,8,0)))*12+MONTH(B67)-MONTH(VLOOKUP(I67,$C$3:$L$6,8,0))))*VLOOKUP(I67,$C$3:$L$6,7,0),0)),""),"")</f>
        <v/>
      </c>
      <c r="L67" s="29" t="str">
        <f t="shared" ca="1" si="14"/>
        <v/>
      </c>
      <c r="M67" s="10"/>
      <c r="N67" s="10"/>
    </row>
    <row r="68" spans="1:14" x14ac:dyDescent="0.25">
      <c r="A68" s="10"/>
      <c r="B68" s="14" t="str">
        <f t="shared" ca="1" si="15"/>
        <v/>
      </c>
      <c r="C68" s="14" t="str">
        <f ca="1">IF(I67&lt;&gt;Variables!$B$1,IF(H67&lt;&gt;0,C67,I67),"")</f>
        <v/>
      </c>
      <c r="D68" s="29" t="str">
        <f t="shared" ca="1" si="12"/>
        <v/>
      </c>
      <c r="E68" s="29" t="str">
        <f t="shared" ca="1" si="13"/>
        <v/>
      </c>
      <c r="F68" s="29" t="str">
        <f ca="1">IF(C68&lt;&gt;"",IF(OR(VLOOKUP(C68,$C$3:$L$6,5,0)=Variables!$B$5,B68&gt;VLOOKUP(C68,$C$3:$L$6,8,0)),-D68*VLOOKUP(C68,$C$3:$L$6,6,0)/12,0),"")</f>
        <v/>
      </c>
      <c r="G68" s="29" t="str">
        <f ca="1">IF(I68&lt;&gt;Variables!$B$1,IF(C68&lt;&gt;"",$I$9-E68-F68,""),-D68)</f>
        <v/>
      </c>
      <c r="H68" s="29" t="str">
        <f t="shared" ca="1" si="16"/>
        <v/>
      </c>
      <c r="I68" s="31" t="str">
        <f ca="1">IF(C68&lt;&gt;"",IF(D68+$I$9-E68-F68&gt;=0,IF(ISERROR(INDEX($C$3:$C$6,MATCH(C68,$C$3:$C$6,0)+1,0)),Variables!$B$1,INDEX($C$3:$C$6,MATCH(C68,$C$3:$C$6,0)+1,0)),""),"")</f>
        <v/>
      </c>
      <c r="J68" s="29" t="str">
        <f ca="1">IF(ISERROR(VLOOKUP(I68,$C$3:$L$6,5,0)),"",IF(OR(VLOOKUP(I68,$C$3:$L$6,5,0)=Variables!$B$5,B68&gt;VLOOKUP(I68,$C$3:$L$6,8,0)),IF(VLOOKUP(I68,$C$3:$L$6,5,0)=Variables!$B$5,((YEAR(B68)-YEAR($B$12))*12+MONTH(B68)-MONTH($B$12)),((YEAR(B68)-YEAR(VLOOKUP(I68,$C$3:$L$6,8,0)))*12+MONTH(B68)-MONTH(VLOOKUP(I68,$C$3:$L$6,8,0))))*(VLOOKUP(I68,$C$3:$L$6,10,0)*VLOOKUP(I68,$C$3:$L$6,6,0)/12),0))</f>
        <v/>
      </c>
      <c r="K68" s="29" t="str">
        <f ca="1">IF(C68&lt;&gt;"",IF(I68&lt;&gt;"",IF(ISERROR(VLOOKUP(I68,$C$3:$L$6,10,0)),"",VLOOKUP(I68,$C$3:$L$6,10,0)+J68+IF(OR(VLOOKUP(I68,$C$3:$L$6,5,0)=Variables!$B$5,B68&gt;VLOOKUP(I68,$C$3:$L$6,8,0)),IF(VLOOKUP(I68,$C$3:$L$6,5,0)=Variables!$B$5,((YEAR(B68)-YEAR($B$12))*12+MONTH(B68)-MONTH($B$12)),((YEAR(B68)-YEAR(VLOOKUP(I68,$C$3:$L$6,8,0)))*12+MONTH(B68)-MONTH(VLOOKUP(I68,$C$3:$L$6,8,0))))*VLOOKUP(I68,$C$3:$L$6,7,0),0)),""),"")</f>
        <v/>
      </c>
      <c r="L68" s="29" t="str">
        <f t="shared" ca="1" si="14"/>
        <v/>
      </c>
      <c r="M68" s="10"/>
      <c r="N68" s="10"/>
    </row>
    <row r="69" spans="1:14" x14ac:dyDescent="0.25">
      <c r="A69" s="10"/>
      <c r="B69" s="14" t="str">
        <f t="shared" ca="1" si="15"/>
        <v/>
      </c>
      <c r="C69" s="14" t="str">
        <f ca="1">IF(I68&lt;&gt;Variables!$B$1,IF(H68&lt;&gt;0,C68,I68),"")</f>
        <v/>
      </c>
      <c r="D69" s="29" t="str">
        <f t="shared" ca="1" si="12"/>
        <v/>
      </c>
      <c r="E69" s="29" t="str">
        <f t="shared" ca="1" si="13"/>
        <v/>
      </c>
      <c r="F69" s="29" t="str">
        <f ca="1">IF(C69&lt;&gt;"",IF(OR(VLOOKUP(C69,$C$3:$L$6,5,0)=Variables!$B$5,B69&gt;VLOOKUP(C69,$C$3:$L$6,8,0)),-D69*VLOOKUP(C69,$C$3:$L$6,6,0)/12,0),"")</f>
        <v/>
      </c>
      <c r="G69" s="29" t="str">
        <f ca="1">IF(I69&lt;&gt;Variables!$B$1,IF(C69&lt;&gt;"",$I$9-E69-F69,""),-D69)</f>
        <v/>
      </c>
      <c r="H69" s="29" t="str">
        <f t="shared" ca="1" si="16"/>
        <v/>
      </c>
      <c r="I69" s="31" t="str">
        <f ca="1">IF(C69&lt;&gt;"",IF(D69+$I$9-E69-F69&gt;=0,IF(ISERROR(INDEX($C$3:$C$6,MATCH(C69,$C$3:$C$6,0)+1,0)),Variables!$B$1,INDEX($C$3:$C$6,MATCH(C69,$C$3:$C$6,0)+1,0)),""),"")</f>
        <v/>
      </c>
      <c r="J69" s="29" t="str">
        <f ca="1">IF(ISERROR(VLOOKUP(I69,$C$3:$L$6,5,0)),"",IF(OR(VLOOKUP(I69,$C$3:$L$6,5,0)=Variables!$B$5,B69&gt;VLOOKUP(I69,$C$3:$L$6,8,0)),IF(VLOOKUP(I69,$C$3:$L$6,5,0)=Variables!$B$5,((YEAR(B69)-YEAR($B$12))*12+MONTH(B69)-MONTH($B$12)),((YEAR(B69)-YEAR(VLOOKUP(I69,$C$3:$L$6,8,0)))*12+MONTH(B69)-MONTH(VLOOKUP(I69,$C$3:$L$6,8,0))))*(VLOOKUP(I69,$C$3:$L$6,10,0)*VLOOKUP(I69,$C$3:$L$6,6,0)/12),0))</f>
        <v/>
      </c>
      <c r="K69" s="29" t="str">
        <f ca="1">IF(C69&lt;&gt;"",IF(I69&lt;&gt;"",IF(ISERROR(VLOOKUP(I69,$C$3:$L$6,10,0)),"",VLOOKUP(I69,$C$3:$L$6,10,0)+J69+IF(OR(VLOOKUP(I69,$C$3:$L$6,5,0)=Variables!$B$5,B69&gt;VLOOKUP(I69,$C$3:$L$6,8,0)),IF(VLOOKUP(I69,$C$3:$L$6,5,0)=Variables!$B$5,((YEAR(B69)-YEAR($B$12))*12+MONTH(B69)-MONTH($B$12)),((YEAR(B69)-YEAR(VLOOKUP(I69,$C$3:$L$6,8,0)))*12+MONTH(B69)-MONTH(VLOOKUP(I69,$C$3:$L$6,8,0))))*VLOOKUP(I69,$C$3:$L$6,7,0),0)),""),"")</f>
        <v/>
      </c>
      <c r="L69" s="29" t="str">
        <f t="shared" ca="1" si="14"/>
        <v/>
      </c>
      <c r="M69" s="10"/>
      <c r="N69" s="10"/>
    </row>
    <row r="70" spans="1:14" x14ac:dyDescent="0.25">
      <c r="A70" s="10"/>
      <c r="B70" s="14" t="str">
        <f t="shared" ca="1" si="15"/>
        <v/>
      </c>
      <c r="C70" s="14" t="str">
        <f ca="1">IF(I69&lt;&gt;Variables!$B$1,IF(H69&lt;&gt;0,C69,I69),"")</f>
        <v/>
      </c>
      <c r="D70" s="29" t="str">
        <f t="shared" ca="1" si="12"/>
        <v/>
      </c>
      <c r="E70" s="29" t="str">
        <f t="shared" ca="1" si="13"/>
        <v/>
      </c>
      <c r="F70" s="29" t="str">
        <f ca="1">IF(C70&lt;&gt;"",IF(OR(VLOOKUP(C70,$C$3:$L$6,5,0)=Variables!$B$5,B70&gt;VLOOKUP(C70,$C$3:$L$6,8,0)),-D70*VLOOKUP(C70,$C$3:$L$6,6,0)/12,0),"")</f>
        <v/>
      </c>
      <c r="G70" s="29" t="str">
        <f ca="1">IF(I70&lt;&gt;Variables!$B$1,IF(C70&lt;&gt;"",$I$9-E70-F70,""),-D70)</f>
        <v/>
      </c>
      <c r="H70" s="29" t="str">
        <f t="shared" ca="1" si="16"/>
        <v/>
      </c>
      <c r="I70" s="31" t="str">
        <f ca="1">IF(C70&lt;&gt;"",IF(D70+$I$9-E70-F70&gt;=0,IF(ISERROR(INDEX($C$3:$C$6,MATCH(C70,$C$3:$C$6,0)+1,0)),Variables!$B$1,INDEX($C$3:$C$6,MATCH(C70,$C$3:$C$6,0)+1,0)),""),"")</f>
        <v/>
      </c>
      <c r="J70" s="29" t="str">
        <f ca="1">IF(ISERROR(VLOOKUP(I70,$C$3:$L$6,5,0)),"",IF(OR(VLOOKUP(I70,$C$3:$L$6,5,0)=Variables!$B$5,B70&gt;VLOOKUP(I70,$C$3:$L$6,8,0)),IF(VLOOKUP(I70,$C$3:$L$6,5,0)=Variables!$B$5,((YEAR(B70)-YEAR($B$12))*12+MONTH(B70)-MONTH($B$12)),((YEAR(B70)-YEAR(VLOOKUP(I70,$C$3:$L$6,8,0)))*12+MONTH(B70)-MONTH(VLOOKUP(I70,$C$3:$L$6,8,0))))*(VLOOKUP(I70,$C$3:$L$6,10,0)*VLOOKUP(I70,$C$3:$L$6,6,0)/12),0))</f>
        <v/>
      </c>
      <c r="K70" s="29" t="str">
        <f ca="1">IF(C70&lt;&gt;"",IF(I70&lt;&gt;"",IF(ISERROR(VLOOKUP(I70,$C$3:$L$6,10,0)),"",VLOOKUP(I70,$C$3:$L$6,10,0)+J70+IF(OR(VLOOKUP(I70,$C$3:$L$6,5,0)=Variables!$B$5,B70&gt;VLOOKUP(I70,$C$3:$L$6,8,0)),IF(VLOOKUP(I70,$C$3:$L$6,5,0)=Variables!$B$5,((YEAR(B70)-YEAR($B$12))*12+MONTH(B70)-MONTH($B$12)),((YEAR(B70)-YEAR(VLOOKUP(I70,$C$3:$L$6,8,0)))*12+MONTH(B70)-MONTH(VLOOKUP(I70,$C$3:$L$6,8,0))))*VLOOKUP(I70,$C$3:$L$6,7,0),0)),""),"")</f>
        <v/>
      </c>
      <c r="L70" s="29" t="str">
        <f t="shared" ca="1" si="14"/>
        <v/>
      </c>
      <c r="M70" s="10"/>
      <c r="N70" s="10"/>
    </row>
    <row r="71" spans="1:14" x14ac:dyDescent="0.25">
      <c r="A71" s="10"/>
      <c r="B71" s="14" t="str">
        <f t="shared" ca="1" si="15"/>
        <v/>
      </c>
      <c r="C71" s="14" t="str">
        <f ca="1">IF(I70&lt;&gt;Variables!$B$1,IF(H70&lt;&gt;0,C70,I70),"")</f>
        <v/>
      </c>
      <c r="D71" s="29" t="str">
        <f t="shared" ca="1" si="12"/>
        <v/>
      </c>
      <c r="E71" s="29" t="str">
        <f t="shared" ca="1" si="13"/>
        <v/>
      </c>
      <c r="F71" s="29" t="str">
        <f ca="1">IF(C71&lt;&gt;"",IF(OR(VLOOKUP(C71,$C$3:$L$6,5,0)=Variables!$B$5,B71&gt;VLOOKUP(C71,$C$3:$L$6,8,0)),-D71*VLOOKUP(C71,$C$3:$L$6,6,0)/12,0),"")</f>
        <v/>
      </c>
      <c r="G71" s="29" t="str">
        <f ca="1">IF(I71&lt;&gt;Variables!$B$1,IF(C71&lt;&gt;"",$I$9-E71-F71,""),-D71)</f>
        <v/>
      </c>
      <c r="H71" s="29" t="str">
        <f t="shared" ca="1" si="16"/>
        <v/>
      </c>
      <c r="I71" s="31" t="str">
        <f ca="1">IF(C71&lt;&gt;"",IF(D71+$I$9-E71-F71&gt;=0,IF(ISERROR(INDEX($C$3:$C$6,MATCH(C71,$C$3:$C$6,0)+1,0)),Variables!$B$1,INDEX($C$3:$C$6,MATCH(C71,$C$3:$C$6,0)+1,0)),""),"")</f>
        <v/>
      </c>
      <c r="J71" s="29" t="str">
        <f ca="1">IF(ISERROR(VLOOKUP(I71,$C$3:$L$6,5,0)),"",IF(OR(VLOOKUP(I71,$C$3:$L$6,5,0)=Variables!$B$5,B71&gt;VLOOKUP(I71,$C$3:$L$6,8,0)),IF(VLOOKUP(I71,$C$3:$L$6,5,0)=Variables!$B$5,((YEAR(B71)-YEAR($B$12))*12+MONTH(B71)-MONTH($B$12)),((YEAR(B71)-YEAR(VLOOKUP(I71,$C$3:$L$6,8,0)))*12+MONTH(B71)-MONTH(VLOOKUP(I71,$C$3:$L$6,8,0))))*(VLOOKUP(I71,$C$3:$L$6,10,0)*VLOOKUP(I71,$C$3:$L$6,6,0)/12),0))</f>
        <v/>
      </c>
      <c r="K71" s="29" t="str">
        <f ca="1">IF(C71&lt;&gt;"",IF(I71&lt;&gt;"",IF(ISERROR(VLOOKUP(I71,$C$3:$L$6,10,0)),"",VLOOKUP(I71,$C$3:$L$6,10,0)+J71+IF(OR(VLOOKUP(I71,$C$3:$L$6,5,0)=Variables!$B$5,B71&gt;VLOOKUP(I71,$C$3:$L$6,8,0)),IF(VLOOKUP(I71,$C$3:$L$6,5,0)=Variables!$B$5,((YEAR(B71)-YEAR($B$12))*12+MONTH(B71)-MONTH($B$12)),((YEAR(B71)-YEAR(VLOOKUP(I71,$C$3:$L$6,8,0)))*12+MONTH(B71)-MONTH(VLOOKUP(I71,$C$3:$L$6,8,0))))*VLOOKUP(I71,$C$3:$L$6,7,0),0)),""),"")</f>
        <v/>
      </c>
      <c r="L71" s="29" t="str">
        <f t="shared" ca="1" si="14"/>
        <v/>
      </c>
      <c r="M71" s="10"/>
      <c r="N71" s="10"/>
    </row>
    <row r="72" spans="1:14" x14ac:dyDescent="0.25">
      <c r="A72" s="10"/>
      <c r="B72" s="14" t="str">
        <f t="shared" ca="1" si="15"/>
        <v/>
      </c>
      <c r="C72" s="14" t="str">
        <f ca="1">IF(I71&lt;&gt;Variables!$B$1,IF(H71&lt;&gt;0,C71,I71),"")</f>
        <v/>
      </c>
      <c r="D72" s="29" t="str">
        <f t="shared" ca="1" si="12"/>
        <v/>
      </c>
      <c r="E72" s="29" t="str">
        <f t="shared" ca="1" si="13"/>
        <v/>
      </c>
      <c r="F72" s="29" t="str">
        <f ca="1">IF(C72&lt;&gt;"",IF(OR(VLOOKUP(C72,$C$3:$L$6,5,0)=Variables!$B$5,B72&gt;VLOOKUP(C72,$C$3:$L$6,8,0)),-D72*VLOOKUP(C72,$C$3:$L$6,6,0)/12,0),"")</f>
        <v/>
      </c>
      <c r="G72" s="29" t="str">
        <f ca="1">IF(I72&lt;&gt;Variables!$B$1,IF(C72&lt;&gt;"",$I$9-E72-F72,""),-D72)</f>
        <v/>
      </c>
      <c r="H72" s="29" t="str">
        <f t="shared" ca="1" si="16"/>
        <v/>
      </c>
      <c r="I72" s="31" t="str">
        <f ca="1">IF(C72&lt;&gt;"",IF(D72+$I$9-E72-F72&gt;=0,IF(ISERROR(INDEX($C$3:$C$6,MATCH(C72,$C$3:$C$6,0)+1,0)),Variables!$B$1,INDEX($C$3:$C$6,MATCH(C72,$C$3:$C$6,0)+1,0)),""),"")</f>
        <v/>
      </c>
      <c r="J72" s="29" t="str">
        <f ca="1">IF(ISERROR(VLOOKUP(I72,$C$3:$L$6,5,0)),"",IF(OR(VLOOKUP(I72,$C$3:$L$6,5,0)=Variables!$B$5,B72&gt;VLOOKUP(I72,$C$3:$L$6,8,0)),IF(VLOOKUP(I72,$C$3:$L$6,5,0)=Variables!$B$5,((YEAR(B72)-YEAR($B$12))*12+MONTH(B72)-MONTH($B$12)),((YEAR(B72)-YEAR(VLOOKUP(I72,$C$3:$L$6,8,0)))*12+MONTH(B72)-MONTH(VLOOKUP(I72,$C$3:$L$6,8,0))))*(VLOOKUP(I72,$C$3:$L$6,10,0)*VLOOKUP(I72,$C$3:$L$6,6,0)/12),0))</f>
        <v/>
      </c>
      <c r="K72" s="29" t="str">
        <f ca="1">IF(C72&lt;&gt;"",IF(I72&lt;&gt;"",IF(ISERROR(VLOOKUP(I72,$C$3:$L$6,10,0)),"",VLOOKUP(I72,$C$3:$L$6,10,0)+J72+IF(OR(VLOOKUP(I72,$C$3:$L$6,5,0)=Variables!$B$5,B72&gt;VLOOKUP(I72,$C$3:$L$6,8,0)),IF(VLOOKUP(I72,$C$3:$L$6,5,0)=Variables!$B$5,((YEAR(B72)-YEAR($B$12))*12+MONTH(B72)-MONTH($B$12)),((YEAR(B72)-YEAR(VLOOKUP(I72,$C$3:$L$6,8,0)))*12+MONTH(B72)-MONTH(VLOOKUP(I72,$C$3:$L$6,8,0))))*VLOOKUP(I72,$C$3:$L$6,7,0),0)),""),"")</f>
        <v/>
      </c>
      <c r="L72" s="29" t="str">
        <f t="shared" ca="1" si="14"/>
        <v/>
      </c>
      <c r="M72" s="10"/>
      <c r="N72" s="10"/>
    </row>
    <row r="73" spans="1:14" x14ac:dyDescent="0.25">
      <c r="A73" s="10"/>
      <c r="B73" s="14" t="str">
        <f t="shared" ca="1" si="15"/>
        <v/>
      </c>
      <c r="C73" s="14" t="str">
        <f ca="1">IF(I72&lt;&gt;Variables!$B$1,IF(H72&lt;&gt;0,C72,I72),"")</f>
        <v/>
      </c>
      <c r="D73" s="29" t="str">
        <f t="shared" ca="1" si="12"/>
        <v/>
      </c>
      <c r="E73" s="29" t="str">
        <f t="shared" ca="1" si="13"/>
        <v/>
      </c>
      <c r="F73" s="29" t="str">
        <f ca="1">IF(C73&lt;&gt;"",IF(OR(VLOOKUP(C73,$C$3:$L$6,5,0)=Variables!$B$5,B73&gt;VLOOKUP(C73,$C$3:$L$6,8,0)),-D73*VLOOKUP(C73,$C$3:$L$6,6,0)/12,0),"")</f>
        <v/>
      </c>
      <c r="G73" s="29" t="str">
        <f ca="1">IF(I73&lt;&gt;Variables!$B$1,IF(C73&lt;&gt;"",$I$9-E73-F73,""),-D73)</f>
        <v/>
      </c>
      <c r="H73" s="29" t="str">
        <f t="shared" ca="1" si="16"/>
        <v/>
      </c>
      <c r="I73" s="31" t="str">
        <f ca="1">IF(C73&lt;&gt;"",IF(D73+$I$9-E73-F73&gt;=0,IF(ISERROR(INDEX($C$3:$C$6,MATCH(C73,$C$3:$C$6,0)+1,0)),Variables!$B$1,INDEX($C$3:$C$6,MATCH(C73,$C$3:$C$6,0)+1,0)),""),"")</f>
        <v/>
      </c>
      <c r="J73" s="29" t="str">
        <f ca="1">IF(ISERROR(VLOOKUP(I73,$C$3:$L$6,5,0)),"",IF(OR(VLOOKUP(I73,$C$3:$L$6,5,0)=Variables!$B$5,B73&gt;VLOOKUP(I73,$C$3:$L$6,8,0)),IF(VLOOKUP(I73,$C$3:$L$6,5,0)=Variables!$B$5,((YEAR(B73)-YEAR($B$12))*12+MONTH(B73)-MONTH($B$12)),((YEAR(B73)-YEAR(VLOOKUP(I73,$C$3:$L$6,8,0)))*12+MONTH(B73)-MONTH(VLOOKUP(I73,$C$3:$L$6,8,0))))*(VLOOKUP(I73,$C$3:$L$6,10,0)*VLOOKUP(I73,$C$3:$L$6,6,0)/12),0))</f>
        <v/>
      </c>
      <c r="K73" s="29" t="str">
        <f ca="1">IF(C73&lt;&gt;"",IF(I73&lt;&gt;"",IF(ISERROR(VLOOKUP(I73,$C$3:$L$6,10,0)),"",VLOOKUP(I73,$C$3:$L$6,10,0)+J73+IF(OR(VLOOKUP(I73,$C$3:$L$6,5,0)=Variables!$B$5,B73&gt;VLOOKUP(I73,$C$3:$L$6,8,0)),IF(VLOOKUP(I73,$C$3:$L$6,5,0)=Variables!$B$5,((YEAR(B73)-YEAR($B$12))*12+MONTH(B73)-MONTH($B$12)),((YEAR(B73)-YEAR(VLOOKUP(I73,$C$3:$L$6,8,0)))*12+MONTH(B73)-MONTH(VLOOKUP(I73,$C$3:$L$6,8,0))))*VLOOKUP(I73,$C$3:$L$6,7,0),0)),""),"")</f>
        <v/>
      </c>
      <c r="L73" s="29" t="str">
        <f t="shared" ca="1" si="14"/>
        <v/>
      </c>
      <c r="M73" s="10"/>
      <c r="N73" s="10"/>
    </row>
    <row r="74" spans="1:14" x14ac:dyDescent="0.25">
      <c r="A74" s="10"/>
      <c r="B74" s="14" t="str">
        <f t="shared" ca="1" si="15"/>
        <v/>
      </c>
      <c r="C74" s="14" t="str">
        <f ca="1">IF(I73&lt;&gt;Variables!$B$1,IF(H73&lt;&gt;0,C73,I73),"")</f>
        <v/>
      </c>
      <c r="D74" s="29" t="str">
        <f t="shared" ca="1" si="12"/>
        <v/>
      </c>
      <c r="E74" s="29" t="str">
        <f t="shared" ca="1" si="13"/>
        <v/>
      </c>
      <c r="F74" s="29" t="str">
        <f ca="1">IF(C74&lt;&gt;"",IF(OR(VLOOKUP(C74,$C$3:$L$6,5,0)=Variables!$B$5,B74&gt;VLOOKUP(C74,$C$3:$L$6,8,0)),-D74*VLOOKUP(C74,$C$3:$L$6,6,0)/12,0),"")</f>
        <v/>
      </c>
      <c r="G74" s="29" t="str">
        <f ca="1">IF(I74&lt;&gt;Variables!$B$1,IF(C74&lt;&gt;"",$I$9-E74-F74,""),-D74)</f>
        <v/>
      </c>
      <c r="H74" s="29" t="str">
        <f t="shared" ca="1" si="16"/>
        <v/>
      </c>
      <c r="I74" s="31" t="str">
        <f ca="1">IF(C74&lt;&gt;"",IF(D74+$I$9-E74-F74&gt;=0,IF(ISERROR(INDEX($C$3:$C$6,MATCH(C74,$C$3:$C$6,0)+1,0)),Variables!$B$1,INDEX($C$3:$C$6,MATCH(C74,$C$3:$C$6,0)+1,0)),""),"")</f>
        <v/>
      </c>
      <c r="J74" s="29" t="str">
        <f ca="1">IF(ISERROR(VLOOKUP(I74,$C$3:$L$6,5,0)),"",IF(OR(VLOOKUP(I74,$C$3:$L$6,5,0)=Variables!$B$5,B74&gt;VLOOKUP(I74,$C$3:$L$6,8,0)),IF(VLOOKUP(I74,$C$3:$L$6,5,0)=Variables!$B$5,((YEAR(B74)-YEAR($B$12))*12+MONTH(B74)-MONTH($B$12)),((YEAR(B74)-YEAR(VLOOKUP(I74,$C$3:$L$6,8,0)))*12+MONTH(B74)-MONTH(VLOOKUP(I74,$C$3:$L$6,8,0))))*(VLOOKUP(I74,$C$3:$L$6,10,0)*VLOOKUP(I74,$C$3:$L$6,6,0)/12),0))</f>
        <v/>
      </c>
      <c r="K74" s="29" t="str">
        <f ca="1">IF(C74&lt;&gt;"",IF(I74&lt;&gt;"",IF(ISERROR(VLOOKUP(I74,$C$3:$L$6,10,0)),"",VLOOKUP(I74,$C$3:$L$6,10,0)+J74+IF(OR(VLOOKUP(I74,$C$3:$L$6,5,0)=Variables!$B$5,B74&gt;VLOOKUP(I74,$C$3:$L$6,8,0)),IF(VLOOKUP(I74,$C$3:$L$6,5,0)=Variables!$B$5,((YEAR(B74)-YEAR($B$12))*12+MONTH(B74)-MONTH($B$12)),((YEAR(B74)-YEAR(VLOOKUP(I74,$C$3:$L$6,8,0)))*12+MONTH(B74)-MONTH(VLOOKUP(I74,$C$3:$L$6,8,0))))*VLOOKUP(I74,$C$3:$L$6,7,0),0)),""),"")</f>
        <v/>
      </c>
      <c r="L74" s="29" t="str">
        <f t="shared" ca="1" si="14"/>
        <v/>
      </c>
      <c r="M74" s="10"/>
      <c r="N74" s="10"/>
    </row>
    <row r="75" spans="1:14" x14ac:dyDescent="0.25">
      <c r="A75" s="10"/>
      <c r="B75" s="14" t="str">
        <f t="shared" ca="1" si="15"/>
        <v/>
      </c>
      <c r="C75" s="14" t="str">
        <f ca="1">IF(I74&lt;&gt;Variables!$B$1,IF(H74&lt;&gt;0,C74,I74),"")</f>
        <v/>
      </c>
      <c r="D75" s="29" t="str">
        <f t="shared" ca="1" si="12"/>
        <v/>
      </c>
      <c r="E75" s="29" t="str">
        <f t="shared" ca="1" si="13"/>
        <v/>
      </c>
      <c r="F75" s="29" t="str">
        <f ca="1">IF(C75&lt;&gt;"",IF(OR(VLOOKUP(C75,$C$3:$L$6,5,0)=Variables!$B$5,B75&gt;VLOOKUP(C75,$C$3:$L$6,8,0)),-D75*VLOOKUP(C75,$C$3:$L$6,6,0)/12,0),"")</f>
        <v/>
      </c>
      <c r="G75" s="29" t="str">
        <f ca="1">IF(I75&lt;&gt;Variables!$B$1,IF(C75&lt;&gt;"",$I$9-E75-F75,""),-D75)</f>
        <v/>
      </c>
      <c r="H75" s="29" t="str">
        <f t="shared" ca="1" si="16"/>
        <v/>
      </c>
      <c r="I75" s="31" t="str">
        <f ca="1">IF(C75&lt;&gt;"",IF(D75+$I$9-E75-F75&gt;=0,IF(ISERROR(INDEX($C$3:$C$6,MATCH(C75,$C$3:$C$6,0)+1,0)),Variables!$B$1,INDEX($C$3:$C$6,MATCH(C75,$C$3:$C$6,0)+1,0)),""),"")</f>
        <v/>
      </c>
      <c r="J75" s="29" t="str">
        <f ca="1">IF(ISERROR(VLOOKUP(I75,$C$3:$L$6,5,0)),"",IF(OR(VLOOKUP(I75,$C$3:$L$6,5,0)=Variables!$B$5,B75&gt;VLOOKUP(I75,$C$3:$L$6,8,0)),IF(VLOOKUP(I75,$C$3:$L$6,5,0)=Variables!$B$5,((YEAR(B75)-YEAR($B$12))*12+MONTH(B75)-MONTH($B$12)),((YEAR(B75)-YEAR(VLOOKUP(I75,$C$3:$L$6,8,0)))*12+MONTH(B75)-MONTH(VLOOKUP(I75,$C$3:$L$6,8,0))))*(VLOOKUP(I75,$C$3:$L$6,10,0)*VLOOKUP(I75,$C$3:$L$6,6,0)/12),0))</f>
        <v/>
      </c>
      <c r="K75" s="29" t="str">
        <f ca="1">IF(C75&lt;&gt;"",IF(I75&lt;&gt;"",IF(ISERROR(VLOOKUP(I75,$C$3:$L$6,10,0)),"",VLOOKUP(I75,$C$3:$L$6,10,0)+J75+IF(OR(VLOOKUP(I75,$C$3:$L$6,5,0)=Variables!$B$5,B75&gt;VLOOKUP(I75,$C$3:$L$6,8,0)),IF(VLOOKUP(I75,$C$3:$L$6,5,0)=Variables!$B$5,((YEAR(B75)-YEAR($B$12))*12+MONTH(B75)-MONTH($B$12)),((YEAR(B75)-YEAR(VLOOKUP(I75,$C$3:$L$6,8,0)))*12+MONTH(B75)-MONTH(VLOOKUP(I75,$C$3:$L$6,8,0))))*VLOOKUP(I75,$C$3:$L$6,7,0),0)),""),"")</f>
        <v/>
      </c>
      <c r="L75" s="29" t="str">
        <f t="shared" ca="1" si="14"/>
        <v/>
      </c>
      <c r="M75" s="10"/>
      <c r="N75" s="10"/>
    </row>
    <row r="76" spans="1:14" x14ac:dyDescent="0.25">
      <c r="A76" s="10"/>
      <c r="B76" s="14" t="str">
        <f t="shared" ca="1" si="15"/>
        <v/>
      </c>
      <c r="C76" s="14" t="str">
        <f ca="1">IF(I75&lt;&gt;Variables!$B$1,IF(H75&lt;&gt;0,C75,I75),"")</f>
        <v/>
      </c>
      <c r="D76" s="29" t="str">
        <f t="shared" ca="1" si="12"/>
        <v/>
      </c>
      <c r="E76" s="29" t="str">
        <f t="shared" ca="1" si="13"/>
        <v/>
      </c>
      <c r="F76" s="29" t="str">
        <f ca="1">IF(C76&lt;&gt;"",IF(OR(VLOOKUP(C76,$C$3:$L$6,5,0)=Variables!$B$5,B76&gt;VLOOKUP(C76,$C$3:$L$6,8,0)),-D76*VLOOKUP(C76,$C$3:$L$6,6,0)/12,0),"")</f>
        <v/>
      </c>
      <c r="G76" s="29" t="str">
        <f ca="1">IF(I76&lt;&gt;Variables!$B$1,IF(C76&lt;&gt;"",$I$9-E76-F76,""),-D76)</f>
        <v/>
      </c>
      <c r="H76" s="29" t="str">
        <f t="shared" ca="1" si="16"/>
        <v/>
      </c>
      <c r="I76" s="31" t="str">
        <f ca="1">IF(C76&lt;&gt;"",IF(D76+$I$9-E76-F76&gt;=0,IF(ISERROR(INDEX($C$3:$C$6,MATCH(C76,$C$3:$C$6,0)+1,0)),Variables!$B$1,INDEX($C$3:$C$6,MATCH(C76,$C$3:$C$6,0)+1,0)),""),"")</f>
        <v/>
      </c>
      <c r="J76" s="29" t="str">
        <f ca="1">IF(ISERROR(VLOOKUP(I76,$C$3:$L$6,5,0)),"",IF(OR(VLOOKUP(I76,$C$3:$L$6,5,0)=Variables!$B$5,B76&gt;VLOOKUP(I76,$C$3:$L$6,8,0)),IF(VLOOKUP(I76,$C$3:$L$6,5,0)=Variables!$B$5,((YEAR(B76)-YEAR($B$12))*12+MONTH(B76)-MONTH($B$12)),((YEAR(B76)-YEAR(VLOOKUP(I76,$C$3:$L$6,8,0)))*12+MONTH(B76)-MONTH(VLOOKUP(I76,$C$3:$L$6,8,0))))*(VLOOKUP(I76,$C$3:$L$6,10,0)*VLOOKUP(I76,$C$3:$L$6,6,0)/12),0))</f>
        <v/>
      </c>
      <c r="K76" s="29" t="str">
        <f ca="1">IF(C76&lt;&gt;"",IF(I76&lt;&gt;"",IF(ISERROR(VLOOKUP(I76,$C$3:$L$6,10,0)),"",VLOOKUP(I76,$C$3:$L$6,10,0)+J76+IF(OR(VLOOKUP(I76,$C$3:$L$6,5,0)=Variables!$B$5,B76&gt;VLOOKUP(I76,$C$3:$L$6,8,0)),IF(VLOOKUP(I76,$C$3:$L$6,5,0)=Variables!$B$5,((YEAR(B76)-YEAR($B$12))*12+MONTH(B76)-MONTH($B$12)),((YEAR(B76)-YEAR(VLOOKUP(I76,$C$3:$L$6,8,0)))*12+MONTH(B76)-MONTH(VLOOKUP(I76,$C$3:$L$6,8,0))))*VLOOKUP(I76,$C$3:$L$6,7,0),0)),""),"")</f>
        <v/>
      </c>
      <c r="L76" s="29" t="str">
        <f t="shared" ca="1" si="14"/>
        <v/>
      </c>
      <c r="M76" s="10"/>
      <c r="N76" s="10"/>
    </row>
    <row r="77" spans="1:14" x14ac:dyDescent="0.25">
      <c r="A77" s="10"/>
      <c r="B77" s="14" t="str">
        <f t="shared" ca="1" si="15"/>
        <v/>
      </c>
      <c r="C77" s="14" t="str">
        <f ca="1">IF(I76&lt;&gt;Variables!$B$1,IF(H76&lt;&gt;0,C76,I76),"")</f>
        <v/>
      </c>
      <c r="D77" s="29" t="str">
        <f t="shared" ca="1" si="12"/>
        <v/>
      </c>
      <c r="E77" s="29" t="str">
        <f t="shared" ca="1" si="13"/>
        <v/>
      </c>
      <c r="F77" s="29" t="str">
        <f ca="1">IF(C77&lt;&gt;"",IF(OR(VLOOKUP(C77,$C$3:$L$6,5,0)=Variables!$B$5,B77&gt;VLOOKUP(C77,$C$3:$L$6,8,0)),-D77*VLOOKUP(C77,$C$3:$L$6,6,0)/12,0),"")</f>
        <v/>
      </c>
      <c r="G77" s="29" t="str">
        <f ca="1">IF(I77&lt;&gt;Variables!$B$1,IF(C77&lt;&gt;"",$I$9-E77-F77,""),-D77)</f>
        <v/>
      </c>
      <c r="H77" s="29" t="str">
        <f t="shared" ca="1" si="16"/>
        <v/>
      </c>
      <c r="I77" s="31" t="str">
        <f ca="1">IF(C77&lt;&gt;"",IF(D77+$I$9-E77-F77&gt;=0,IF(ISERROR(INDEX($C$3:$C$6,MATCH(C77,$C$3:$C$6,0)+1,0)),Variables!$B$1,INDEX($C$3:$C$6,MATCH(C77,$C$3:$C$6,0)+1,0)),""),"")</f>
        <v/>
      </c>
      <c r="J77" s="29" t="str">
        <f ca="1">IF(ISERROR(VLOOKUP(I77,$C$3:$L$6,5,0)),"",IF(OR(VLOOKUP(I77,$C$3:$L$6,5,0)=Variables!$B$5,B77&gt;VLOOKUP(I77,$C$3:$L$6,8,0)),IF(VLOOKUP(I77,$C$3:$L$6,5,0)=Variables!$B$5,((YEAR(B77)-YEAR($B$12))*12+MONTH(B77)-MONTH($B$12)),((YEAR(B77)-YEAR(VLOOKUP(I77,$C$3:$L$6,8,0)))*12+MONTH(B77)-MONTH(VLOOKUP(I77,$C$3:$L$6,8,0))))*(VLOOKUP(I77,$C$3:$L$6,10,0)*VLOOKUP(I77,$C$3:$L$6,6,0)/12),0))</f>
        <v/>
      </c>
      <c r="K77" s="29" t="str">
        <f ca="1">IF(C77&lt;&gt;"",IF(I77&lt;&gt;"",IF(ISERROR(VLOOKUP(I77,$C$3:$L$6,10,0)),"",VLOOKUP(I77,$C$3:$L$6,10,0)+J77+IF(OR(VLOOKUP(I77,$C$3:$L$6,5,0)=Variables!$B$5,B77&gt;VLOOKUP(I77,$C$3:$L$6,8,0)),IF(VLOOKUP(I77,$C$3:$L$6,5,0)=Variables!$B$5,((YEAR(B77)-YEAR($B$12))*12+MONTH(B77)-MONTH($B$12)),((YEAR(B77)-YEAR(VLOOKUP(I77,$C$3:$L$6,8,0)))*12+MONTH(B77)-MONTH(VLOOKUP(I77,$C$3:$L$6,8,0))))*VLOOKUP(I77,$C$3:$L$6,7,0),0)),""),"")</f>
        <v/>
      </c>
      <c r="L77" s="29" t="str">
        <f t="shared" ca="1" si="14"/>
        <v/>
      </c>
      <c r="M77" s="10"/>
      <c r="N77" s="10"/>
    </row>
    <row r="78" spans="1:14" x14ac:dyDescent="0.25">
      <c r="A78" s="10"/>
      <c r="B78" s="14" t="str">
        <f t="shared" ca="1" si="15"/>
        <v/>
      </c>
      <c r="C78" s="14" t="str">
        <f ca="1">IF(I77&lt;&gt;Variables!$B$1,IF(H77&lt;&gt;0,C77,I77),"")</f>
        <v/>
      </c>
      <c r="D78" s="29" t="str">
        <f t="shared" ca="1" si="12"/>
        <v/>
      </c>
      <c r="E78" s="29" t="str">
        <f t="shared" ca="1" si="13"/>
        <v/>
      </c>
      <c r="F78" s="29" t="str">
        <f ca="1">IF(C78&lt;&gt;"",IF(OR(VLOOKUP(C78,$C$3:$L$6,5,0)=Variables!$B$5,B78&gt;VLOOKUP(C78,$C$3:$L$6,8,0)),-D78*VLOOKUP(C78,$C$3:$L$6,6,0)/12,0),"")</f>
        <v/>
      </c>
      <c r="G78" s="29" t="str">
        <f ca="1">IF(I78&lt;&gt;Variables!$B$1,IF(C78&lt;&gt;"",$I$9-E78-F78,""),-D78)</f>
        <v/>
      </c>
      <c r="H78" s="29" t="str">
        <f t="shared" ca="1" si="16"/>
        <v/>
      </c>
      <c r="I78" s="31" t="str">
        <f ca="1">IF(C78&lt;&gt;"",IF(D78+$I$9-E78-F78&gt;=0,IF(ISERROR(INDEX($C$3:$C$6,MATCH(C78,$C$3:$C$6,0)+1,0)),Variables!$B$1,INDEX($C$3:$C$6,MATCH(C78,$C$3:$C$6,0)+1,0)),""),"")</f>
        <v/>
      </c>
      <c r="J78" s="29" t="str">
        <f ca="1">IF(ISERROR(VLOOKUP(I78,$C$3:$L$6,5,0)),"",IF(OR(VLOOKUP(I78,$C$3:$L$6,5,0)=Variables!$B$5,B78&gt;VLOOKUP(I78,$C$3:$L$6,8,0)),IF(VLOOKUP(I78,$C$3:$L$6,5,0)=Variables!$B$5,((YEAR(B78)-YEAR($B$12))*12+MONTH(B78)-MONTH($B$12)),((YEAR(B78)-YEAR(VLOOKUP(I78,$C$3:$L$6,8,0)))*12+MONTH(B78)-MONTH(VLOOKUP(I78,$C$3:$L$6,8,0))))*(VLOOKUP(I78,$C$3:$L$6,10,0)*VLOOKUP(I78,$C$3:$L$6,6,0)/12),0))</f>
        <v/>
      </c>
      <c r="K78" s="29" t="str">
        <f ca="1">IF(C78&lt;&gt;"",IF(I78&lt;&gt;"",IF(ISERROR(VLOOKUP(I78,$C$3:$L$6,10,0)),"",VLOOKUP(I78,$C$3:$L$6,10,0)+J78+IF(OR(VLOOKUP(I78,$C$3:$L$6,5,0)=Variables!$B$5,B78&gt;VLOOKUP(I78,$C$3:$L$6,8,0)),IF(VLOOKUP(I78,$C$3:$L$6,5,0)=Variables!$B$5,((YEAR(B78)-YEAR($B$12))*12+MONTH(B78)-MONTH($B$12)),((YEAR(B78)-YEAR(VLOOKUP(I78,$C$3:$L$6,8,0)))*12+MONTH(B78)-MONTH(VLOOKUP(I78,$C$3:$L$6,8,0))))*VLOOKUP(I78,$C$3:$L$6,7,0),0)),""),"")</f>
        <v/>
      </c>
      <c r="L78" s="29" t="str">
        <f t="shared" ca="1" si="14"/>
        <v/>
      </c>
      <c r="M78" s="10"/>
      <c r="N78" s="10"/>
    </row>
    <row r="79" spans="1:14" x14ac:dyDescent="0.25">
      <c r="A79" s="10"/>
      <c r="B79" s="14" t="str">
        <f t="shared" ca="1" si="15"/>
        <v/>
      </c>
      <c r="C79" s="14" t="str">
        <f ca="1">IF(I78&lt;&gt;Variables!$B$1,IF(H78&lt;&gt;0,C78,I78),"")</f>
        <v/>
      </c>
      <c r="D79" s="29" t="str">
        <f t="shared" ca="1" si="12"/>
        <v/>
      </c>
      <c r="E79" s="29" t="str">
        <f t="shared" ca="1" si="13"/>
        <v/>
      </c>
      <c r="F79" s="29" t="str">
        <f ca="1">IF(C79&lt;&gt;"",IF(OR(VLOOKUP(C79,$C$3:$L$6,5,0)=Variables!$B$5,B79&gt;VLOOKUP(C79,$C$3:$L$6,8,0)),-D79*VLOOKUP(C79,$C$3:$L$6,6,0)/12,0),"")</f>
        <v/>
      </c>
      <c r="G79" s="29" t="str">
        <f ca="1">IF(I79&lt;&gt;Variables!$B$1,IF(C79&lt;&gt;"",$I$9-E79-F79,""),-D79)</f>
        <v/>
      </c>
      <c r="H79" s="29" t="str">
        <f t="shared" ca="1" si="16"/>
        <v/>
      </c>
      <c r="I79" s="31" t="str">
        <f ca="1">IF(C79&lt;&gt;"",IF(D79+$I$9-E79-F79&gt;=0,IF(ISERROR(INDEX($C$3:$C$6,MATCH(C79,$C$3:$C$6,0)+1,0)),Variables!$B$1,INDEX($C$3:$C$6,MATCH(C79,$C$3:$C$6,0)+1,0)),""),"")</f>
        <v/>
      </c>
      <c r="J79" s="29" t="str">
        <f ca="1">IF(ISERROR(VLOOKUP(I79,$C$3:$L$6,5,0)),"",IF(OR(VLOOKUP(I79,$C$3:$L$6,5,0)=Variables!$B$5,B79&gt;VLOOKUP(I79,$C$3:$L$6,8,0)),IF(VLOOKUP(I79,$C$3:$L$6,5,0)=Variables!$B$5,((YEAR(B79)-YEAR($B$12))*12+MONTH(B79)-MONTH($B$12)),((YEAR(B79)-YEAR(VLOOKUP(I79,$C$3:$L$6,8,0)))*12+MONTH(B79)-MONTH(VLOOKUP(I79,$C$3:$L$6,8,0))))*(VLOOKUP(I79,$C$3:$L$6,10,0)*VLOOKUP(I79,$C$3:$L$6,6,0)/12),0))</f>
        <v/>
      </c>
      <c r="K79" s="29" t="str">
        <f ca="1">IF(C79&lt;&gt;"",IF(I79&lt;&gt;"",IF(ISERROR(VLOOKUP(I79,$C$3:$L$6,10,0)),"",VLOOKUP(I79,$C$3:$L$6,10,0)+J79+IF(OR(VLOOKUP(I79,$C$3:$L$6,5,0)=Variables!$B$5,B79&gt;VLOOKUP(I79,$C$3:$L$6,8,0)),IF(VLOOKUP(I79,$C$3:$L$6,5,0)=Variables!$B$5,((YEAR(B79)-YEAR($B$12))*12+MONTH(B79)-MONTH($B$12)),((YEAR(B79)-YEAR(VLOOKUP(I79,$C$3:$L$6,8,0)))*12+MONTH(B79)-MONTH(VLOOKUP(I79,$C$3:$L$6,8,0))))*VLOOKUP(I79,$C$3:$L$6,7,0),0)),""),"")</f>
        <v/>
      </c>
      <c r="L79" s="29" t="str">
        <f t="shared" ca="1" si="14"/>
        <v/>
      </c>
      <c r="M79" s="10"/>
      <c r="N79" s="10"/>
    </row>
    <row r="80" spans="1:14" x14ac:dyDescent="0.25">
      <c r="A80" s="10"/>
      <c r="B80" s="14" t="str">
        <f t="shared" ca="1" si="15"/>
        <v/>
      </c>
      <c r="C80" s="14" t="str">
        <f ca="1">IF(I79&lt;&gt;Variables!$B$1,IF(H79&lt;&gt;0,C79,I79),"")</f>
        <v/>
      </c>
      <c r="D80" s="29" t="str">
        <f t="shared" ca="1" si="12"/>
        <v/>
      </c>
      <c r="E80" s="29" t="str">
        <f t="shared" ca="1" si="13"/>
        <v/>
      </c>
      <c r="F80" s="29" t="str">
        <f ca="1">IF(C80&lt;&gt;"",IF(OR(VLOOKUP(C80,$C$3:$L$6,5,0)=Variables!$B$5,B80&gt;VLOOKUP(C80,$C$3:$L$6,8,0)),-D80*VLOOKUP(C80,$C$3:$L$6,6,0)/12,0),"")</f>
        <v/>
      </c>
      <c r="G80" s="29" t="str">
        <f ca="1">IF(I80&lt;&gt;Variables!$B$1,IF(C80&lt;&gt;"",$I$9-E80-F80,""),-D80)</f>
        <v/>
      </c>
      <c r="H80" s="29" t="str">
        <f t="shared" ca="1" si="16"/>
        <v/>
      </c>
      <c r="I80" s="31" t="str">
        <f ca="1">IF(C80&lt;&gt;"",IF(D80+$I$9-E80-F80&gt;=0,IF(ISERROR(INDEX($C$3:$C$6,MATCH(C80,$C$3:$C$6,0)+1,0)),Variables!$B$1,INDEX($C$3:$C$6,MATCH(C80,$C$3:$C$6,0)+1,0)),""),"")</f>
        <v/>
      </c>
      <c r="J80" s="29" t="str">
        <f ca="1">IF(ISERROR(VLOOKUP(I80,$C$3:$L$6,5,0)),"",IF(OR(VLOOKUP(I80,$C$3:$L$6,5,0)=Variables!$B$5,B80&gt;VLOOKUP(I80,$C$3:$L$6,8,0)),IF(VLOOKUP(I80,$C$3:$L$6,5,0)=Variables!$B$5,((YEAR(B80)-YEAR($B$12))*12+MONTH(B80)-MONTH($B$12)),((YEAR(B80)-YEAR(VLOOKUP(I80,$C$3:$L$6,8,0)))*12+MONTH(B80)-MONTH(VLOOKUP(I80,$C$3:$L$6,8,0))))*(VLOOKUP(I80,$C$3:$L$6,10,0)*VLOOKUP(I80,$C$3:$L$6,6,0)/12),0))</f>
        <v/>
      </c>
      <c r="K80" s="29" t="str">
        <f ca="1">IF(C80&lt;&gt;"",IF(I80&lt;&gt;"",IF(ISERROR(VLOOKUP(I80,$C$3:$L$6,10,0)),"",VLOOKUP(I80,$C$3:$L$6,10,0)+J80+IF(OR(VLOOKUP(I80,$C$3:$L$6,5,0)=Variables!$B$5,B80&gt;VLOOKUP(I80,$C$3:$L$6,8,0)),IF(VLOOKUP(I80,$C$3:$L$6,5,0)=Variables!$B$5,((YEAR(B80)-YEAR($B$12))*12+MONTH(B80)-MONTH($B$12)),((YEAR(B80)-YEAR(VLOOKUP(I80,$C$3:$L$6,8,0)))*12+MONTH(B80)-MONTH(VLOOKUP(I80,$C$3:$L$6,8,0))))*VLOOKUP(I80,$C$3:$L$6,7,0),0)),""),"")</f>
        <v/>
      </c>
      <c r="L80" s="29" t="str">
        <f t="shared" ca="1" si="14"/>
        <v/>
      </c>
      <c r="M80" s="10"/>
      <c r="N80" s="10"/>
    </row>
    <row r="81" spans="1:14" x14ac:dyDescent="0.25">
      <c r="A81" s="10"/>
      <c r="B81" s="14" t="str">
        <f t="shared" ca="1" si="15"/>
        <v/>
      </c>
      <c r="C81" s="14" t="str">
        <f ca="1">IF(I80&lt;&gt;Variables!$B$1,IF(H80&lt;&gt;0,C80,I80),"")</f>
        <v/>
      </c>
      <c r="D81" s="29" t="str">
        <f t="shared" ca="1" si="12"/>
        <v/>
      </c>
      <c r="E81" s="29" t="str">
        <f t="shared" ca="1" si="13"/>
        <v/>
      </c>
      <c r="F81" s="29" t="str">
        <f ca="1">IF(C81&lt;&gt;"",IF(OR(VLOOKUP(C81,$C$3:$L$6,5,0)=Variables!$B$5,B81&gt;VLOOKUP(C81,$C$3:$L$6,8,0)),-D81*VLOOKUP(C81,$C$3:$L$6,6,0)/12,0),"")</f>
        <v/>
      </c>
      <c r="G81" s="29" t="str">
        <f ca="1">IF(I81&lt;&gt;Variables!$B$1,IF(C81&lt;&gt;"",$I$9-E81-F81,""),-D81)</f>
        <v/>
      </c>
      <c r="H81" s="29" t="str">
        <f t="shared" ca="1" si="16"/>
        <v/>
      </c>
      <c r="I81" s="31" t="str">
        <f ca="1">IF(C81&lt;&gt;"",IF(D81+$I$9-E81-F81&gt;=0,IF(ISERROR(INDEX($C$3:$C$6,MATCH(C81,$C$3:$C$6,0)+1,0)),Variables!$B$1,INDEX($C$3:$C$6,MATCH(C81,$C$3:$C$6,0)+1,0)),""),"")</f>
        <v/>
      </c>
      <c r="J81" s="29" t="str">
        <f ca="1">IF(ISERROR(VLOOKUP(I81,$C$3:$L$6,5,0)),"",IF(OR(VLOOKUP(I81,$C$3:$L$6,5,0)=Variables!$B$5,B81&gt;VLOOKUP(I81,$C$3:$L$6,8,0)),IF(VLOOKUP(I81,$C$3:$L$6,5,0)=Variables!$B$5,((YEAR(B81)-YEAR($B$12))*12+MONTH(B81)-MONTH($B$12)),((YEAR(B81)-YEAR(VLOOKUP(I81,$C$3:$L$6,8,0)))*12+MONTH(B81)-MONTH(VLOOKUP(I81,$C$3:$L$6,8,0))))*(VLOOKUP(I81,$C$3:$L$6,10,0)*VLOOKUP(I81,$C$3:$L$6,6,0)/12),0))</f>
        <v/>
      </c>
      <c r="K81" s="29" t="str">
        <f ca="1">IF(C81&lt;&gt;"",IF(I81&lt;&gt;"",IF(ISERROR(VLOOKUP(I81,$C$3:$L$6,10,0)),"",VLOOKUP(I81,$C$3:$L$6,10,0)+J81+IF(OR(VLOOKUP(I81,$C$3:$L$6,5,0)=Variables!$B$5,B81&gt;VLOOKUP(I81,$C$3:$L$6,8,0)),IF(VLOOKUP(I81,$C$3:$L$6,5,0)=Variables!$B$5,((YEAR(B81)-YEAR($B$12))*12+MONTH(B81)-MONTH($B$12)),((YEAR(B81)-YEAR(VLOOKUP(I81,$C$3:$L$6,8,0)))*12+MONTH(B81)-MONTH(VLOOKUP(I81,$C$3:$L$6,8,0))))*VLOOKUP(I81,$C$3:$L$6,7,0),0)),""),"")</f>
        <v/>
      </c>
      <c r="L81" s="29" t="str">
        <f t="shared" ca="1" si="14"/>
        <v/>
      </c>
      <c r="M81" s="10"/>
      <c r="N81" s="10"/>
    </row>
    <row r="82" spans="1:14" x14ac:dyDescent="0.25">
      <c r="A82" s="10"/>
      <c r="B82" s="14" t="str">
        <f t="shared" ca="1" si="15"/>
        <v/>
      </c>
      <c r="C82" s="14" t="str">
        <f ca="1">IF(I81&lt;&gt;Variables!$B$1,IF(H81&lt;&gt;0,C81,I81),"")</f>
        <v/>
      </c>
      <c r="D82" s="29" t="str">
        <f t="shared" ca="1" si="12"/>
        <v/>
      </c>
      <c r="E82" s="29" t="str">
        <f t="shared" ca="1" si="13"/>
        <v/>
      </c>
      <c r="F82" s="29" t="str">
        <f ca="1">IF(C82&lt;&gt;"",IF(OR(VLOOKUP(C82,$C$3:$L$6,5,0)=Variables!$B$5,B82&gt;VLOOKUP(C82,$C$3:$L$6,8,0)),-D82*VLOOKUP(C82,$C$3:$L$6,6,0)/12,0),"")</f>
        <v/>
      </c>
      <c r="G82" s="29" t="str">
        <f ca="1">IF(I82&lt;&gt;Variables!$B$1,IF(C82&lt;&gt;"",$I$9-E82-F82,""),-D82)</f>
        <v/>
      </c>
      <c r="H82" s="29" t="str">
        <f t="shared" ca="1" si="16"/>
        <v/>
      </c>
      <c r="I82" s="31" t="str">
        <f ca="1">IF(C82&lt;&gt;"",IF(D82+$I$9-E82-F82&gt;=0,IF(ISERROR(INDEX($C$3:$C$6,MATCH(C82,$C$3:$C$6,0)+1,0)),Variables!$B$1,INDEX($C$3:$C$6,MATCH(C82,$C$3:$C$6,0)+1,0)),""),"")</f>
        <v/>
      </c>
      <c r="J82" s="29" t="str">
        <f ca="1">IF(ISERROR(VLOOKUP(I82,$C$3:$L$6,5,0)),"",IF(OR(VLOOKUP(I82,$C$3:$L$6,5,0)=Variables!$B$5,B82&gt;VLOOKUP(I82,$C$3:$L$6,8,0)),IF(VLOOKUP(I82,$C$3:$L$6,5,0)=Variables!$B$5,((YEAR(B82)-YEAR($B$12))*12+MONTH(B82)-MONTH($B$12)),((YEAR(B82)-YEAR(VLOOKUP(I82,$C$3:$L$6,8,0)))*12+MONTH(B82)-MONTH(VLOOKUP(I82,$C$3:$L$6,8,0))))*(VLOOKUP(I82,$C$3:$L$6,10,0)*VLOOKUP(I82,$C$3:$L$6,6,0)/12),0))</f>
        <v/>
      </c>
      <c r="K82" s="29" t="str">
        <f ca="1">IF(C82&lt;&gt;"",IF(I82&lt;&gt;"",IF(ISERROR(VLOOKUP(I82,$C$3:$L$6,10,0)),"",VLOOKUP(I82,$C$3:$L$6,10,0)+J82+IF(OR(VLOOKUP(I82,$C$3:$L$6,5,0)=Variables!$B$5,B82&gt;VLOOKUP(I82,$C$3:$L$6,8,0)),IF(VLOOKUP(I82,$C$3:$L$6,5,0)=Variables!$B$5,((YEAR(B82)-YEAR($B$12))*12+MONTH(B82)-MONTH($B$12)),((YEAR(B82)-YEAR(VLOOKUP(I82,$C$3:$L$6,8,0)))*12+MONTH(B82)-MONTH(VLOOKUP(I82,$C$3:$L$6,8,0))))*VLOOKUP(I82,$C$3:$L$6,7,0),0)),""),"")</f>
        <v/>
      </c>
      <c r="L82" s="29" t="str">
        <f t="shared" ca="1" si="14"/>
        <v/>
      </c>
      <c r="M82" s="10"/>
      <c r="N82" s="10"/>
    </row>
    <row r="83" spans="1:14" x14ac:dyDescent="0.25">
      <c r="A83" s="10"/>
      <c r="B83" s="14" t="str">
        <f t="shared" ca="1" si="15"/>
        <v/>
      </c>
      <c r="C83" s="14" t="str">
        <f ca="1">IF(I82&lt;&gt;Variables!$B$1,IF(H82&lt;&gt;0,C82,I82),"")</f>
        <v/>
      </c>
      <c r="D83" s="29" t="str">
        <f t="shared" ca="1" si="12"/>
        <v/>
      </c>
      <c r="E83" s="29" t="str">
        <f t="shared" ca="1" si="13"/>
        <v/>
      </c>
      <c r="F83" s="29" t="str">
        <f ca="1">IF(C83&lt;&gt;"",IF(OR(VLOOKUP(C83,$C$3:$L$6,5,0)=Variables!$B$5,B83&gt;VLOOKUP(C83,$C$3:$L$6,8,0)),-D83*VLOOKUP(C83,$C$3:$L$6,6,0)/12,0),"")</f>
        <v/>
      </c>
      <c r="G83" s="29" t="str">
        <f ca="1">IF(I83&lt;&gt;Variables!$B$1,IF(C83&lt;&gt;"",$I$9-E83-F83,""),-D83)</f>
        <v/>
      </c>
      <c r="H83" s="29" t="str">
        <f t="shared" ca="1" si="16"/>
        <v/>
      </c>
      <c r="I83" s="31" t="str">
        <f ca="1">IF(C83&lt;&gt;"",IF(D83+$I$9-E83-F83&gt;=0,IF(ISERROR(INDEX($C$3:$C$6,MATCH(C83,$C$3:$C$6,0)+1,0)),Variables!$B$1,INDEX($C$3:$C$6,MATCH(C83,$C$3:$C$6,0)+1,0)),""),"")</f>
        <v/>
      </c>
      <c r="J83" s="29" t="str">
        <f ca="1">IF(ISERROR(VLOOKUP(I83,$C$3:$L$6,5,0)),"",IF(OR(VLOOKUP(I83,$C$3:$L$6,5,0)=Variables!$B$5,B83&gt;VLOOKUP(I83,$C$3:$L$6,8,0)),IF(VLOOKUP(I83,$C$3:$L$6,5,0)=Variables!$B$5,((YEAR(B83)-YEAR($B$12))*12+MONTH(B83)-MONTH($B$12)),((YEAR(B83)-YEAR(VLOOKUP(I83,$C$3:$L$6,8,0)))*12+MONTH(B83)-MONTH(VLOOKUP(I83,$C$3:$L$6,8,0))))*(VLOOKUP(I83,$C$3:$L$6,10,0)*VLOOKUP(I83,$C$3:$L$6,6,0)/12),0))</f>
        <v/>
      </c>
      <c r="K83" s="29" t="str">
        <f ca="1">IF(C83&lt;&gt;"",IF(I83&lt;&gt;"",IF(ISERROR(VLOOKUP(I83,$C$3:$L$6,10,0)),"",VLOOKUP(I83,$C$3:$L$6,10,0)+J83+IF(OR(VLOOKUP(I83,$C$3:$L$6,5,0)=Variables!$B$5,B83&gt;VLOOKUP(I83,$C$3:$L$6,8,0)),IF(VLOOKUP(I83,$C$3:$L$6,5,0)=Variables!$B$5,((YEAR(B83)-YEAR($B$12))*12+MONTH(B83)-MONTH($B$12)),((YEAR(B83)-YEAR(VLOOKUP(I83,$C$3:$L$6,8,0)))*12+MONTH(B83)-MONTH(VLOOKUP(I83,$C$3:$L$6,8,0))))*VLOOKUP(I83,$C$3:$L$6,7,0),0)),""),"")</f>
        <v/>
      </c>
      <c r="L83" s="29" t="str">
        <f t="shared" ca="1" si="14"/>
        <v/>
      </c>
      <c r="M83" s="10"/>
      <c r="N83" s="10"/>
    </row>
    <row r="84" spans="1:14" x14ac:dyDescent="0.25">
      <c r="A84" s="10"/>
      <c r="B84" s="14" t="str">
        <f t="shared" ca="1" si="15"/>
        <v/>
      </c>
      <c r="C84" s="14" t="str">
        <f ca="1">IF(I83&lt;&gt;Variables!$B$1,IF(H83&lt;&gt;0,C83,I83),"")</f>
        <v/>
      </c>
      <c r="D84" s="29" t="str">
        <f t="shared" ca="1" si="12"/>
        <v/>
      </c>
      <c r="E84" s="29" t="str">
        <f t="shared" ca="1" si="13"/>
        <v/>
      </c>
      <c r="F84" s="29" t="str">
        <f ca="1">IF(C84&lt;&gt;"",IF(OR(VLOOKUP(C84,$C$3:$L$6,5,0)=Variables!$B$5,B84&gt;VLOOKUP(C84,$C$3:$L$6,8,0)),-D84*VLOOKUP(C84,$C$3:$L$6,6,0)/12,0),"")</f>
        <v/>
      </c>
      <c r="G84" s="29" t="str">
        <f ca="1">IF(I84&lt;&gt;Variables!$B$1,IF(C84&lt;&gt;"",$I$9-E84-F84,""),-D84)</f>
        <v/>
      </c>
      <c r="H84" s="29" t="str">
        <f t="shared" ca="1" si="16"/>
        <v/>
      </c>
      <c r="I84" s="31" t="str">
        <f ca="1">IF(C84&lt;&gt;"",IF(D84+$I$9-E84-F84&gt;=0,IF(ISERROR(INDEX($C$3:$C$6,MATCH(C84,$C$3:$C$6,0)+1,0)),Variables!$B$1,INDEX($C$3:$C$6,MATCH(C84,$C$3:$C$6,0)+1,0)),""),"")</f>
        <v/>
      </c>
      <c r="J84" s="29" t="str">
        <f ca="1">IF(ISERROR(VLOOKUP(I84,$C$3:$L$6,5,0)),"",IF(OR(VLOOKUP(I84,$C$3:$L$6,5,0)=Variables!$B$5,B84&gt;VLOOKUP(I84,$C$3:$L$6,8,0)),IF(VLOOKUP(I84,$C$3:$L$6,5,0)=Variables!$B$5,((YEAR(B84)-YEAR($B$12))*12+MONTH(B84)-MONTH($B$12)),((YEAR(B84)-YEAR(VLOOKUP(I84,$C$3:$L$6,8,0)))*12+MONTH(B84)-MONTH(VLOOKUP(I84,$C$3:$L$6,8,0))))*(VLOOKUP(I84,$C$3:$L$6,10,0)*VLOOKUP(I84,$C$3:$L$6,6,0)/12),0))</f>
        <v/>
      </c>
      <c r="K84" s="29" t="str">
        <f ca="1">IF(C84&lt;&gt;"",IF(I84&lt;&gt;"",IF(ISERROR(VLOOKUP(I84,$C$3:$L$6,10,0)),"",VLOOKUP(I84,$C$3:$L$6,10,0)+J84+IF(OR(VLOOKUP(I84,$C$3:$L$6,5,0)=Variables!$B$5,B84&gt;VLOOKUP(I84,$C$3:$L$6,8,0)),IF(VLOOKUP(I84,$C$3:$L$6,5,0)=Variables!$B$5,((YEAR(B84)-YEAR($B$12))*12+MONTH(B84)-MONTH($B$12)),((YEAR(B84)-YEAR(VLOOKUP(I84,$C$3:$L$6,8,0)))*12+MONTH(B84)-MONTH(VLOOKUP(I84,$C$3:$L$6,8,0))))*VLOOKUP(I84,$C$3:$L$6,7,0),0)),""),"")</f>
        <v/>
      </c>
      <c r="L84" s="29" t="str">
        <f t="shared" ca="1" si="14"/>
        <v/>
      </c>
      <c r="M84" s="10"/>
      <c r="N84" s="10"/>
    </row>
    <row r="85" spans="1:14" x14ac:dyDescent="0.25">
      <c r="A85" s="10"/>
      <c r="B85" s="14" t="str">
        <f t="shared" ca="1" si="15"/>
        <v/>
      </c>
      <c r="C85" s="14" t="str">
        <f ca="1">IF(I84&lt;&gt;Variables!$B$1,IF(H84&lt;&gt;0,C84,I84),"")</f>
        <v/>
      </c>
      <c r="D85" s="29" t="str">
        <f t="shared" ca="1" si="12"/>
        <v/>
      </c>
      <c r="E85" s="29" t="str">
        <f t="shared" ca="1" si="13"/>
        <v/>
      </c>
      <c r="F85" s="29" t="str">
        <f ca="1">IF(C85&lt;&gt;"",IF(OR(VLOOKUP(C85,$C$3:$L$6,5,0)=Variables!$B$5,B85&gt;VLOOKUP(C85,$C$3:$L$6,8,0)),-D85*VLOOKUP(C85,$C$3:$L$6,6,0)/12,0),"")</f>
        <v/>
      </c>
      <c r="G85" s="29" t="str">
        <f ca="1">IF(I85&lt;&gt;Variables!$B$1,IF(C85&lt;&gt;"",$I$9-E85-F85,""),-D85)</f>
        <v/>
      </c>
      <c r="H85" s="29" t="str">
        <f t="shared" ca="1" si="16"/>
        <v/>
      </c>
      <c r="I85" s="31" t="str">
        <f ca="1">IF(C85&lt;&gt;"",IF(D85+$I$9-E85-F85&gt;=0,IF(ISERROR(INDEX($C$3:$C$6,MATCH(C85,$C$3:$C$6,0)+1,0)),Variables!$B$1,INDEX($C$3:$C$6,MATCH(C85,$C$3:$C$6,0)+1,0)),""),"")</f>
        <v/>
      </c>
      <c r="J85" s="29" t="str">
        <f ca="1">IF(ISERROR(VLOOKUP(I85,$C$3:$L$6,5,0)),"",IF(OR(VLOOKUP(I85,$C$3:$L$6,5,0)=Variables!$B$5,B85&gt;VLOOKUP(I85,$C$3:$L$6,8,0)),IF(VLOOKUP(I85,$C$3:$L$6,5,0)=Variables!$B$5,((YEAR(B85)-YEAR($B$12))*12+MONTH(B85)-MONTH($B$12)),((YEAR(B85)-YEAR(VLOOKUP(I85,$C$3:$L$6,8,0)))*12+MONTH(B85)-MONTH(VLOOKUP(I85,$C$3:$L$6,8,0))))*(VLOOKUP(I85,$C$3:$L$6,10,0)*VLOOKUP(I85,$C$3:$L$6,6,0)/12),0))</f>
        <v/>
      </c>
      <c r="K85" s="29" t="str">
        <f ca="1">IF(C85&lt;&gt;"",IF(I85&lt;&gt;"",IF(ISERROR(VLOOKUP(I85,$C$3:$L$6,10,0)),"",VLOOKUP(I85,$C$3:$L$6,10,0)+J85+IF(OR(VLOOKUP(I85,$C$3:$L$6,5,0)=Variables!$B$5,B85&gt;VLOOKUP(I85,$C$3:$L$6,8,0)),IF(VLOOKUP(I85,$C$3:$L$6,5,0)=Variables!$B$5,((YEAR(B85)-YEAR($B$12))*12+MONTH(B85)-MONTH($B$12)),((YEAR(B85)-YEAR(VLOOKUP(I85,$C$3:$L$6,8,0)))*12+MONTH(B85)-MONTH(VLOOKUP(I85,$C$3:$L$6,8,0))))*VLOOKUP(I85,$C$3:$L$6,7,0),0)),""),"")</f>
        <v/>
      </c>
      <c r="L85" s="29" t="str">
        <f t="shared" ca="1" si="14"/>
        <v/>
      </c>
      <c r="M85" s="10"/>
      <c r="N85" s="10"/>
    </row>
    <row r="86" spans="1:14" x14ac:dyDescent="0.25">
      <c r="A86" s="10"/>
      <c r="B86" s="14" t="str">
        <f t="shared" ca="1" si="15"/>
        <v/>
      </c>
      <c r="C86" s="14" t="str">
        <f ca="1">IF(I85&lt;&gt;Variables!$B$1,IF(H85&lt;&gt;0,C85,I85),"")</f>
        <v/>
      </c>
      <c r="D86" s="29" t="str">
        <f t="shared" ca="1" si="12"/>
        <v/>
      </c>
      <c r="E86" s="29" t="str">
        <f t="shared" ca="1" si="13"/>
        <v/>
      </c>
      <c r="F86" s="29" t="str">
        <f ca="1">IF(C86&lt;&gt;"",IF(OR(VLOOKUP(C86,$C$3:$L$6,5,0)=Variables!$B$5,B86&gt;VLOOKUP(C86,$C$3:$L$6,8,0)),-D86*VLOOKUP(C86,$C$3:$L$6,6,0)/12,0),"")</f>
        <v/>
      </c>
      <c r="G86" s="29" t="str">
        <f ca="1">IF(I86&lt;&gt;Variables!$B$1,IF(C86&lt;&gt;"",$I$9-E86-F86,""),-D86)</f>
        <v/>
      </c>
      <c r="H86" s="29" t="str">
        <f t="shared" ca="1" si="16"/>
        <v/>
      </c>
      <c r="I86" s="31" t="str">
        <f ca="1">IF(C86&lt;&gt;"",IF(D86+$I$9-E86-F86&gt;=0,IF(ISERROR(INDEX($C$3:$C$6,MATCH(C86,$C$3:$C$6,0)+1,0)),Variables!$B$1,INDEX($C$3:$C$6,MATCH(C86,$C$3:$C$6,0)+1,0)),""),"")</f>
        <v/>
      </c>
      <c r="J86" s="29" t="str">
        <f ca="1">IF(ISERROR(VLOOKUP(I86,$C$3:$L$6,5,0)),"",IF(OR(VLOOKUP(I86,$C$3:$L$6,5,0)=Variables!$B$5,B86&gt;VLOOKUP(I86,$C$3:$L$6,8,0)),IF(VLOOKUP(I86,$C$3:$L$6,5,0)=Variables!$B$5,((YEAR(B86)-YEAR($B$12))*12+MONTH(B86)-MONTH($B$12)),((YEAR(B86)-YEAR(VLOOKUP(I86,$C$3:$L$6,8,0)))*12+MONTH(B86)-MONTH(VLOOKUP(I86,$C$3:$L$6,8,0))))*(VLOOKUP(I86,$C$3:$L$6,10,0)*VLOOKUP(I86,$C$3:$L$6,6,0)/12),0))</f>
        <v/>
      </c>
      <c r="K86" s="29" t="str">
        <f ca="1">IF(C86&lt;&gt;"",IF(I86&lt;&gt;"",IF(ISERROR(VLOOKUP(I86,$C$3:$L$6,10,0)),"",VLOOKUP(I86,$C$3:$L$6,10,0)+J86+IF(OR(VLOOKUP(I86,$C$3:$L$6,5,0)=Variables!$B$5,B86&gt;VLOOKUP(I86,$C$3:$L$6,8,0)),IF(VLOOKUP(I86,$C$3:$L$6,5,0)=Variables!$B$5,((YEAR(B86)-YEAR($B$12))*12+MONTH(B86)-MONTH($B$12)),((YEAR(B86)-YEAR(VLOOKUP(I86,$C$3:$L$6,8,0)))*12+MONTH(B86)-MONTH(VLOOKUP(I86,$C$3:$L$6,8,0))))*VLOOKUP(I86,$C$3:$L$6,7,0),0)),""),"")</f>
        <v/>
      </c>
      <c r="L86" s="29" t="str">
        <f t="shared" ca="1" si="14"/>
        <v/>
      </c>
      <c r="M86" s="10"/>
      <c r="N86" s="10"/>
    </row>
    <row r="87" spans="1:14" x14ac:dyDescent="0.25">
      <c r="A87" s="10"/>
      <c r="B87" s="14" t="str">
        <f t="shared" ca="1" si="15"/>
        <v/>
      </c>
      <c r="C87" s="14" t="str">
        <f ca="1">IF(I86&lt;&gt;Variables!$B$1,IF(H86&lt;&gt;0,C86,I86),"")</f>
        <v/>
      </c>
      <c r="D87" s="29" t="str">
        <f t="shared" ca="1" si="12"/>
        <v/>
      </c>
      <c r="E87" s="29" t="str">
        <f t="shared" ca="1" si="13"/>
        <v/>
      </c>
      <c r="F87" s="29" t="str">
        <f ca="1">IF(C87&lt;&gt;"",IF(OR(VLOOKUP(C87,$C$3:$L$6,5,0)=Variables!$B$5,B87&gt;VLOOKUP(C87,$C$3:$L$6,8,0)),-D87*VLOOKUP(C87,$C$3:$L$6,6,0)/12,0),"")</f>
        <v/>
      </c>
      <c r="G87" s="29" t="str">
        <f ca="1">IF(I87&lt;&gt;Variables!$B$1,IF(C87&lt;&gt;"",$I$9-E87-F87,""),-D87)</f>
        <v/>
      </c>
      <c r="H87" s="29" t="str">
        <f t="shared" ca="1" si="16"/>
        <v/>
      </c>
      <c r="I87" s="31" t="str">
        <f ca="1">IF(C87&lt;&gt;"",IF(D87+$I$9-E87-F87&gt;=0,IF(ISERROR(INDEX($C$3:$C$6,MATCH(C87,$C$3:$C$6,0)+1,0)),Variables!$B$1,INDEX($C$3:$C$6,MATCH(C87,$C$3:$C$6,0)+1,0)),""),"")</f>
        <v/>
      </c>
      <c r="J87" s="29" t="str">
        <f ca="1">IF(ISERROR(VLOOKUP(I87,$C$3:$L$6,5,0)),"",IF(OR(VLOOKUP(I87,$C$3:$L$6,5,0)=Variables!$B$5,B87&gt;VLOOKUP(I87,$C$3:$L$6,8,0)),IF(VLOOKUP(I87,$C$3:$L$6,5,0)=Variables!$B$5,((YEAR(B87)-YEAR($B$12))*12+MONTH(B87)-MONTH($B$12)),((YEAR(B87)-YEAR(VLOOKUP(I87,$C$3:$L$6,8,0)))*12+MONTH(B87)-MONTH(VLOOKUP(I87,$C$3:$L$6,8,0))))*(VLOOKUP(I87,$C$3:$L$6,10,0)*VLOOKUP(I87,$C$3:$L$6,6,0)/12),0))</f>
        <v/>
      </c>
      <c r="K87" s="29" t="str">
        <f ca="1">IF(C87&lt;&gt;"",IF(I87&lt;&gt;"",IF(ISERROR(VLOOKUP(I87,$C$3:$L$6,10,0)),"",VLOOKUP(I87,$C$3:$L$6,10,0)+J87+IF(OR(VLOOKUP(I87,$C$3:$L$6,5,0)=Variables!$B$5,B87&gt;VLOOKUP(I87,$C$3:$L$6,8,0)),IF(VLOOKUP(I87,$C$3:$L$6,5,0)=Variables!$B$5,((YEAR(B87)-YEAR($B$12))*12+MONTH(B87)-MONTH($B$12)),((YEAR(B87)-YEAR(VLOOKUP(I87,$C$3:$L$6,8,0)))*12+MONTH(B87)-MONTH(VLOOKUP(I87,$C$3:$L$6,8,0))))*VLOOKUP(I87,$C$3:$L$6,7,0),0)),""),"")</f>
        <v/>
      </c>
      <c r="L87" s="29" t="str">
        <f t="shared" ca="1" si="14"/>
        <v/>
      </c>
      <c r="M87" s="10"/>
      <c r="N87" s="10"/>
    </row>
    <row r="88" spans="1:14" x14ac:dyDescent="0.25">
      <c r="A88" s="10"/>
      <c r="B88" s="14" t="str">
        <f t="shared" ca="1" si="15"/>
        <v/>
      </c>
      <c r="C88" s="14" t="str">
        <f ca="1">IF(I87&lt;&gt;Variables!$B$1,IF(H87&lt;&gt;0,C87,I87),"")</f>
        <v/>
      </c>
      <c r="D88" s="29" t="str">
        <f t="shared" ca="1" si="12"/>
        <v/>
      </c>
      <c r="E88" s="29" t="str">
        <f t="shared" ca="1" si="13"/>
        <v/>
      </c>
      <c r="F88" s="29" t="str">
        <f ca="1">IF(C88&lt;&gt;"",IF(OR(VLOOKUP(C88,$C$3:$L$6,5,0)=Variables!$B$5,B88&gt;VLOOKUP(C88,$C$3:$L$6,8,0)),-D88*VLOOKUP(C88,$C$3:$L$6,6,0)/12,0),"")</f>
        <v/>
      </c>
      <c r="G88" s="29" t="str">
        <f ca="1">IF(I88&lt;&gt;Variables!$B$1,IF(C88&lt;&gt;"",$I$9-E88-F88,""),-D88)</f>
        <v/>
      </c>
      <c r="H88" s="29" t="str">
        <f t="shared" ca="1" si="16"/>
        <v/>
      </c>
      <c r="I88" s="31" t="str">
        <f ca="1">IF(C88&lt;&gt;"",IF(D88+$I$9-E88-F88&gt;=0,IF(ISERROR(INDEX($C$3:$C$6,MATCH(C88,$C$3:$C$6,0)+1,0)),Variables!$B$1,INDEX($C$3:$C$6,MATCH(C88,$C$3:$C$6,0)+1,0)),""),"")</f>
        <v/>
      </c>
      <c r="J88" s="29" t="str">
        <f ca="1">IF(ISERROR(VLOOKUP(I88,$C$3:$L$6,5,0)),"",IF(OR(VLOOKUP(I88,$C$3:$L$6,5,0)=Variables!$B$5,B88&gt;VLOOKUP(I88,$C$3:$L$6,8,0)),IF(VLOOKUP(I88,$C$3:$L$6,5,0)=Variables!$B$5,((YEAR(B88)-YEAR($B$12))*12+MONTH(B88)-MONTH($B$12)),((YEAR(B88)-YEAR(VLOOKUP(I88,$C$3:$L$6,8,0)))*12+MONTH(B88)-MONTH(VLOOKUP(I88,$C$3:$L$6,8,0))))*(VLOOKUP(I88,$C$3:$L$6,10,0)*VLOOKUP(I88,$C$3:$L$6,6,0)/12),0))</f>
        <v/>
      </c>
      <c r="K88" s="29" t="str">
        <f ca="1">IF(C88&lt;&gt;"",IF(I88&lt;&gt;"",IF(ISERROR(VLOOKUP(I88,$C$3:$L$6,10,0)),"",VLOOKUP(I88,$C$3:$L$6,10,0)+J88+IF(OR(VLOOKUP(I88,$C$3:$L$6,5,0)=Variables!$B$5,B88&gt;VLOOKUP(I88,$C$3:$L$6,8,0)),IF(VLOOKUP(I88,$C$3:$L$6,5,0)=Variables!$B$5,((YEAR(B88)-YEAR($B$12))*12+MONTH(B88)-MONTH($B$12)),((YEAR(B88)-YEAR(VLOOKUP(I88,$C$3:$L$6,8,0)))*12+MONTH(B88)-MONTH(VLOOKUP(I88,$C$3:$L$6,8,0))))*VLOOKUP(I88,$C$3:$L$6,7,0),0)),""),"")</f>
        <v/>
      </c>
      <c r="L88" s="29" t="str">
        <f t="shared" ca="1" si="14"/>
        <v/>
      </c>
      <c r="M88" s="10"/>
      <c r="N88" s="10"/>
    </row>
    <row r="89" spans="1:14" x14ac:dyDescent="0.25">
      <c r="A89" s="10"/>
      <c r="B89" s="14" t="str">
        <f t="shared" ca="1" si="15"/>
        <v/>
      </c>
      <c r="C89" s="14" t="str">
        <f ca="1">IF(I88&lt;&gt;Variables!$B$1,IF(H88&lt;&gt;0,C88,I88),"")</f>
        <v/>
      </c>
      <c r="D89" s="29" t="str">
        <f t="shared" ca="1" si="12"/>
        <v/>
      </c>
      <c r="E89" s="29" t="str">
        <f t="shared" ca="1" si="13"/>
        <v/>
      </c>
      <c r="F89" s="29" t="str">
        <f ca="1">IF(C89&lt;&gt;"",IF(OR(VLOOKUP(C89,$C$3:$L$6,5,0)=Variables!$B$5,B89&gt;VLOOKUP(C89,$C$3:$L$6,8,0)),-D89*VLOOKUP(C89,$C$3:$L$6,6,0)/12,0),"")</f>
        <v/>
      </c>
      <c r="G89" s="29" t="str">
        <f ca="1">IF(I89&lt;&gt;Variables!$B$1,IF(C89&lt;&gt;"",$I$9-E89-F89,""),-D89)</f>
        <v/>
      </c>
      <c r="H89" s="29" t="str">
        <f t="shared" ca="1" si="16"/>
        <v/>
      </c>
      <c r="I89" s="31" t="str">
        <f ca="1">IF(C89&lt;&gt;"",IF(D89+$I$9-E89-F89&gt;=0,IF(ISERROR(INDEX($C$3:$C$6,MATCH(C89,$C$3:$C$6,0)+1,0)),Variables!$B$1,INDEX($C$3:$C$6,MATCH(C89,$C$3:$C$6,0)+1,0)),""),"")</f>
        <v/>
      </c>
      <c r="J89" s="29" t="str">
        <f ca="1">IF(ISERROR(VLOOKUP(I89,$C$3:$L$6,5,0)),"",IF(OR(VLOOKUP(I89,$C$3:$L$6,5,0)=Variables!$B$5,B89&gt;VLOOKUP(I89,$C$3:$L$6,8,0)),IF(VLOOKUP(I89,$C$3:$L$6,5,0)=Variables!$B$5,((YEAR(B89)-YEAR($B$12))*12+MONTH(B89)-MONTH($B$12)),((YEAR(B89)-YEAR(VLOOKUP(I89,$C$3:$L$6,8,0)))*12+MONTH(B89)-MONTH(VLOOKUP(I89,$C$3:$L$6,8,0))))*(VLOOKUP(I89,$C$3:$L$6,10,0)*VLOOKUP(I89,$C$3:$L$6,6,0)/12),0))</f>
        <v/>
      </c>
      <c r="K89" s="29" t="str">
        <f ca="1">IF(C89&lt;&gt;"",IF(I89&lt;&gt;"",IF(ISERROR(VLOOKUP(I89,$C$3:$L$6,10,0)),"",VLOOKUP(I89,$C$3:$L$6,10,0)+J89+IF(OR(VLOOKUP(I89,$C$3:$L$6,5,0)=Variables!$B$5,B89&gt;VLOOKUP(I89,$C$3:$L$6,8,0)),IF(VLOOKUP(I89,$C$3:$L$6,5,0)=Variables!$B$5,((YEAR(B89)-YEAR($B$12))*12+MONTH(B89)-MONTH($B$12)),((YEAR(B89)-YEAR(VLOOKUP(I89,$C$3:$L$6,8,0)))*12+MONTH(B89)-MONTH(VLOOKUP(I89,$C$3:$L$6,8,0))))*VLOOKUP(I89,$C$3:$L$6,7,0),0)),""),"")</f>
        <v/>
      </c>
      <c r="L89" s="29" t="str">
        <f t="shared" ca="1" si="14"/>
        <v/>
      </c>
      <c r="M89" s="10"/>
      <c r="N89" s="10"/>
    </row>
    <row r="90" spans="1:14" x14ac:dyDescent="0.25">
      <c r="A90" s="10"/>
      <c r="B90" s="14" t="str">
        <f t="shared" ca="1" si="15"/>
        <v/>
      </c>
      <c r="C90" s="14" t="str">
        <f ca="1">IF(I89&lt;&gt;Variables!$B$1,IF(H89&lt;&gt;0,C89,I89),"")</f>
        <v/>
      </c>
      <c r="D90" s="29" t="str">
        <f t="shared" ca="1" si="12"/>
        <v/>
      </c>
      <c r="E90" s="29" t="str">
        <f t="shared" ca="1" si="13"/>
        <v/>
      </c>
      <c r="F90" s="29" t="str">
        <f ca="1">IF(C90&lt;&gt;"",IF(OR(VLOOKUP(C90,$C$3:$L$6,5,0)=Variables!$B$5,B90&gt;VLOOKUP(C90,$C$3:$L$6,8,0)),-D90*VLOOKUP(C90,$C$3:$L$6,6,0)/12,0),"")</f>
        <v/>
      </c>
      <c r="G90" s="29" t="str">
        <f ca="1">IF(I90&lt;&gt;Variables!$B$1,IF(C90&lt;&gt;"",$I$9-E90-F90,""),-D90)</f>
        <v/>
      </c>
      <c r="H90" s="29" t="str">
        <f t="shared" ca="1" si="16"/>
        <v/>
      </c>
      <c r="I90" s="31" t="str">
        <f ca="1">IF(C90&lt;&gt;"",IF(D90+$I$9-E90-F90&gt;=0,IF(ISERROR(INDEX($C$3:$C$6,MATCH(C90,$C$3:$C$6,0)+1,0)),Variables!$B$1,INDEX($C$3:$C$6,MATCH(C90,$C$3:$C$6,0)+1,0)),""),"")</f>
        <v/>
      </c>
      <c r="J90" s="29" t="str">
        <f ca="1">IF(ISERROR(VLOOKUP(I90,$C$3:$L$6,5,0)),"",IF(OR(VLOOKUP(I90,$C$3:$L$6,5,0)=Variables!$B$5,B90&gt;VLOOKUP(I90,$C$3:$L$6,8,0)),IF(VLOOKUP(I90,$C$3:$L$6,5,0)=Variables!$B$5,((YEAR(B90)-YEAR($B$12))*12+MONTH(B90)-MONTH($B$12)),((YEAR(B90)-YEAR(VLOOKUP(I90,$C$3:$L$6,8,0)))*12+MONTH(B90)-MONTH(VLOOKUP(I90,$C$3:$L$6,8,0))))*(VLOOKUP(I90,$C$3:$L$6,10,0)*VLOOKUP(I90,$C$3:$L$6,6,0)/12),0))</f>
        <v/>
      </c>
      <c r="K90" s="29" t="str">
        <f ca="1">IF(C90&lt;&gt;"",IF(I90&lt;&gt;"",IF(ISERROR(VLOOKUP(I90,$C$3:$L$6,10,0)),"",VLOOKUP(I90,$C$3:$L$6,10,0)+J90+IF(OR(VLOOKUP(I90,$C$3:$L$6,5,0)=Variables!$B$5,B90&gt;VLOOKUP(I90,$C$3:$L$6,8,0)),IF(VLOOKUP(I90,$C$3:$L$6,5,0)=Variables!$B$5,((YEAR(B90)-YEAR($B$12))*12+MONTH(B90)-MONTH($B$12)),((YEAR(B90)-YEAR(VLOOKUP(I90,$C$3:$L$6,8,0)))*12+MONTH(B90)-MONTH(VLOOKUP(I90,$C$3:$L$6,8,0))))*VLOOKUP(I90,$C$3:$L$6,7,0),0)),""),"")</f>
        <v/>
      </c>
      <c r="L90" s="29" t="str">
        <f t="shared" ca="1" si="14"/>
        <v/>
      </c>
      <c r="M90" s="10"/>
      <c r="N90" s="10"/>
    </row>
    <row r="91" spans="1:14" x14ac:dyDescent="0.25">
      <c r="A91" s="10"/>
      <c r="B91" s="14" t="str">
        <f t="shared" ca="1" si="15"/>
        <v/>
      </c>
      <c r="C91" s="14" t="str">
        <f ca="1">IF(I90&lt;&gt;Variables!$B$1,IF(H90&lt;&gt;0,C90,I90),"")</f>
        <v/>
      </c>
      <c r="D91" s="29" t="str">
        <f t="shared" ca="1" si="12"/>
        <v/>
      </c>
      <c r="E91" s="29" t="str">
        <f t="shared" ca="1" si="13"/>
        <v/>
      </c>
      <c r="F91" s="29" t="str">
        <f ca="1">IF(C91&lt;&gt;"",IF(OR(VLOOKUP(C91,$C$3:$L$6,5,0)=Variables!$B$5,B91&gt;VLOOKUP(C91,$C$3:$L$6,8,0)),-D91*VLOOKUP(C91,$C$3:$L$6,6,0)/12,0),"")</f>
        <v/>
      </c>
      <c r="G91" s="29" t="str">
        <f ca="1">IF(I91&lt;&gt;Variables!$B$1,IF(C91&lt;&gt;"",$I$9-E91-F91,""),-D91)</f>
        <v/>
      </c>
      <c r="H91" s="29" t="str">
        <f t="shared" ca="1" si="16"/>
        <v/>
      </c>
      <c r="I91" s="31" t="str">
        <f ca="1">IF(C91&lt;&gt;"",IF(D91+$I$9-E91-F91&gt;=0,IF(ISERROR(INDEX($C$3:$C$6,MATCH(C91,$C$3:$C$6,0)+1,0)),Variables!$B$1,INDEX($C$3:$C$6,MATCH(C91,$C$3:$C$6,0)+1,0)),""),"")</f>
        <v/>
      </c>
      <c r="J91" s="29" t="str">
        <f ca="1">IF(ISERROR(VLOOKUP(I91,$C$3:$L$6,5,0)),"",IF(OR(VLOOKUP(I91,$C$3:$L$6,5,0)=Variables!$B$5,B91&gt;VLOOKUP(I91,$C$3:$L$6,8,0)),IF(VLOOKUP(I91,$C$3:$L$6,5,0)=Variables!$B$5,((YEAR(B91)-YEAR($B$12))*12+MONTH(B91)-MONTH($B$12)),((YEAR(B91)-YEAR(VLOOKUP(I91,$C$3:$L$6,8,0)))*12+MONTH(B91)-MONTH(VLOOKUP(I91,$C$3:$L$6,8,0))))*(VLOOKUP(I91,$C$3:$L$6,10,0)*VLOOKUP(I91,$C$3:$L$6,6,0)/12),0))</f>
        <v/>
      </c>
      <c r="K91" s="29" t="str">
        <f ca="1">IF(C91&lt;&gt;"",IF(I91&lt;&gt;"",IF(ISERROR(VLOOKUP(I91,$C$3:$L$6,10,0)),"",VLOOKUP(I91,$C$3:$L$6,10,0)+J91+IF(OR(VLOOKUP(I91,$C$3:$L$6,5,0)=Variables!$B$5,B91&gt;VLOOKUP(I91,$C$3:$L$6,8,0)),IF(VLOOKUP(I91,$C$3:$L$6,5,0)=Variables!$B$5,((YEAR(B91)-YEAR($B$12))*12+MONTH(B91)-MONTH($B$12)),((YEAR(B91)-YEAR(VLOOKUP(I91,$C$3:$L$6,8,0)))*12+MONTH(B91)-MONTH(VLOOKUP(I91,$C$3:$L$6,8,0))))*VLOOKUP(I91,$C$3:$L$6,7,0),0)),""),"")</f>
        <v/>
      </c>
      <c r="L91" s="29" t="str">
        <f t="shared" ca="1" si="14"/>
        <v/>
      </c>
      <c r="M91" s="10"/>
      <c r="N91" s="10"/>
    </row>
    <row r="92" spans="1:14" x14ac:dyDescent="0.25">
      <c r="A92" s="10"/>
      <c r="B92" s="14" t="str">
        <f t="shared" ca="1" si="15"/>
        <v/>
      </c>
      <c r="C92" s="14" t="str">
        <f ca="1">IF(I91&lt;&gt;Variables!$B$1,IF(H91&lt;&gt;0,C91,I91),"")</f>
        <v/>
      </c>
      <c r="D92" s="29" t="str">
        <f t="shared" ref="D92:D155" ca="1" si="17">IF(C92&lt;&gt;"",IF(H91&lt;&gt;0,H91,L91),"")</f>
        <v/>
      </c>
      <c r="E92" s="29" t="str">
        <f t="shared" ref="E92:E155" ca="1" si="18">IF(C92&lt;&gt;"",MINPAYMENT(C92,ROW(B92),COLUMN(B92)),"")</f>
        <v/>
      </c>
      <c r="F92" s="29" t="str">
        <f ca="1">IF(C92&lt;&gt;"",IF(OR(VLOOKUP(C92,$C$3:$L$6,5,0)=Variables!$B$5,B92&gt;VLOOKUP(C92,$C$3:$L$6,8,0)),-D92*VLOOKUP(C92,$C$3:$L$6,6,0)/12,0),"")</f>
        <v/>
      </c>
      <c r="G92" s="29" t="str">
        <f ca="1">IF(I92&lt;&gt;Variables!$B$1,IF(C92&lt;&gt;"",$I$9-E92-F92,""),-D92)</f>
        <v/>
      </c>
      <c r="H92" s="29" t="str">
        <f t="shared" ca="1" si="16"/>
        <v/>
      </c>
      <c r="I92" s="31" t="str">
        <f ca="1">IF(C92&lt;&gt;"",IF(D92+$I$9-E92-F92&gt;=0,IF(ISERROR(INDEX($C$3:$C$6,MATCH(C92,$C$3:$C$6,0)+1,0)),Variables!$B$1,INDEX($C$3:$C$6,MATCH(C92,$C$3:$C$6,0)+1,0)),""),"")</f>
        <v/>
      </c>
      <c r="J92" s="29" t="str">
        <f ca="1">IF(ISERROR(VLOOKUP(I92,$C$3:$L$6,5,0)),"",IF(OR(VLOOKUP(I92,$C$3:$L$6,5,0)=Variables!$B$5,B92&gt;VLOOKUP(I92,$C$3:$L$6,8,0)),IF(VLOOKUP(I92,$C$3:$L$6,5,0)=Variables!$B$5,((YEAR(B92)-YEAR($B$12))*12+MONTH(B92)-MONTH($B$12)),((YEAR(B92)-YEAR(VLOOKUP(I92,$C$3:$L$6,8,0)))*12+MONTH(B92)-MONTH(VLOOKUP(I92,$C$3:$L$6,8,0))))*(VLOOKUP(I92,$C$3:$L$6,10,0)*VLOOKUP(I92,$C$3:$L$6,6,0)/12),0))</f>
        <v/>
      </c>
      <c r="K92" s="29" t="str">
        <f ca="1">IF(C92&lt;&gt;"",IF(I92&lt;&gt;"",IF(ISERROR(VLOOKUP(I92,$C$3:$L$6,10,0)),"",VLOOKUP(I92,$C$3:$L$6,10,0)+J92+IF(OR(VLOOKUP(I92,$C$3:$L$6,5,0)=Variables!$B$5,B92&gt;VLOOKUP(I92,$C$3:$L$6,8,0)),IF(VLOOKUP(I92,$C$3:$L$6,5,0)=Variables!$B$5,((YEAR(B92)-YEAR($B$12))*12+MONTH(B92)-MONTH($B$12)),((YEAR(B92)-YEAR(VLOOKUP(I92,$C$3:$L$6,8,0)))*12+MONTH(B92)-MONTH(VLOOKUP(I92,$C$3:$L$6,8,0))))*VLOOKUP(I92,$C$3:$L$6,7,0),0)),""),"")</f>
        <v/>
      </c>
      <c r="L92" s="29" t="str">
        <f t="shared" ref="L92:L155" ca="1" si="19">IF(C92&lt;&gt;"",IF(ISERROR(IF(D92+G92&gt;=0,K92+D92+G92,"")),"",IF(D92+G92&gt;=0,K92+D92+G92,"")),"")</f>
        <v/>
      </c>
      <c r="M92" s="10"/>
      <c r="N92" s="10"/>
    </row>
    <row r="93" spans="1:14" x14ac:dyDescent="0.25">
      <c r="A93" s="10"/>
      <c r="B93" s="14" t="str">
        <f t="shared" ref="B93:B156" ca="1" si="20">IF(C93&lt;&gt;"",DATE(YEAR(B92),MONTH(B92)+1,DAY(B92)),"")</f>
        <v/>
      </c>
      <c r="C93" s="14" t="str">
        <f ca="1">IF(I92&lt;&gt;Variables!$B$1,IF(H92&lt;&gt;0,C92,I92),"")</f>
        <v/>
      </c>
      <c r="D93" s="29" t="str">
        <f t="shared" ca="1" si="17"/>
        <v/>
      </c>
      <c r="E93" s="29" t="str">
        <f t="shared" ca="1" si="18"/>
        <v/>
      </c>
      <c r="F93" s="29" t="str">
        <f ca="1">IF(C93&lt;&gt;"",IF(OR(VLOOKUP(C93,$C$3:$L$6,5,0)=Variables!$B$5,B93&gt;VLOOKUP(C93,$C$3:$L$6,8,0)),-D93*VLOOKUP(C93,$C$3:$L$6,6,0)/12,0),"")</f>
        <v/>
      </c>
      <c r="G93" s="29" t="str">
        <f ca="1">IF(I93&lt;&gt;Variables!$B$1,IF(C93&lt;&gt;"",$I$9-E93-F93,""),-D93)</f>
        <v/>
      </c>
      <c r="H93" s="29" t="str">
        <f t="shared" ref="H93:H156" ca="1" si="21">IF(C93&lt;&gt;"",IF(D93+G93&lt;0,D93+G93,0),"")</f>
        <v/>
      </c>
      <c r="I93" s="31" t="str">
        <f ca="1">IF(C93&lt;&gt;"",IF(D93+$I$9-E93-F93&gt;=0,IF(ISERROR(INDEX($C$3:$C$6,MATCH(C93,$C$3:$C$6,0)+1,0)),Variables!$B$1,INDEX($C$3:$C$6,MATCH(C93,$C$3:$C$6,0)+1,0)),""),"")</f>
        <v/>
      </c>
      <c r="J93" s="29" t="str">
        <f ca="1">IF(ISERROR(VLOOKUP(I93,$C$3:$L$6,5,0)),"",IF(OR(VLOOKUP(I93,$C$3:$L$6,5,0)=Variables!$B$5,B93&gt;VLOOKUP(I93,$C$3:$L$6,8,0)),IF(VLOOKUP(I93,$C$3:$L$6,5,0)=Variables!$B$5,((YEAR(B93)-YEAR($B$12))*12+MONTH(B93)-MONTH($B$12)),((YEAR(B93)-YEAR(VLOOKUP(I93,$C$3:$L$6,8,0)))*12+MONTH(B93)-MONTH(VLOOKUP(I93,$C$3:$L$6,8,0))))*(VLOOKUP(I93,$C$3:$L$6,10,0)*VLOOKUP(I93,$C$3:$L$6,6,0)/12),0))</f>
        <v/>
      </c>
      <c r="K93" s="29" t="str">
        <f ca="1">IF(C93&lt;&gt;"",IF(I93&lt;&gt;"",IF(ISERROR(VLOOKUP(I93,$C$3:$L$6,10,0)),"",VLOOKUP(I93,$C$3:$L$6,10,0)+J93+IF(OR(VLOOKUP(I93,$C$3:$L$6,5,0)=Variables!$B$5,B93&gt;VLOOKUP(I93,$C$3:$L$6,8,0)),IF(VLOOKUP(I93,$C$3:$L$6,5,0)=Variables!$B$5,((YEAR(B93)-YEAR($B$12))*12+MONTH(B93)-MONTH($B$12)),((YEAR(B93)-YEAR(VLOOKUP(I93,$C$3:$L$6,8,0)))*12+MONTH(B93)-MONTH(VLOOKUP(I93,$C$3:$L$6,8,0))))*VLOOKUP(I93,$C$3:$L$6,7,0),0)),""),"")</f>
        <v/>
      </c>
      <c r="L93" s="29" t="str">
        <f t="shared" ca="1" si="19"/>
        <v/>
      </c>
      <c r="M93" s="10"/>
      <c r="N93" s="10"/>
    </row>
    <row r="94" spans="1:14" x14ac:dyDescent="0.25">
      <c r="A94" s="10"/>
      <c r="B94" s="14" t="str">
        <f t="shared" ca="1" si="20"/>
        <v/>
      </c>
      <c r="C94" s="14" t="str">
        <f ca="1">IF(I93&lt;&gt;Variables!$B$1,IF(H93&lt;&gt;0,C93,I93),"")</f>
        <v/>
      </c>
      <c r="D94" s="29" t="str">
        <f t="shared" ca="1" si="17"/>
        <v/>
      </c>
      <c r="E94" s="29" t="str">
        <f t="shared" ca="1" si="18"/>
        <v/>
      </c>
      <c r="F94" s="29" t="str">
        <f ca="1">IF(C94&lt;&gt;"",IF(OR(VLOOKUP(C94,$C$3:$L$6,5,0)=Variables!$B$5,B94&gt;VLOOKUP(C94,$C$3:$L$6,8,0)),-D94*VLOOKUP(C94,$C$3:$L$6,6,0)/12,0),"")</f>
        <v/>
      </c>
      <c r="G94" s="29" t="str">
        <f ca="1">IF(I94&lt;&gt;Variables!$B$1,IF(C94&lt;&gt;"",$I$9-E94-F94,""),-D94)</f>
        <v/>
      </c>
      <c r="H94" s="29" t="str">
        <f t="shared" ca="1" si="21"/>
        <v/>
      </c>
      <c r="I94" s="31" t="str">
        <f ca="1">IF(C94&lt;&gt;"",IF(D94+$I$9-E94-F94&gt;=0,IF(ISERROR(INDEX($C$3:$C$6,MATCH(C94,$C$3:$C$6,0)+1,0)),Variables!$B$1,INDEX($C$3:$C$6,MATCH(C94,$C$3:$C$6,0)+1,0)),""),"")</f>
        <v/>
      </c>
      <c r="J94" s="29" t="str">
        <f ca="1">IF(ISERROR(VLOOKUP(I94,$C$3:$L$6,5,0)),"",IF(OR(VLOOKUP(I94,$C$3:$L$6,5,0)=Variables!$B$5,B94&gt;VLOOKUP(I94,$C$3:$L$6,8,0)),IF(VLOOKUP(I94,$C$3:$L$6,5,0)=Variables!$B$5,((YEAR(B94)-YEAR($B$12))*12+MONTH(B94)-MONTH($B$12)),((YEAR(B94)-YEAR(VLOOKUP(I94,$C$3:$L$6,8,0)))*12+MONTH(B94)-MONTH(VLOOKUP(I94,$C$3:$L$6,8,0))))*(VLOOKUP(I94,$C$3:$L$6,10,0)*VLOOKUP(I94,$C$3:$L$6,6,0)/12),0))</f>
        <v/>
      </c>
      <c r="K94" s="29" t="str">
        <f ca="1">IF(C94&lt;&gt;"",IF(I94&lt;&gt;"",IF(ISERROR(VLOOKUP(I94,$C$3:$L$6,10,0)),"",VLOOKUP(I94,$C$3:$L$6,10,0)+J94+IF(OR(VLOOKUP(I94,$C$3:$L$6,5,0)=Variables!$B$5,B94&gt;VLOOKUP(I94,$C$3:$L$6,8,0)),IF(VLOOKUP(I94,$C$3:$L$6,5,0)=Variables!$B$5,((YEAR(B94)-YEAR($B$12))*12+MONTH(B94)-MONTH($B$12)),((YEAR(B94)-YEAR(VLOOKUP(I94,$C$3:$L$6,8,0)))*12+MONTH(B94)-MONTH(VLOOKUP(I94,$C$3:$L$6,8,0))))*VLOOKUP(I94,$C$3:$L$6,7,0),0)),""),"")</f>
        <v/>
      </c>
      <c r="L94" s="29" t="str">
        <f t="shared" ca="1" si="19"/>
        <v/>
      </c>
      <c r="M94" s="10"/>
      <c r="N94" s="10"/>
    </row>
    <row r="95" spans="1:14" x14ac:dyDescent="0.25">
      <c r="A95" s="10"/>
      <c r="B95" s="14" t="str">
        <f t="shared" ca="1" si="20"/>
        <v/>
      </c>
      <c r="C95" s="14" t="str">
        <f ca="1">IF(I94&lt;&gt;Variables!$B$1,IF(H94&lt;&gt;0,C94,I94),"")</f>
        <v/>
      </c>
      <c r="D95" s="29" t="str">
        <f t="shared" ca="1" si="17"/>
        <v/>
      </c>
      <c r="E95" s="29" t="str">
        <f t="shared" ca="1" si="18"/>
        <v/>
      </c>
      <c r="F95" s="29" t="str">
        <f ca="1">IF(C95&lt;&gt;"",IF(OR(VLOOKUP(C95,$C$3:$L$6,5,0)=Variables!$B$5,B95&gt;VLOOKUP(C95,$C$3:$L$6,8,0)),-D95*VLOOKUP(C95,$C$3:$L$6,6,0)/12,0),"")</f>
        <v/>
      </c>
      <c r="G95" s="29" t="str">
        <f ca="1">IF(I95&lt;&gt;Variables!$B$1,IF(C95&lt;&gt;"",$I$9-E95-F95,""),-D95)</f>
        <v/>
      </c>
      <c r="H95" s="29" t="str">
        <f t="shared" ca="1" si="21"/>
        <v/>
      </c>
      <c r="I95" s="31" t="str">
        <f ca="1">IF(C95&lt;&gt;"",IF(D95+$I$9-E95-F95&gt;=0,IF(ISERROR(INDEX($C$3:$C$6,MATCH(C95,$C$3:$C$6,0)+1,0)),Variables!$B$1,INDEX($C$3:$C$6,MATCH(C95,$C$3:$C$6,0)+1,0)),""),"")</f>
        <v/>
      </c>
      <c r="J95" s="29" t="str">
        <f ca="1">IF(ISERROR(VLOOKUP(I95,$C$3:$L$6,5,0)),"",IF(OR(VLOOKUP(I95,$C$3:$L$6,5,0)=Variables!$B$5,B95&gt;VLOOKUP(I95,$C$3:$L$6,8,0)),IF(VLOOKUP(I95,$C$3:$L$6,5,0)=Variables!$B$5,((YEAR(B95)-YEAR($B$12))*12+MONTH(B95)-MONTH($B$12)),((YEAR(B95)-YEAR(VLOOKUP(I95,$C$3:$L$6,8,0)))*12+MONTH(B95)-MONTH(VLOOKUP(I95,$C$3:$L$6,8,0))))*(VLOOKUP(I95,$C$3:$L$6,10,0)*VLOOKUP(I95,$C$3:$L$6,6,0)/12),0))</f>
        <v/>
      </c>
      <c r="K95" s="29" t="str">
        <f ca="1">IF(C95&lt;&gt;"",IF(I95&lt;&gt;"",IF(ISERROR(VLOOKUP(I95,$C$3:$L$6,10,0)),"",VLOOKUP(I95,$C$3:$L$6,10,0)+J95+IF(OR(VLOOKUP(I95,$C$3:$L$6,5,0)=Variables!$B$5,B95&gt;VLOOKUP(I95,$C$3:$L$6,8,0)),IF(VLOOKUP(I95,$C$3:$L$6,5,0)=Variables!$B$5,((YEAR(B95)-YEAR($B$12))*12+MONTH(B95)-MONTH($B$12)),((YEAR(B95)-YEAR(VLOOKUP(I95,$C$3:$L$6,8,0)))*12+MONTH(B95)-MONTH(VLOOKUP(I95,$C$3:$L$6,8,0))))*VLOOKUP(I95,$C$3:$L$6,7,0),0)),""),"")</f>
        <v/>
      </c>
      <c r="L95" s="29" t="str">
        <f t="shared" ca="1" si="19"/>
        <v/>
      </c>
      <c r="M95" s="10"/>
      <c r="N95" s="10"/>
    </row>
    <row r="96" spans="1:14" x14ac:dyDescent="0.25">
      <c r="A96" s="10"/>
      <c r="B96" s="14" t="str">
        <f t="shared" ca="1" si="20"/>
        <v/>
      </c>
      <c r="C96" s="14" t="str">
        <f ca="1">IF(I95&lt;&gt;Variables!$B$1,IF(H95&lt;&gt;0,C95,I95),"")</f>
        <v/>
      </c>
      <c r="D96" s="29" t="str">
        <f t="shared" ca="1" si="17"/>
        <v/>
      </c>
      <c r="E96" s="29" t="str">
        <f t="shared" ca="1" si="18"/>
        <v/>
      </c>
      <c r="F96" s="29" t="str">
        <f ca="1">IF(C96&lt;&gt;"",IF(OR(VLOOKUP(C96,$C$3:$L$6,5,0)=Variables!$B$5,B96&gt;VLOOKUP(C96,$C$3:$L$6,8,0)),-D96*VLOOKUP(C96,$C$3:$L$6,6,0)/12,0),"")</f>
        <v/>
      </c>
      <c r="G96" s="29" t="str">
        <f ca="1">IF(I96&lt;&gt;Variables!$B$1,IF(C96&lt;&gt;"",$I$9-E96-F96,""),-D96)</f>
        <v/>
      </c>
      <c r="H96" s="29" t="str">
        <f t="shared" ca="1" si="21"/>
        <v/>
      </c>
      <c r="I96" s="31" t="str">
        <f ca="1">IF(C96&lt;&gt;"",IF(D96+$I$9-E96-F96&gt;=0,IF(ISERROR(INDEX($C$3:$C$6,MATCH(C96,$C$3:$C$6,0)+1,0)),Variables!$B$1,INDEX($C$3:$C$6,MATCH(C96,$C$3:$C$6,0)+1,0)),""),"")</f>
        <v/>
      </c>
      <c r="J96" s="29" t="str">
        <f ca="1">IF(ISERROR(VLOOKUP(I96,$C$3:$L$6,5,0)),"",IF(OR(VLOOKUP(I96,$C$3:$L$6,5,0)=Variables!$B$5,B96&gt;VLOOKUP(I96,$C$3:$L$6,8,0)),IF(VLOOKUP(I96,$C$3:$L$6,5,0)=Variables!$B$5,((YEAR(B96)-YEAR($B$12))*12+MONTH(B96)-MONTH($B$12)),((YEAR(B96)-YEAR(VLOOKUP(I96,$C$3:$L$6,8,0)))*12+MONTH(B96)-MONTH(VLOOKUP(I96,$C$3:$L$6,8,0))))*(VLOOKUP(I96,$C$3:$L$6,10,0)*VLOOKUP(I96,$C$3:$L$6,6,0)/12),0))</f>
        <v/>
      </c>
      <c r="K96" s="29" t="str">
        <f ca="1">IF(C96&lt;&gt;"",IF(I96&lt;&gt;"",IF(ISERROR(VLOOKUP(I96,$C$3:$L$6,10,0)),"",VLOOKUP(I96,$C$3:$L$6,10,0)+J96+IF(OR(VLOOKUP(I96,$C$3:$L$6,5,0)=Variables!$B$5,B96&gt;VLOOKUP(I96,$C$3:$L$6,8,0)),IF(VLOOKUP(I96,$C$3:$L$6,5,0)=Variables!$B$5,((YEAR(B96)-YEAR($B$12))*12+MONTH(B96)-MONTH($B$12)),((YEAR(B96)-YEAR(VLOOKUP(I96,$C$3:$L$6,8,0)))*12+MONTH(B96)-MONTH(VLOOKUP(I96,$C$3:$L$6,8,0))))*VLOOKUP(I96,$C$3:$L$6,7,0),0)),""),"")</f>
        <v/>
      </c>
      <c r="L96" s="29" t="str">
        <f t="shared" ca="1" si="19"/>
        <v/>
      </c>
      <c r="M96" s="10"/>
      <c r="N96" s="10"/>
    </row>
    <row r="97" spans="1:14" x14ac:dyDescent="0.25">
      <c r="A97" s="10"/>
      <c r="B97" s="14" t="str">
        <f t="shared" ca="1" si="20"/>
        <v/>
      </c>
      <c r="C97" s="14" t="str">
        <f ca="1">IF(I96&lt;&gt;Variables!$B$1,IF(H96&lt;&gt;0,C96,I96),"")</f>
        <v/>
      </c>
      <c r="D97" s="29" t="str">
        <f t="shared" ca="1" si="17"/>
        <v/>
      </c>
      <c r="E97" s="29" t="str">
        <f t="shared" ca="1" si="18"/>
        <v/>
      </c>
      <c r="F97" s="29" t="str">
        <f ca="1">IF(C97&lt;&gt;"",IF(OR(VLOOKUP(C97,$C$3:$L$6,5,0)=Variables!$B$5,B97&gt;VLOOKUP(C97,$C$3:$L$6,8,0)),-D97*VLOOKUP(C97,$C$3:$L$6,6,0)/12,0),"")</f>
        <v/>
      </c>
      <c r="G97" s="29" t="str">
        <f ca="1">IF(I97&lt;&gt;Variables!$B$1,IF(C97&lt;&gt;"",$I$9-E97-F97,""),-D97)</f>
        <v/>
      </c>
      <c r="H97" s="29" t="str">
        <f t="shared" ca="1" si="21"/>
        <v/>
      </c>
      <c r="I97" s="31" t="str">
        <f ca="1">IF(C97&lt;&gt;"",IF(D97+$I$9-E97-F97&gt;=0,IF(ISERROR(INDEX($C$3:$C$6,MATCH(C97,$C$3:$C$6,0)+1,0)),Variables!$B$1,INDEX($C$3:$C$6,MATCH(C97,$C$3:$C$6,0)+1,0)),""),"")</f>
        <v/>
      </c>
      <c r="J97" s="29" t="str">
        <f ca="1">IF(ISERROR(VLOOKUP(I97,$C$3:$L$6,5,0)),"",IF(OR(VLOOKUP(I97,$C$3:$L$6,5,0)=Variables!$B$5,B97&gt;VLOOKUP(I97,$C$3:$L$6,8,0)),IF(VLOOKUP(I97,$C$3:$L$6,5,0)=Variables!$B$5,((YEAR(B97)-YEAR($B$12))*12+MONTH(B97)-MONTH($B$12)),((YEAR(B97)-YEAR(VLOOKUP(I97,$C$3:$L$6,8,0)))*12+MONTH(B97)-MONTH(VLOOKUP(I97,$C$3:$L$6,8,0))))*(VLOOKUP(I97,$C$3:$L$6,10,0)*VLOOKUP(I97,$C$3:$L$6,6,0)/12),0))</f>
        <v/>
      </c>
      <c r="K97" s="29" t="str">
        <f ca="1">IF(C97&lt;&gt;"",IF(I97&lt;&gt;"",IF(ISERROR(VLOOKUP(I97,$C$3:$L$6,10,0)),"",VLOOKUP(I97,$C$3:$L$6,10,0)+J97+IF(OR(VLOOKUP(I97,$C$3:$L$6,5,0)=Variables!$B$5,B97&gt;VLOOKUP(I97,$C$3:$L$6,8,0)),IF(VLOOKUP(I97,$C$3:$L$6,5,0)=Variables!$B$5,((YEAR(B97)-YEAR($B$12))*12+MONTH(B97)-MONTH($B$12)),((YEAR(B97)-YEAR(VLOOKUP(I97,$C$3:$L$6,8,0)))*12+MONTH(B97)-MONTH(VLOOKUP(I97,$C$3:$L$6,8,0))))*VLOOKUP(I97,$C$3:$L$6,7,0),0)),""),"")</f>
        <v/>
      </c>
      <c r="L97" s="29" t="str">
        <f t="shared" ca="1" si="19"/>
        <v/>
      </c>
      <c r="M97" s="10"/>
      <c r="N97" s="10"/>
    </row>
    <row r="98" spans="1:14" x14ac:dyDescent="0.25">
      <c r="A98" s="10"/>
      <c r="B98" s="14" t="str">
        <f t="shared" ca="1" si="20"/>
        <v/>
      </c>
      <c r="C98" s="14" t="str">
        <f ca="1">IF(I97&lt;&gt;Variables!$B$1,IF(H97&lt;&gt;0,C97,I97),"")</f>
        <v/>
      </c>
      <c r="D98" s="29" t="str">
        <f t="shared" ca="1" si="17"/>
        <v/>
      </c>
      <c r="E98" s="29" t="str">
        <f t="shared" ca="1" si="18"/>
        <v/>
      </c>
      <c r="F98" s="29" t="str">
        <f ca="1">IF(C98&lt;&gt;"",IF(OR(VLOOKUP(C98,$C$3:$L$6,5,0)=Variables!$B$5,B98&gt;VLOOKUP(C98,$C$3:$L$6,8,0)),-D98*VLOOKUP(C98,$C$3:$L$6,6,0)/12,0),"")</f>
        <v/>
      </c>
      <c r="G98" s="29" t="str">
        <f ca="1">IF(I98&lt;&gt;Variables!$B$1,IF(C98&lt;&gt;"",$I$9-E98-F98,""),-D98)</f>
        <v/>
      </c>
      <c r="H98" s="29" t="str">
        <f t="shared" ca="1" si="21"/>
        <v/>
      </c>
      <c r="I98" s="31" t="str">
        <f ca="1">IF(C98&lt;&gt;"",IF(D98+$I$9-E98-F98&gt;=0,IF(ISERROR(INDEX($C$3:$C$6,MATCH(C98,$C$3:$C$6,0)+1,0)),Variables!$B$1,INDEX($C$3:$C$6,MATCH(C98,$C$3:$C$6,0)+1,0)),""),"")</f>
        <v/>
      </c>
      <c r="J98" s="29" t="str">
        <f ca="1">IF(ISERROR(VLOOKUP(I98,$C$3:$L$6,5,0)),"",IF(OR(VLOOKUP(I98,$C$3:$L$6,5,0)=Variables!$B$5,B98&gt;VLOOKUP(I98,$C$3:$L$6,8,0)),IF(VLOOKUP(I98,$C$3:$L$6,5,0)=Variables!$B$5,((YEAR(B98)-YEAR($B$12))*12+MONTH(B98)-MONTH($B$12)),((YEAR(B98)-YEAR(VLOOKUP(I98,$C$3:$L$6,8,0)))*12+MONTH(B98)-MONTH(VLOOKUP(I98,$C$3:$L$6,8,0))))*(VLOOKUP(I98,$C$3:$L$6,10,0)*VLOOKUP(I98,$C$3:$L$6,6,0)/12),0))</f>
        <v/>
      </c>
      <c r="K98" s="29" t="str">
        <f ca="1">IF(C98&lt;&gt;"",IF(I98&lt;&gt;"",IF(ISERROR(VLOOKUP(I98,$C$3:$L$6,10,0)),"",VLOOKUP(I98,$C$3:$L$6,10,0)+J98+IF(OR(VLOOKUP(I98,$C$3:$L$6,5,0)=Variables!$B$5,B98&gt;VLOOKUP(I98,$C$3:$L$6,8,0)),IF(VLOOKUP(I98,$C$3:$L$6,5,0)=Variables!$B$5,((YEAR(B98)-YEAR($B$12))*12+MONTH(B98)-MONTH($B$12)),((YEAR(B98)-YEAR(VLOOKUP(I98,$C$3:$L$6,8,0)))*12+MONTH(B98)-MONTH(VLOOKUP(I98,$C$3:$L$6,8,0))))*VLOOKUP(I98,$C$3:$L$6,7,0),0)),""),"")</f>
        <v/>
      </c>
      <c r="L98" s="29" t="str">
        <f t="shared" ca="1" si="19"/>
        <v/>
      </c>
      <c r="M98" s="10"/>
      <c r="N98" s="10"/>
    </row>
    <row r="99" spans="1:14" x14ac:dyDescent="0.25">
      <c r="A99" s="10"/>
      <c r="B99" s="14" t="str">
        <f t="shared" ca="1" si="20"/>
        <v/>
      </c>
      <c r="C99" s="14" t="str">
        <f ca="1">IF(I98&lt;&gt;Variables!$B$1,IF(H98&lt;&gt;0,C98,I98),"")</f>
        <v/>
      </c>
      <c r="D99" s="29" t="str">
        <f t="shared" ca="1" si="17"/>
        <v/>
      </c>
      <c r="E99" s="29" t="str">
        <f t="shared" ca="1" si="18"/>
        <v/>
      </c>
      <c r="F99" s="29" t="str">
        <f ca="1">IF(C99&lt;&gt;"",IF(OR(VLOOKUP(C99,$C$3:$L$6,5,0)=Variables!$B$5,B99&gt;VLOOKUP(C99,$C$3:$L$6,8,0)),-D99*VLOOKUP(C99,$C$3:$L$6,6,0)/12,0),"")</f>
        <v/>
      </c>
      <c r="G99" s="29" t="str">
        <f ca="1">IF(I99&lt;&gt;Variables!$B$1,IF(C99&lt;&gt;"",$I$9-E99-F99,""),-D99)</f>
        <v/>
      </c>
      <c r="H99" s="29" t="str">
        <f t="shared" ca="1" si="21"/>
        <v/>
      </c>
      <c r="I99" s="31" t="str">
        <f ca="1">IF(C99&lt;&gt;"",IF(D99+$I$9-E99-F99&gt;=0,IF(ISERROR(INDEX($C$3:$C$6,MATCH(C99,$C$3:$C$6,0)+1,0)),Variables!$B$1,INDEX($C$3:$C$6,MATCH(C99,$C$3:$C$6,0)+1,0)),""),"")</f>
        <v/>
      </c>
      <c r="J99" s="29" t="str">
        <f ca="1">IF(ISERROR(VLOOKUP(I99,$C$3:$L$6,5,0)),"",IF(OR(VLOOKUP(I99,$C$3:$L$6,5,0)=Variables!$B$5,B99&gt;VLOOKUP(I99,$C$3:$L$6,8,0)),IF(VLOOKUP(I99,$C$3:$L$6,5,0)=Variables!$B$5,((YEAR(B99)-YEAR($B$12))*12+MONTH(B99)-MONTH($B$12)),((YEAR(B99)-YEAR(VLOOKUP(I99,$C$3:$L$6,8,0)))*12+MONTH(B99)-MONTH(VLOOKUP(I99,$C$3:$L$6,8,0))))*(VLOOKUP(I99,$C$3:$L$6,10,0)*VLOOKUP(I99,$C$3:$L$6,6,0)/12),0))</f>
        <v/>
      </c>
      <c r="K99" s="29" t="str">
        <f ca="1">IF(C99&lt;&gt;"",IF(I99&lt;&gt;"",IF(ISERROR(VLOOKUP(I99,$C$3:$L$6,10,0)),"",VLOOKUP(I99,$C$3:$L$6,10,0)+J99+IF(OR(VLOOKUP(I99,$C$3:$L$6,5,0)=Variables!$B$5,B99&gt;VLOOKUP(I99,$C$3:$L$6,8,0)),IF(VLOOKUP(I99,$C$3:$L$6,5,0)=Variables!$B$5,((YEAR(B99)-YEAR($B$12))*12+MONTH(B99)-MONTH($B$12)),((YEAR(B99)-YEAR(VLOOKUP(I99,$C$3:$L$6,8,0)))*12+MONTH(B99)-MONTH(VLOOKUP(I99,$C$3:$L$6,8,0))))*VLOOKUP(I99,$C$3:$L$6,7,0),0)),""),"")</f>
        <v/>
      </c>
      <c r="L99" s="29" t="str">
        <f t="shared" ca="1" si="19"/>
        <v/>
      </c>
      <c r="M99" s="10"/>
      <c r="N99" s="10"/>
    </row>
    <row r="100" spans="1:14" x14ac:dyDescent="0.25">
      <c r="A100" s="10"/>
      <c r="B100" s="14" t="str">
        <f t="shared" ca="1" si="20"/>
        <v/>
      </c>
      <c r="C100" s="14" t="str">
        <f ca="1">IF(I99&lt;&gt;Variables!$B$1,IF(H99&lt;&gt;0,C99,I99),"")</f>
        <v/>
      </c>
      <c r="D100" s="29" t="str">
        <f t="shared" ca="1" si="17"/>
        <v/>
      </c>
      <c r="E100" s="29" t="str">
        <f t="shared" ca="1" si="18"/>
        <v/>
      </c>
      <c r="F100" s="29" t="str">
        <f ca="1">IF(C100&lt;&gt;"",IF(OR(VLOOKUP(C100,$C$3:$L$6,5,0)=Variables!$B$5,B100&gt;VLOOKUP(C100,$C$3:$L$6,8,0)),-D100*VLOOKUP(C100,$C$3:$L$6,6,0)/12,0),"")</f>
        <v/>
      </c>
      <c r="G100" s="29" t="str">
        <f ca="1">IF(I100&lt;&gt;Variables!$B$1,IF(C100&lt;&gt;"",$I$9-E100-F100,""),-D100)</f>
        <v/>
      </c>
      <c r="H100" s="29" t="str">
        <f t="shared" ca="1" si="21"/>
        <v/>
      </c>
      <c r="I100" s="31" t="str">
        <f ca="1">IF(C100&lt;&gt;"",IF(D100+$I$9-E100-F100&gt;=0,IF(ISERROR(INDEX($C$3:$C$6,MATCH(C100,$C$3:$C$6,0)+1,0)),Variables!$B$1,INDEX($C$3:$C$6,MATCH(C100,$C$3:$C$6,0)+1,0)),""),"")</f>
        <v/>
      </c>
      <c r="J100" s="29" t="str">
        <f ca="1">IF(ISERROR(VLOOKUP(I100,$C$3:$L$6,5,0)),"",IF(OR(VLOOKUP(I100,$C$3:$L$6,5,0)=Variables!$B$5,B100&gt;VLOOKUP(I100,$C$3:$L$6,8,0)),IF(VLOOKUP(I100,$C$3:$L$6,5,0)=Variables!$B$5,((YEAR(B100)-YEAR($B$12))*12+MONTH(B100)-MONTH($B$12)),((YEAR(B100)-YEAR(VLOOKUP(I100,$C$3:$L$6,8,0)))*12+MONTH(B100)-MONTH(VLOOKUP(I100,$C$3:$L$6,8,0))))*(VLOOKUP(I100,$C$3:$L$6,10,0)*VLOOKUP(I100,$C$3:$L$6,6,0)/12),0))</f>
        <v/>
      </c>
      <c r="K100" s="29" t="str">
        <f ca="1">IF(C100&lt;&gt;"",IF(I100&lt;&gt;"",IF(ISERROR(VLOOKUP(I100,$C$3:$L$6,10,0)),"",VLOOKUP(I100,$C$3:$L$6,10,0)+J100+IF(OR(VLOOKUP(I100,$C$3:$L$6,5,0)=Variables!$B$5,B100&gt;VLOOKUP(I100,$C$3:$L$6,8,0)),IF(VLOOKUP(I100,$C$3:$L$6,5,0)=Variables!$B$5,((YEAR(B100)-YEAR($B$12))*12+MONTH(B100)-MONTH($B$12)),((YEAR(B100)-YEAR(VLOOKUP(I100,$C$3:$L$6,8,0)))*12+MONTH(B100)-MONTH(VLOOKUP(I100,$C$3:$L$6,8,0))))*VLOOKUP(I100,$C$3:$L$6,7,0),0)),""),"")</f>
        <v/>
      </c>
      <c r="L100" s="29" t="str">
        <f t="shared" ca="1" si="19"/>
        <v/>
      </c>
      <c r="M100" s="10"/>
      <c r="N100" s="10"/>
    </row>
    <row r="101" spans="1:14" x14ac:dyDescent="0.25">
      <c r="A101" s="10"/>
      <c r="B101" s="14" t="str">
        <f t="shared" ca="1" si="20"/>
        <v/>
      </c>
      <c r="C101" s="14" t="str">
        <f ca="1">IF(I100&lt;&gt;Variables!$B$1,IF(H100&lt;&gt;0,C100,I100),"")</f>
        <v/>
      </c>
      <c r="D101" s="29" t="str">
        <f t="shared" ca="1" si="17"/>
        <v/>
      </c>
      <c r="E101" s="29" t="str">
        <f t="shared" ca="1" si="18"/>
        <v/>
      </c>
      <c r="F101" s="29" t="str">
        <f ca="1">IF(C101&lt;&gt;"",IF(OR(VLOOKUP(C101,$C$3:$L$6,5,0)=Variables!$B$5,B101&gt;VLOOKUP(C101,$C$3:$L$6,8,0)),-D101*VLOOKUP(C101,$C$3:$L$6,6,0)/12,0),"")</f>
        <v/>
      </c>
      <c r="G101" s="29" t="str">
        <f ca="1">IF(I101&lt;&gt;Variables!$B$1,IF(C101&lt;&gt;"",$I$9-E101-F101,""),-D101)</f>
        <v/>
      </c>
      <c r="H101" s="29" t="str">
        <f t="shared" ca="1" si="21"/>
        <v/>
      </c>
      <c r="I101" s="31" t="str">
        <f ca="1">IF(C101&lt;&gt;"",IF(D101+$I$9-E101-F101&gt;=0,IF(ISERROR(INDEX($C$3:$C$6,MATCH(C101,$C$3:$C$6,0)+1,0)),Variables!$B$1,INDEX($C$3:$C$6,MATCH(C101,$C$3:$C$6,0)+1,0)),""),"")</f>
        <v/>
      </c>
      <c r="J101" s="29" t="str">
        <f ca="1">IF(ISERROR(VLOOKUP(I101,$C$3:$L$6,5,0)),"",IF(OR(VLOOKUP(I101,$C$3:$L$6,5,0)=Variables!$B$5,B101&gt;VLOOKUP(I101,$C$3:$L$6,8,0)),IF(VLOOKUP(I101,$C$3:$L$6,5,0)=Variables!$B$5,((YEAR(B101)-YEAR($B$12))*12+MONTH(B101)-MONTH($B$12)),((YEAR(B101)-YEAR(VLOOKUP(I101,$C$3:$L$6,8,0)))*12+MONTH(B101)-MONTH(VLOOKUP(I101,$C$3:$L$6,8,0))))*(VLOOKUP(I101,$C$3:$L$6,10,0)*VLOOKUP(I101,$C$3:$L$6,6,0)/12),0))</f>
        <v/>
      </c>
      <c r="K101" s="29" t="str">
        <f ca="1">IF(C101&lt;&gt;"",IF(I101&lt;&gt;"",IF(ISERROR(VLOOKUP(I101,$C$3:$L$6,10,0)),"",VLOOKUP(I101,$C$3:$L$6,10,0)+J101+IF(OR(VLOOKUP(I101,$C$3:$L$6,5,0)=Variables!$B$5,B101&gt;VLOOKUP(I101,$C$3:$L$6,8,0)),IF(VLOOKUP(I101,$C$3:$L$6,5,0)=Variables!$B$5,((YEAR(B101)-YEAR($B$12))*12+MONTH(B101)-MONTH($B$12)),((YEAR(B101)-YEAR(VLOOKUP(I101,$C$3:$L$6,8,0)))*12+MONTH(B101)-MONTH(VLOOKUP(I101,$C$3:$L$6,8,0))))*VLOOKUP(I101,$C$3:$L$6,7,0),0)),""),"")</f>
        <v/>
      </c>
      <c r="L101" s="29" t="str">
        <f t="shared" ca="1" si="19"/>
        <v/>
      </c>
      <c r="M101" s="10"/>
      <c r="N101" s="10"/>
    </row>
    <row r="102" spans="1:14" x14ac:dyDescent="0.25">
      <c r="A102" s="10"/>
      <c r="B102" s="14" t="str">
        <f t="shared" ca="1" si="20"/>
        <v/>
      </c>
      <c r="C102" s="14" t="str">
        <f ca="1">IF(I101&lt;&gt;Variables!$B$1,IF(H101&lt;&gt;0,C101,I101),"")</f>
        <v/>
      </c>
      <c r="D102" s="29" t="str">
        <f t="shared" ca="1" si="17"/>
        <v/>
      </c>
      <c r="E102" s="29" t="str">
        <f t="shared" ca="1" si="18"/>
        <v/>
      </c>
      <c r="F102" s="29" t="str">
        <f ca="1">IF(C102&lt;&gt;"",IF(OR(VLOOKUP(C102,$C$3:$L$6,5,0)=Variables!$B$5,B102&gt;VLOOKUP(C102,$C$3:$L$6,8,0)),-D102*VLOOKUP(C102,$C$3:$L$6,6,0)/12,0),"")</f>
        <v/>
      </c>
      <c r="G102" s="29" t="str">
        <f ca="1">IF(I102&lt;&gt;Variables!$B$1,IF(C102&lt;&gt;"",$I$9-E102-F102,""),-D102)</f>
        <v/>
      </c>
      <c r="H102" s="29" t="str">
        <f t="shared" ca="1" si="21"/>
        <v/>
      </c>
      <c r="I102" s="31" t="str">
        <f ca="1">IF(C102&lt;&gt;"",IF(D102+$I$9-E102-F102&gt;=0,IF(ISERROR(INDEX($C$3:$C$6,MATCH(C102,$C$3:$C$6,0)+1,0)),Variables!$B$1,INDEX($C$3:$C$6,MATCH(C102,$C$3:$C$6,0)+1,0)),""),"")</f>
        <v/>
      </c>
      <c r="J102" s="29" t="str">
        <f ca="1">IF(ISERROR(VLOOKUP(I102,$C$3:$L$6,5,0)),"",IF(OR(VLOOKUP(I102,$C$3:$L$6,5,0)=Variables!$B$5,B102&gt;VLOOKUP(I102,$C$3:$L$6,8,0)),IF(VLOOKUP(I102,$C$3:$L$6,5,0)=Variables!$B$5,((YEAR(B102)-YEAR($B$12))*12+MONTH(B102)-MONTH($B$12)),((YEAR(B102)-YEAR(VLOOKUP(I102,$C$3:$L$6,8,0)))*12+MONTH(B102)-MONTH(VLOOKUP(I102,$C$3:$L$6,8,0))))*(VLOOKUP(I102,$C$3:$L$6,10,0)*VLOOKUP(I102,$C$3:$L$6,6,0)/12),0))</f>
        <v/>
      </c>
      <c r="K102" s="29" t="str">
        <f ca="1">IF(C102&lt;&gt;"",IF(I102&lt;&gt;"",IF(ISERROR(VLOOKUP(I102,$C$3:$L$6,10,0)),"",VLOOKUP(I102,$C$3:$L$6,10,0)+J102+IF(OR(VLOOKUP(I102,$C$3:$L$6,5,0)=Variables!$B$5,B102&gt;VLOOKUP(I102,$C$3:$L$6,8,0)),IF(VLOOKUP(I102,$C$3:$L$6,5,0)=Variables!$B$5,((YEAR(B102)-YEAR($B$12))*12+MONTH(B102)-MONTH($B$12)),((YEAR(B102)-YEAR(VLOOKUP(I102,$C$3:$L$6,8,0)))*12+MONTH(B102)-MONTH(VLOOKUP(I102,$C$3:$L$6,8,0))))*VLOOKUP(I102,$C$3:$L$6,7,0),0)),""),"")</f>
        <v/>
      </c>
      <c r="L102" s="29" t="str">
        <f t="shared" ca="1" si="19"/>
        <v/>
      </c>
      <c r="M102" s="10"/>
      <c r="N102" s="10"/>
    </row>
    <row r="103" spans="1:14" x14ac:dyDescent="0.25">
      <c r="A103" s="10"/>
      <c r="B103" s="14" t="str">
        <f t="shared" ca="1" si="20"/>
        <v/>
      </c>
      <c r="C103" s="14" t="str">
        <f ca="1">IF(I102&lt;&gt;Variables!$B$1,IF(H102&lt;&gt;0,C102,I102),"")</f>
        <v/>
      </c>
      <c r="D103" s="29" t="str">
        <f t="shared" ca="1" si="17"/>
        <v/>
      </c>
      <c r="E103" s="29" t="str">
        <f t="shared" ca="1" si="18"/>
        <v/>
      </c>
      <c r="F103" s="29" t="str">
        <f ca="1">IF(C103&lt;&gt;"",IF(OR(VLOOKUP(C103,$C$3:$L$6,5,0)=Variables!$B$5,B103&gt;VLOOKUP(C103,$C$3:$L$6,8,0)),-D103*VLOOKUP(C103,$C$3:$L$6,6,0)/12,0),"")</f>
        <v/>
      </c>
      <c r="G103" s="29" t="str">
        <f ca="1">IF(I103&lt;&gt;Variables!$B$1,IF(C103&lt;&gt;"",$I$9-E103-F103,""),-D103)</f>
        <v/>
      </c>
      <c r="H103" s="29" t="str">
        <f t="shared" ca="1" si="21"/>
        <v/>
      </c>
      <c r="I103" s="31" t="str">
        <f ca="1">IF(C103&lt;&gt;"",IF(D103+$I$9-E103-F103&gt;=0,IF(ISERROR(INDEX($C$3:$C$6,MATCH(C103,$C$3:$C$6,0)+1,0)),Variables!$B$1,INDEX($C$3:$C$6,MATCH(C103,$C$3:$C$6,0)+1,0)),""),"")</f>
        <v/>
      </c>
      <c r="J103" s="29" t="str">
        <f ca="1">IF(ISERROR(VLOOKUP(I103,$C$3:$L$6,5,0)),"",IF(OR(VLOOKUP(I103,$C$3:$L$6,5,0)=Variables!$B$5,B103&gt;VLOOKUP(I103,$C$3:$L$6,8,0)),IF(VLOOKUP(I103,$C$3:$L$6,5,0)=Variables!$B$5,((YEAR(B103)-YEAR($B$12))*12+MONTH(B103)-MONTH($B$12)),((YEAR(B103)-YEAR(VLOOKUP(I103,$C$3:$L$6,8,0)))*12+MONTH(B103)-MONTH(VLOOKUP(I103,$C$3:$L$6,8,0))))*(VLOOKUP(I103,$C$3:$L$6,10,0)*VLOOKUP(I103,$C$3:$L$6,6,0)/12),0))</f>
        <v/>
      </c>
      <c r="K103" s="29" t="str">
        <f ca="1">IF(C103&lt;&gt;"",IF(I103&lt;&gt;"",IF(ISERROR(VLOOKUP(I103,$C$3:$L$6,10,0)),"",VLOOKUP(I103,$C$3:$L$6,10,0)+J103+IF(OR(VLOOKUP(I103,$C$3:$L$6,5,0)=Variables!$B$5,B103&gt;VLOOKUP(I103,$C$3:$L$6,8,0)),IF(VLOOKUP(I103,$C$3:$L$6,5,0)=Variables!$B$5,((YEAR(B103)-YEAR($B$12))*12+MONTH(B103)-MONTH($B$12)),((YEAR(B103)-YEAR(VLOOKUP(I103,$C$3:$L$6,8,0)))*12+MONTH(B103)-MONTH(VLOOKUP(I103,$C$3:$L$6,8,0))))*VLOOKUP(I103,$C$3:$L$6,7,0),0)),""),"")</f>
        <v/>
      </c>
      <c r="L103" s="29" t="str">
        <f t="shared" ca="1" si="19"/>
        <v/>
      </c>
      <c r="M103" s="10"/>
      <c r="N103" s="10"/>
    </row>
    <row r="104" spans="1:14" x14ac:dyDescent="0.25">
      <c r="A104" s="10"/>
      <c r="B104" s="14" t="str">
        <f t="shared" ca="1" si="20"/>
        <v/>
      </c>
      <c r="C104" s="14" t="str">
        <f ca="1">IF(I103&lt;&gt;Variables!$B$1,IF(H103&lt;&gt;0,C103,I103),"")</f>
        <v/>
      </c>
      <c r="D104" s="29" t="str">
        <f t="shared" ca="1" si="17"/>
        <v/>
      </c>
      <c r="E104" s="29" t="str">
        <f t="shared" ca="1" si="18"/>
        <v/>
      </c>
      <c r="F104" s="29" t="str">
        <f ca="1">IF(C104&lt;&gt;"",IF(OR(VLOOKUP(C104,$C$3:$L$6,5,0)=Variables!$B$5,B104&gt;VLOOKUP(C104,$C$3:$L$6,8,0)),-D104*VLOOKUP(C104,$C$3:$L$6,6,0)/12,0),"")</f>
        <v/>
      </c>
      <c r="G104" s="29" t="str">
        <f ca="1">IF(I104&lt;&gt;Variables!$B$1,IF(C104&lt;&gt;"",$I$9-E104-F104,""),-D104)</f>
        <v/>
      </c>
      <c r="H104" s="29" t="str">
        <f t="shared" ca="1" si="21"/>
        <v/>
      </c>
      <c r="I104" s="31" t="str">
        <f ca="1">IF(C104&lt;&gt;"",IF(D104+$I$9-E104-F104&gt;=0,IF(ISERROR(INDEX($C$3:$C$6,MATCH(C104,$C$3:$C$6,0)+1,0)),Variables!$B$1,INDEX($C$3:$C$6,MATCH(C104,$C$3:$C$6,0)+1,0)),""),"")</f>
        <v/>
      </c>
      <c r="J104" s="29" t="str">
        <f ca="1">IF(ISERROR(VLOOKUP(I104,$C$3:$L$6,5,0)),"",IF(OR(VLOOKUP(I104,$C$3:$L$6,5,0)=Variables!$B$5,B104&gt;VLOOKUP(I104,$C$3:$L$6,8,0)),IF(VLOOKUP(I104,$C$3:$L$6,5,0)=Variables!$B$5,((YEAR(B104)-YEAR($B$12))*12+MONTH(B104)-MONTH($B$12)),((YEAR(B104)-YEAR(VLOOKUP(I104,$C$3:$L$6,8,0)))*12+MONTH(B104)-MONTH(VLOOKUP(I104,$C$3:$L$6,8,0))))*(VLOOKUP(I104,$C$3:$L$6,10,0)*VLOOKUP(I104,$C$3:$L$6,6,0)/12),0))</f>
        <v/>
      </c>
      <c r="K104" s="29" t="str">
        <f ca="1">IF(C104&lt;&gt;"",IF(I104&lt;&gt;"",IF(ISERROR(VLOOKUP(I104,$C$3:$L$6,10,0)),"",VLOOKUP(I104,$C$3:$L$6,10,0)+J104+IF(OR(VLOOKUP(I104,$C$3:$L$6,5,0)=Variables!$B$5,B104&gt;VLOOKUP(I104,$C$3:$L$6,8,0)),IF(VLOOKUP(I104,$C$3:$L$6,5,0)=Variables!$B$5,((YEAR(B104)-YEAR($B$12))*12+MONTH(B104)-MONTH($B$12)),((YEAR(B104)-YEAR(VLOOKUP(I104,$C$3:$L$6,8,0)))*12+MONTH(B104)-MONTH(VLOOKUP(I104,$C$3:$L$6,8,0))))*VLOOKUP(I104,$C$3:$L$6,7,0),0)),""),"")</f>
        <v/>
      </c>
      <c r="L104" s="29" t="str">
        <f t="shared" ca="1" si="19"/>
        <v/>
      </c>
      <c r="M104" s="10"/>
      <c r="N104" s="10"/>
    </row>
    <row r="105" spans="1:14" x14ac:dyDescent="0.25">
      <c r="A105" s="10"/>
      <c r="B105" s="14" t="str">
        <f t="shared" ca="1" si="20"/>
        <v/>
      </c>
      <c r="C105" s="14" t="str">
        <f ca="1">IF(I104&lt;&gt;Variables!$B$1,IF(H104&lt;&gt;0,C104,I104),"")</f>
        <v/>
      </c>
      <c r="D105" s="29" t="str">
        <f t="shared" ca="1" si="17"/>
        <v/>
      </c>
      <c r="E105" s="29" t="str">
        <f t="shared" ca="1" si="18"/>
        <v/>
      </c>
      <c r="F105" s="29" t="str">
        <f ca="1">IF(C105&lt;&gt;"",IF(OR(VLOOKUP(C105,$C$3:$L$6,5,0)=Variables!$B$5,B105&gt;VLOOKUP(C105,$C$3:$L$6,8,0)),-D105*VLOOKUP(C105,$C$3:$L$6,6,0)/12,0),"")</f>
        <v/>
      </c>
      <c r="G105" s="29" t="str">
        <f ca="1">IF(I105&lt;&gt;Variables!$B$1,IF(C105&lt;&gt;"",$I$9-E105-F105,""),-D105)</f>
        <v/>
      </c>
      <c r="H105" s="29" t="str">
        <f t="shared" ca="1" si="21"/>
        <v/>
      </c>
      <c r="I105" s="31" t="str">
        <f ca="1">IF(C105&lt;&gt;"",IF(D105+$I$9-E105-F105&gt;=0,IF(ISERROR(INDEX($C$3:$C$6,MATCH(C105,$C$3:$C$6,0)+1,0)),Variables!$B$1,INDEX($C$3:$C$6,MATCH(C105,$C$3:$C$6,0)+1,0)),""),"")</f>
        <v/>
      </c>
      <c r="J105" s="29" t="str">
        <f ca="1">IF(ISERROR(VLOOKUP(I105,$C$3:$L$6,5,0)),"",IF(OR(VLOOKUP(I105,$C$3:$L$6,5,0)=Variables!$B$5,B105&gt;VLOOKUP(I105,$C$3:$L$6,8,0)),IF(VLOOKUP(I105,$C$3:$L$6,5,0)=Variables!$B$5,((YEAR(B105)-YEAR($B$12))*12+MONTH(B105)-MONTH($B$12)),((YEAR(B105)-YEAR(VLOOKUP(I105,$C$3:$L$6,8,0)))*12+MONTH(B105)-MONTH(VLOOKUP(I105,$C$3:$L$6,8,0))))*(VLOOKUP(I105,$C$3:$L$6,10,0)*VLOOKUP(I105,$C$3:$L$6,6,0)/12),0))</f>
        <v/>
      </c>
      <c r="K105" s="29" t="str">
        <f ca="1">IF(C105&lt;&gt;"",IF(I105&lt;&gt;"",IF(ISERROR(VLOOKUP(I105,$C$3:$L$6,10,0)),"",VLOOKUP(I105,$C$3:$L$6,10,0)+J105+IF(OR(VLOOKUP(I105,$C$3:$L$6,5,0)=Variables!$B$5,B105&gt;VLOOKUP(I105,$C$3:$L$6,8,0)),IF(VLOOKUP(I105,$C$3:$L$6,5,0)=Variables!$B$5,((YEAR(B105)-YEAR($B$12))*12+MONTH(B105)-MONTH($B$12)),((YEAR(B105)-YEAR(VLOOKUP(I105,$C$3:$L$6,8,0)))*12+MONTH(B105)-MONTH(VLOOKUP(I105,$C$3:$L$6,8,0))))*VLOOKUP(I105,$C$3:$L$6,7,0),0)),""),"")</f>
        <v/>
      </c>
      <c r="L105" s="29" t="str">
        <f t="shared" ca="1" si="19"/>
        <v/>
      </c>
      <c r="M105" s="10"/>
      <c r="N105" s="10"/>
    </row>
    <row r="106" spans="1:14" x14ac:dyDescent="0.25">
      <c r="A106" s="10"/>
      <c r="B106" s="14" t="str">
        <f t="shared" ca="1" si="20"/>
        <v/>
      </c>
      <c r="C106" s="14" t="str">
        <f ca="1">IF(I105&lt;&gt;Variables!$B$1,IF(H105&lt;&gt;0,C105,I105),"")</f>
        <v/>
      </c>
      <c r="D106" s="29" t="str">
        <f t="shared" ca="1" si="17"/>
        <v/>
      </c>
      <c r="E106" s="29" t="str">
        <f t="shared" ca="1" si="18"/>
        <v/>
      </c>
      <c r="F106" s="29" t="str">
        <f ca="1">IF(C106&lt;&gt;"",IF(OR(VLOOKUP(C106,$C$3:$L$6,5,0)=Variables!$B$5,B106&gt;VLOOKUP(C106,$C$3:$L$6,8,0)),-D106*VLOOKUP(C106,$C$3:$L$6,6,0)/12,0),"")</f>
        <v/>
      </c>
      <c r="G106" s="29" t="str">
        <f ca="1">IF(I106&lt;&gt;Variables!$B$1,IF(C106&lt;&gt;"",$I$9-E106-F106,""),-D106)</f>
        <v/>
      </c>
      <c r="H106" s="29" t="str">
        <f t="shared" ca="1" si="21"/>
        <v/>
      </c>
      <c r="I106" s="31" t="str">
        <f ca="1">IF(C106&lt;&gt;"",IF(D106+$I$9-E106-F106&gt;=0,IF(ISERROR(INDEX($C$3:$C$6,MATCH(C106,$C$3:$C$6,0)+1,0)),Variables!$B$1,INDEX($C$3:$C$6,MATCH(C106,$C$3:$C$6,0)+1,0)),""),"")</f>
        <v/>
      </c>
      <c r="J106" s="29" t="str">
        <f ca="1">IF(ISERROR(VLOOKUP(I106,$C$3:$L$6,5,0)),"",IF(OR(VLOOKUP(I106,$C$3:$L$6,5,0)=Variables!$B$5,B106&gt;VLOOKUP(I106,$C$3:$L$6,8,0)),IF(VLOOKUP(I106,$C$3:$L$6,5,0)=Variables!$B$5,((YEAR(B106)-YEAR($B$12))*12+MONTH(B106)-MONTH($B$12)),((YEAR(B106)-YEAR(VLOOKUP(I106,$C$3:$L$6,8,0)))*12+MONTH(B106)-MONTH(VLOOKUP(I106,$C$3:$L$6,8,0))))*(VLOOKUP(I106,$C$3:$L$6,10,0)*VLOOKUP(I106,$C$3:$L$6,6,0)/12),0))</f>
        <v/>
      </c>
      <c r="K106" s="29" t="str">
        <f ca="1">IF(C106&lt;&gt;"",IF(I106&lt;&gt;"",IF(ISERROR(VLOOKUP(I106,$C$3:$L$6,10,0)),"",VLOOKUP(I106,$C$3:$L$6,10,0)+J106+IF(OR(VLOOKUP(I106,$C$3:$L$6,5,0)=Variables!$B$5,B106&gt;VLOOKUP(I106,$C$3:$L$6,8,0)),IF(VLOOKUP(I106,$C$3:$L$6,5,0)=Variables!$B$5,((YEAR(B106)-YEAR($B$12))*12+MONTH(B106)-MONTH($B$12)),((YEAR(B106)-YEAR(VLOOKUP(I106,$C$3:$L$6,8,0)))*12+MONTH(B106)-MONTH(VLOOKUP(I106,$C$3:$L$6,8,0))))*VLOOKUP(I106,$C$3:$L$6,7,0),0)),""),"")</f>
        <v/>
      </c>
      <c r="L106" s="29" t="str">
        <f t="shared" ca="1" si="19"/>
        <v/>
      </c>
      <c r="M106" s="10"/>
      <c r="N106" s="10"/>
    </row>
    <row r="107" spans="1:14" x14ac:dyDescent="0.25">
      <c r="A107" s="10"/>
      <c r="B107" s="14" t="str">
        <f t="shared" ca="1" si="20"/>
        <v/>
      </c>
      <c r="C107" s="14" t="str">
        <f ca="1">IF(I106&lt;&gt;Variables!$B$1,IF(H106&lt;&gt;0,C106,I106),"")</f>
        <v/>
      </c>
      <c r="D107" s="29" t="str">
        <f t="shared" ca="1" si="17"/>
        <v/>
      </c>
      <c r="E107" s="29" t="str">
        <f t="shared" ca="1" si="18"/>
        <v/>
      </c>
      <c r="F107" s="29" t="str">
        <f ca="1">IF(C107&lt;&gt;"",IF(OR(VLOOKUP(C107,$C$3:$L$6,5,0)=Variables!$B$5,B107&gt;VLOOKUP(C107,$C$3:$L$6,8,0)),-D107*VLOOKUP(C107,$C$3:$L$6,6,0)/12,0),"")</f>
        <v/>
      </c>
      <c r="G107" s="29" t="str">
        <f ca="1">IF(I107&lt;&gt;Variables!$B$1,IF(C107&lt;&gt;"",$I$9-E107-F107,""),-D107)</f>
        <v/>
      </c>
      <c r="H107" s="29" t="str">
        <f t="shared" ca="1" si="21"/>
        <v/>
      </c>
      <c r="I107" s="31" t="str">
        <f ca="1">IF(C107&lt;&gt;"",IF(D107+$I$9-E107-F107&gt;=0,IF(ISERROR(INDEX($C$3:$C$6,MATCH(C107,$C$3:$C$6,0)+1,0)),Variables!$B$1,INDEX($C$3:$C$6,MATCH(C107,$C$3:$C$6,0)+1,0)),""),"")</f>
        <v/>
      </c>
      <c r="J107" s="29" t="str">
        <f ca="1">IF(ISERROR(VLOOKUP(I107,$C$3:$L$6,5,0)),"",IF(OR(VLOOKUP(I107,$C$3:$L$6,5,0)=Variables!$B$5,B107&gt;VLOOKUP(I107,$C$3:$L$6,8,0)),IF(VLOOKUP(I107,$C$3:$L$6,5,0)=Variables!$B$5,((YEAR(B107)-YEAR($B$12))*12+MONTH(B107)-MONTH($B$12)),((YEAR(B107)-YEAR(VLOOKUP(I107,$C$3:$L$6,8,0)))*12+MONTH(B107)-MONTH(VLOOKUP(I107,$C$3:$L$6,8,0))))*(VLOOKUP(I107,$C$3:$L$6,10,0)*VLOOKUP(I107,$C$3:$L$6,6,0)/12),0))</f>
        <v/>
      </c>
      <c r="K107" s="29" t="str">
        <f ca="1">IF(C107&lt;&gt;"",IF(I107&lt;&gt;"",IF(ISERROR(VLOOKUP(I107,$C$3:$L$6,10,0)),"",VLOOKUP(I107,$C$3:$L$6,10,0)+J107+IF(OR(VLOOKUP(I107,$C$3:$L$6,5,0)=Variables!$B$5,B107&gt;VLOOKUP(I107,$C$3:$L$6,8,0)),IF(VLOOKUP(I107,$C$3:$L$6,5,0)=Variables!$B$5,((YEAR(B107)-YEAR($B$12))*12+MONTH(B107)-MONTH($B$12)),((YEAR(B107)-YEAR(VLOOKUP(I107,$C$3:$L$6,8,0)))*12+MONTH(B107)-MONTH(VLOOKUP(I107,$C$3:$L$6,8,0))))*VLOOKUP(I107,$C$3:$L$6,7,0),0)),""),"")</f>
        <v/>
      </c>
      <c r="L107" s="29" t="str">
        <f t="shared" ca="1" si="19"/>
        <v/>
      </c>
      <c r="M107" s="10"/>
      <c r="N107" s="10"/>
    </row>
    <row r="108" spans="1:14" x14ac:dyDescent="0.25">
      <c r="A108" s="10"/>
      <c r="B108" s="14" t="str">
        <f t="shared" ca="1" si="20"/>
        <v/>
      </c>
      <c r="C108" s="14" t="str">
        <f ca="1">IF(I107&lt;&gt;Variables!$B$1,IF(H107&lt;&gt;0,C107,I107),"")</f>
        <v/>
      </c>
      <c r="D108" s="29" t="str">
        <f t="shared" ca="1" si="17"/>
        <v/>
      </c>
      <c r="E108" s="29" t="str">
        <f t="shared" ca="1" si="18"/>
        <v/>
      </c>
      <c r="F108" s="29" t="str">
        <f ca="1">IF(C108&lt;&gt;"",IF(OR(VLOOKUP(C108,$C$3:$L$6,5,0)=Variables!$B$5,B108&gt;VLOOKUP(C108,$C$3:$L$6,8,0)),-D108*VLOOKUP(C108,$C$3:$L$6,6,0)/12,0),"")</f>
        <v/>
      </c>
      <c r="G108" s="29" t="str">
        <f ca="1">IF(I108&lt;&gt;Variables!$B$1,IF(C108&lt;&gt;"",$I$9-E108-F108,""),-D108)</f>
        <v/>
      </c>
      <c r="H108" s="29" t="str">
        <f t="shared" ca="1" si="21"/>
        <v/>
      </c>
      <c r="I108" s="31" t="str">
        <f ca="1">IF(C108&lt;&gt;"",IF(D108+$I$9-E108-F108&gt;=0,IF(ISERROR(INDEX($C$3:$C$6,MATCH(C108,$C$3:$C$6,0)+1,0)),Variables!$B$1,INDEX($C$3:$C$6,MATCH(C108,$C$3:$C$6,0)+1,0)),""),"")</f>
        <v/>
      </c>
      <c r="J108" s="29" t="str">
        <f ca="1">IF(ISERROR(VLOOKUP(I108,$C$3:$L$6,5,0)),"",IF(OR(VLOOKUP(I108,$C$3:$L$6,5,0)=Variables!$B$5,B108&gt;VLOOKUP(I108,$C$3:$L$6,8,0)),IF(VLOOKUP(I108,$C$3:$L$6,5,0)=Variables!$B$5,((YEAR(B108)-YEAR($B$12))*12+MONTH(B108)-MONTH($B$12)),((YEAR(B108)-YEAR(VLOOKUP(I108,$C$3:$L$6,8,0)))*12+MONTH(B108)-MONTH(VLOOKUP(I108,$C$3:$L$6,8,0))))*(VLOOKUP(I108,$C$3:$L$6,10,0)*VLOOKUP(I108,$C$3:$L$6,6,0)/12),0))</f>
        <v/>
      </c>
      <c r="K108" s="29" t="str">
        <f ca="1">IF(C108&lt;&gt;"",IF(I108&lt;&gt;"",IF(ISERROR(VLOOKUP(I108,$C$3:$L$6,10,0)),"",VLOOKUP(I108,$C$3:$L$6,10,0)+J108+IF(OR(VLOOKUP(I108,$C$3:$L$6,5,0)=Variables!$B$5,B108&gt;VLOOKUP(I108,$C$3:$L$6,8,0)),IF(VLOOKUP(I108,$C$3:$L$6,5,0)=Variables!$B$5,((YEAR(B108)-YEAR($B$12))*12+MONTH(B108)-MONTH($B$12)),((YEAR(B108)-YEAR(VLOOKUP(I108,$C$3:$L$6,8,0)))*12+MONTH(B108)-MONTH(VLOOKUP(I108,$C$3:$L$6,8,0))))*VLOOKUP(I108,$C$3:$L$6,7,0),0)),""),"")</f>
        <v/>
      </c>
      <c r="L108" s="29" t="str">
        <f t="shared" ca="1" si="19"/>
        <v/>
      </c>
      <c r="M108" s="10"/>
      <c r="N108" s="10"/>
    </row>
    <row r="109" spans="1:14" x14ac:dyDescent="0.25">
      <c r="A109" s="10"/>
      <c r="B109" s="14" t="str">
        <f t="shared" ca="1" si="20"/>
        <v/>
      </c>
      <c r="C109" s="14" t="str">
        <f ca="1">IF(I108&lt;&gt;Variables!$B$1,IF(H108&lt;&gt;0,C108,I108),"")</f>
        <v/>
      </c>
      <c r="D109" s="29" t="str">
        <f t="shared" ca="1" si="17"/>
        <v/>
      </c>
      <c r="E109" s="29" t="str">
        <f t="shared" ca="1" si="18"/>
        <v/>
      </c>
      <c r="F109" s="29" t="str">
        <f ca="1">IF(C109&lt;&gt;"",IF(OR(VLOOKUP(C109,$C$3:$L$6,5,0)=Variables!$B$5,B109&gt;VLOOKUP(C109,$C$3:$L$6,8,0)),-D109*VLOOKUP(C109,$C$3:$L$6,6,0)/12,0),"")</f>
        <v/>
      </c>
      <c r="G109" s="29" t="str">
        <f ca="1">IF(I109&lt;&gt;Variables!$B$1,IF(C109&lt;&gt;"",$I$9-E109-F109,""),-D109)</f>
        <v/>
      </c>
      <c r="H109" s="29" t="str">
        <f t="shared" ca="1" si="21"/>
        <v/>
      </c>
      <c r="I109" s="31" t="str">
        <f ca="1">IF(C109&lt;&gt;"",IF(D109+$I$9-E109-F109&gt;=0,IF(ISERROR(INDEX($C$3:$C$6,MATCH(C109,$C$3:$C$6,0)+1,0)),Variables!$B$1,INDEX($C$3:$C$6,MATCH(C109,$C$3:$C$6,0)+1,0)),""),"")</f>
        <v/>
      </c>
      <c r="J109" s="29" t="str">
        <f ca="1">IF(ISERROR(VLOOKUP(I109,$C$3:$L$6,5,0)),"",IF(OR(VLOOKUP(I109,$C$3:$L$6,5,0)=Variables!$B$5,B109&gt;VLOOKUP(I109,$C$3:$L$6,8,0)),IF(VLOOKUP(I109,$C$3:$L$6,5,0)=Variables!$B$5,((YEAR(B109)-YEAR($B$12))*12+MONTH(B109)-MONTH($B$12)),((YEAR(B109)-YEAR(VLOOKUP(I109,$C$3:$L$6,8,0)))*12+MONTH(B109)-MONTH(VLOOKUP(I109,$C$3:$L$6,8,0))))*(VLOOKUP(I109,$C$3:$L$6,10,0)*VLOOKUP(I109,$C$3:$L$6,6,0)/12),0))</f>
        <v/>
      </c>
      <c r="K109" s="29" t="str">
        <f ca="1">IF(C109&lt;&gt;"",IF(I109&lt;&gt;"",IF(ISERROR(VLOOKUP(I109,$C$3:$L$6,10,0)),"",VLOOKUP(I109,$C$3:$L$6,10,0)+J109+IF(OR(VLOOKUP(I109,$C$3:$L$6,5,0)=Variables!$B$5,B109&gt;VLOOKUP(I109,$C$3:$L$6,8,0)),IF(VLOOKUP(I109,$C$3:$L$6,5,0)=Variables!$B$5,((YEAR(B109)-YEAR($B$12))*12+MONTH(B109)-MONTH($B$12)),((YEAR(B109)-YEAR(VLOOKUP(I109,$C$3:$L$6,8,0)))*12+MONTH(B109)-MONTH(VLOOKUP(I109,$C$3:$L$6,8,0))))*VLOOKUP(I109,$C$3:$L$6,7,0),0)),""),"")</f>
        <v/>
      </c>
      <c r="L109" s="29" t="str">
        <f t="shared" ca="1" si="19"/>
        <v/>
      </c>
      <c r="M109" s="10"/>
      <c r="N109" s="10"/>
    </row>
    <row r="110" spans="1:14" x14ac:dyDescent="0.25">
      <c r="A110" s="10"/>
      <c r="B110" s="14" t="str">
        <f t="shared" ca="1" si="20"/>
        <v/>
      </c>
      <c r="C110" s="14" t="str">
        <f ca="1">IF(I109&lt;&gt;Variables!$B$1,IF(H109&lt;&gt;0,C109,I109),"")</f>
        <v/>
      </c>
      <c r="D110" s="29" t="str">
        <f t="shared" ca="1" si="17"/>
        <v/>
      </c>
      <c r="E110" s="29" t="str">
        <f t="shared" ca="1" si="18"/>
        <v/>
      </c>
      <c r="F110" s="29" t="str">
        <f ca="1">IF(C110&lt;&gt;"",IF(OR(VLOOKUP(C110,$C$3:$L$6,5,0)=Variables!$B$5,B110&gt;VLOOKUP(C110,$C$3:$L$6,8,0)),-D110*VLOOKUP(C110,$C$3:$L$6,6,0)/12,0),"")</f>
        <v/>
      </c>
      <c r="G110" s="29" t="str">
        <f ca="1">IF(I110&lt;&gt;Variables!$B$1,IF(C110&lt;&gt;"",$I$9-E110-F110,""),-D110)</f>
        <v/>
      </c>
      <c r="H110" s="29" t="str">
        <f t="shared" ca="1" si="21"/>
        <v/>
      </c>
      <c r="I110" s="31" t="str">
        <f ca="1">IF(C110&lt;&gt;"",IF(D110+$I$9-E110-F110&gt;=0,IF(ISERROR(INDEX($C$3:$C$6,MATCH(C110,$C$3:$C$6,0)+1,0)),Variables!$B$1,INDEX($C$3:$C$6,MATCH(C110,$C$3:$C$6,0)+1,0)),""),"")</f>
        <v/>
      </c>
      <c r="J110" s="29" t="str">
        <f ca="1">IF(ISERROR(VLOOKUP(I110,$C$3:$L$6,5,0)),"",IF(OR(VLOOKUP(I110,$C$3:$L$6,5,0)=Variables!$B$5,B110&gt;VLOOKUP(I110,$C$3:$L$6,8,0)),IF(VLOOKUP(I110,$C$3:$L$6,5,0)=Variables!$B$5,((YEAR(B110)-YEAR($B$12))*12+MONTH(B110)-MONTH($B$12)),((YEAR(B110)-YEAR(VLOOKUP(I110,$C$3:$L$6,8,0)))*12+MONTH(B110)-MONTH(VLOOKUP(I110,$C$3:$L$6,8,0))))*(VLOOKUP(I110,$C$3:$L$6,10,0)*VLOOKUP(I110,$C$3:$L$6,6,0)/12),0))</f>
        <v/>
      </c>
      <c r="K110" s="29" t="str">
        <f ca="1">IF(C110&lt;&gt;"",IF(I110&lt;&gt;"",IF(ISERROR(VLOOKUP(I110,$C$3:$L$6,10,0)),"",VLOOKUP(I110,$C$3:$L$6,10,0)+J110+IF(OR(VLOOKUP(I110,$C$3:$L$6,5,0)=Variables!$B$5,B110&gt;VLOOKUP(I110,$C$3:$L$6,8,0)),IF(VLOOKUP(I110,$C$3:$L$6,5,0)=Variables!$B$5,((YEAR(B110)-YEAR($B$12))*12+MONTH(B110)-MONTH($B$12)),((YEAR(B110)-YEAR(VLOOKUP(I110,$C$3:$L$6,8,0)))*12+MONTH(B110)-MONTH(VLOOKUP(I110,$C$3:$L$6,8,0))))*VLOOKUP(I110,$C$3:$L$6,7,0),0)),""),"")</f>
        <v/>
      </c>
      <c r="L110" s="29" t="str">
        <f t="shared" ca="1" si="19"/>
        <v/>
      </c>
      <c r="M110" s="10"/>
      <c r="N110" s="10"/>
    </row>
    <row r="111" spans="1:14" x14ac:dyDescent="0.25">
      <c r="A111" s="10"/>
      <c r="B111" s="14" t="str">
        <f t="shared" ca="1" si="20"/>
        <v/>
      </c>
      <c r="C111" s="14" t="str">
        <f ca="1">IF(I110&lt;&gt;Variables!$B$1,IF(H110&lt;&gt;0,C110,I110),"")</f>
        <v/>
      </c>
      <c r="D111" s="29" t="str">
        <f t="shared" ca="1" si="17"/>
        <v/>
      </c>
      <c r="E111" s="29" t="str">
        <f t="shared" ca="1" si="18"/>
        <v/>
      </c>
      <c r="F111" s="29" t="str">
        <f ca="1">IF(C111&lt;&gt;"",IF(OR(VLOOKUP(C111,$C$3:$L$6,5,0)=Variables!$B$5,B111&gt;VLOOKUP(C111,$C$3:$L$6,8,0)),-D111*VLOOKUP(C111,$C$3:$L$6,6,0)/12,0),"")</f>
        <v/>
      </c>
      <c r="G111" s="29" t="str">
        <f ca="1">IF(I111&lt;&gt;Variables!$B$1,IF(C111&lt;&gt;"",$I$9-E111-F111,""),-D111)</f>
        <v/>
      </c>
      <c r="H111" s="29" t="str">
        <f t="shared" ca="1" si="21"/>
        <v/>
      </c>
      <c r="I111" s="31" t="str">
        <f ca="1">IF(C111&lt;&gt;"",IF(D111+$I$9-E111-F111&gt;=0,IF(ISERROR(INDEX($C$3:$C$6,MATCH(C111,$C$3:$C$6,0)+1,0)),Variables!$B$1,INDEX($C$3:$C$6,MATCH(C111,$C$3:$C$6,0)+1,0)),""),"")</f>
        <v/>
      </c>
      <c r="J111" s="29" t="str">
        <f ca="1">IF(ISERROR(VLOOKUP(I111,$C$3:$L$6,5,0)),"",IF(OR(VLOOKUP(I111,$C$3:$L$6,5,0)=Variables!$B$5,B111&gt;VLOOKUP(I111,$C$3:$L$6,8,0)),IF(VLOOKUP(I111,$C$3:$L$6,5,0)=Variables!$B$5,((YEAR(B111)-YEAR($B$12))*12+MONTH(B111)-MONTH($B$12)),((YEAR(B111)-YEAR(VLOOKUP(I111,$C$3:$L$6,8,0)))*12+MONTH(B111)-MONTH(VLOOKUP(I111,$C$3:$L$6,8,0))))*(VLOOKUP(I111,$C$3:$L$6,10,0)*VLOOKUP(I111,$C$3:$L$6,6,0)/12),0))</f>
        <v/>
      </c>
      <c r="K111" s="29" t="str">
        <f ca="1">IF(C111&lt;&gt;"",IF(I111&lt;&gt;"",IF(ISERROR(VLOOKUP(I111,$C$3:$L$6,10,0)),"",VLOOKUP(I111,$C$3:$L$6,10,0)+J111+IF(OR(VLOOKUP(I111,$C$3:$L$6,5,0)=Variables!$B$5,B111&gt;VLOOKUP(I111,$C$3:$L$6,8,0)),IF(VLOOKUP(I111,$C$3:$L$6,5,0)=Variables!$B$5,((YEAR(B111)-YEAR($B$12))*12+MONTH(B111)-MONTH($B$12)),((YEAR(B111)-YEAR(VLOOKUP(I111,$C$3:$L$6,8,0)))*12+MONTH(B111)-MONTH(VLOOKUP(I111,$C$3:$L$6,8,0))))*VLOOKUP(I111,$C$3:$L$6,7,0),0)),""),"")</f>
        <v/>
      </c>
      <c r="L111" s="29" t="str">
        <f t="shared" ca="1" si="19"/>
        <v/>
      </c>
      <c r="M111" s="10"/>
      <c r="N111" s="10"/>
    </row>
    <row r="112" spans="1:14" x14ac:dyDescent="0.25">
      <c r="A112" s="10"/>
      <c r="B112" s="14" t="str">
        <f t="shared" ca="1" si="20"/>
        <v/>
      </c>
      <c r="C112" s="14" t="str">
        <f ca="1">IF(I111&lt;&gt;Variables!$B$1,IF(H111&lt;&gt;0,C111,I111),"")</f>
        <v/>
      </c>
      <c r="D112" s="29" t="str">
        <f t="shared" ca="1" si="17"/>
        <v/>
      </c>
      <c r="E112" s="29" t="str">
        <f t="shared" ca="1" si="18"/>
        <v/>
      </c>
      <c r="F112" s="29" t="str">
        <f ca="1">IF(C112&lt;&gt;"",IF(OR(VLOOKUP(C112,$C$3:$L$6,5,0)=Variables!$B$5,B112&gt;VLOOKUP(C112,$C$3:$L$6,8,0)),-D112*VLOOKUP(C112,$C$3:$L$6,6,0)/12,0),"")</f>
        <v/>
      </c>
      <c r="G112" s="29" t="str">
        <f ca="1">IF(I112&lt;&gt;Variables!$B$1,IF(C112&lt;&gt;"",$I$9-E112-F112,""),-D112)</f>
        <v/>
      </c>
      <c r="H112" s="29" t="str">
        <f t="shared" ca="1" si="21"/>
        <v/>
      </c>
      <c r="I112" s="31" t="str">
        <f ca="1">IF(C112&lt;&gt;"",IF(D112+$I$9-E112-F112&gt;=0,IF(ISERROR(INDEX($C$3:$C$6,MATCH(C112,$C$3:$C$6,0)+1,0)),Variables!$B$1,INDEX($C$3:$C$6,MATCH(C112,$C$3:$C$6,0)+1,0)),""),"")</f>
        <v/>
      </c>
      <c r="J112" s="29" t="str">
        <f ca="1">IF(ISERROR(VLOOKUP(I112,$C$3:$L$6,5,0)),"",IF(OR(VLOOKUP(I112,$C$3:$L$6,5,0)=Variables!$B$5,B112&gt;VLOOKUP(I112,$C$3:$L$6,8,0)),IF(VLOOKUP(I112,$C$3:$L$6,5,0)=Variables!$B$5,((YEAR(B112)-YEAR($B$12))*12+MONTH(B112)-MONTH($B$12)),((YEAR(B112)-YEAR(VLOOKUP(I112,$C$3:$L$6,8,0)))*12+MONTH(B112)-MONTH(VLOOKUP(I112,$C$3:$L$6,8,0))))*(VLOOKUP(I112,$C$3:$L$6,10,0)*VLOOKUP(I112,$C$3:$L$6,6,0)/12),0))</f>
        <v/>
      </c>
      <c r="K112" s="29" t="str">
        <f ca="1">IF(C112&lt;&gt;"",IF(I112&lt;&gt;"",IF(ISERROR(VLOOKUP(I112,$C$3:$L$6,10,0)),"",VLOOKUP(I112,$C$3:$L$6,10,0)+J112+IF(OR(VLOOKUP(I112,$C$3:$L$6,5,0)=Variables!$B$5,B112&gt;VLOOKUP(I112,$C$3:$L$6,8,0)),IF(VLOOKUP(I112,$C$3:$L$6,5,0)=Variables!$B$5,((YEAR(B112)-YEAR($B$12))*12+MONTH(B112)-MONTH($B$12)),((YEAR(B112)-YEAR(VLOOKUP(I112,$C$3:$L$6,8,0)))*12+MONTH(B112)-MONTH(VLOOKUP(I112,$C$3:$L$6,8,0))))*VLOOKUP(I112,$C$3:$L$6,7,0),0)),""),"")</f>
        <v/>
      </c>
      <c r="L112" s="29" t="str">
        <f t="shared" ca="1" si="19"/>
        <v/>
      </c>
      <c r="M112" s="10"/>
      <c r="N112" s="10"/>
    </row>
    <row r="113" spans="1:14" x14ac:dyDescent="0.25">
      <c r="A113" s="10"/>
      <c r="B113" s="14" t="str">
        <f t="shared" ca="1" si="20"/>
        <v/>
      </c>
      <c r="C113" s="14" t="str">
        <f ca="1">IF(I112&lt;&gt;Variables!$B$1,IF(H112&lt;&gt;0,C112,I112),"")</f>
        <v/>
      </c>
      <c r="D113" s="29" t="str">
        <f t="shared" ca="1" si="17"/>
        <v/>
      </c>
      <c r="E113" s="29" t="str">
        <f t="shared" ca="1" si="18"/>
        <v/>
      </c>
      <c r="F113" s="29" t="str">
        <f ca="1">IF(C113&lt;&gt;"",IF(OR(VLOOKUP(C113,$C$3:$L$6,5,0)=Variables!$B$5,B113&gt;VLOOKUP(C113,$C$3:$L$6,8,0)),-D113*VLOOKUP(C113,$C$3:$L$6,6,0)/12,0),"")</f>
        <v/>
      </c>
      <c r="G113" s="29" t="str">
        <f ca="1">IF(I113&lt;&gt;Variables!$B$1,IF(C113&lt;&gt;"",$I$9-E113-F113,""),-D113)</f>
        <v/>
      </c>
      <c r="H113" s="29" t="str">
        <f t="shared" ca="1" si="21"/>
        <v/>
      </c>
      <c r="I113" s="31" t="str">
        <f ca="1">IF(C113&lt;&gt;"",IF(D113+$I$9-E113-F113&gt;=0,IF(ISERROR(INDEX($C$3:$C$6,MATCH(C113,$C$3:$C$6,0)+1,0)),Variables!$B$1,INDEX($C$3:$C$6,MATCH(C113,$C$3:$C$6,0)+1,0)),""),"")</f>
        <v/>
      </c>
      <c r="J113" s="29" t="str">
        <f ca="1">IF(ISERROR(VLOOKUP(I113,$C$3:$L$6,5,0)),"",IF(OR(VLOOKUP(I113,$C$3:$L$6,5,0)=Variables!$B$5,B113&gt;VLOOKUP(I113,$C$3:$L$6,8,0)),IF(VLOOKUP(I113,$C$3:$L$6,5,0)=Variables!$B$5,((YEAR(B113)-YEAR($B$12))*12+MONTH(B113)-MONTH($B$12)),((YEAR(B113)-YEAR(VLOOKUP(I113,$C$3:$L$6,8,0)))*12+MONTH(B113)-MONTH(VLOOKUP(I113,$C$3:$L$6,8,0))))*(VLOOKUP(I113,$C$3:$L$6,10,0)*VLOOKUP(I113,$C$3:$L$6,6,0)/12),0))</f>
        <v/>
      </c>
      <c r="K113" s="29" t="str">
        <f ca="1">IF(C113&lt;&gt;"",IF(I113&lt;&gt;"",IF(ISERROR(VLOOKUP(I113,$C$3:$L$6,10,0)),"",VLOOKUP(I113,$C$3:$L$6,10,0)+J113+IF(OR(VLOOKUP(I113,$C$3:$L$6,5,0)=Variables!$B$5,B113&gt;VLOOKUP(I113,$C$3:$L$6,8,0)),IF(VLOOKUP(I113,$C$3:$L$6,5,0)=Variables!$B$5,((YEAR(B113)-YEAR($B$12))*12+MONTH(B113)-MONTH($B$12)),((YEAR(B113)-YEAR(VLOOKUP(I113,$C$3:$L$6,8,0)))*12+MONTH(B113)-MONTH(VLOOKUP(I113,$C$3:$L$6,8,0))))*VLOOKUP(I113,$C$3:$L$6,7,0),0)),""),"")</f>
        <v/>
      </c>
      <c r="L113" s="29" t="str">
        <f t="shared" ca="1" si="19"/>
        <v/>
      </c>
      <c r="M113" s="10"/>
      <c r="N113" s="10"/>
    </row>
    <row r="114" spans="1:14" x14ac:dyDescent="0.25">
      <c r="A114" s="10"/>
      <c r="B114" s="14" t="str">
        <f t="shared" ca="1" si="20"/>
        <v/>
      </c>
      <c r="C114" s="14" t="str">
        <f ca="1">IF(I113&lt;&gt;Variables!$B$1,IF(H113&lt;&gt;0,C113,I113),"")</f>
        <v/>
      </c>
      <c r="D114" s="29" t="str">
        <f t="shared" ca="1" si="17"/>
        <v/>
      </c>
      <c r="E114" s="29" t="str">
        <f t="shared" ca="1" si="18"/>
        <v/>
      </c>
      <c r="F114" s="29" t="str">
        <f ca="1">IF(C114&lt;&gt;"",IF(OR(VLOOKUP(C114,$C$3:$L$6,5,0)=Variables!$B$5,B114&gt;VLOOKUP(C114,$C$3:$L$6,8,0)),-D114*VLOOKUP(C114,$C$3:$L$6,6,0)/12,0),"")</f>
        <v/>
      </c>
      <c r="G114" s="29" t="str">
        <f ca="1">IF(I114&lt;&gt;Variables!$B$1,IF(C114&lt;&gt;"",$I$9-E114-F114,""),-D114)</f>
        <v/>
      </c>
      <c r="H114" s="29" t="str">
        <f t="shared" ca="1" si="21"/>
        <v/>
      </c>
      <c r="I114" s="31" t="str">
        <f ca="1">IF(C114&lt;&gt;"",IF(D114+$I$9-E114-F114&gt;=0,IF(ISERROR(INDEX($C$3:$C$6,MATCH(C114,$C$3:$C$6,0)+1,0)),Variables!$B$1,INDEX($C$3:$C$6,MATCH(C114,$C$3:$C$6,0)+1,0)),""),"")</f>
        <v/>
      </c>
      <c r="J114" s="29" t="str">
        <f ca="1">IF(ISERROR(VLOOKUP(I114,$C$3:$L$6,5,0)),"",IF(OR(VLOOKUP(I114,$C$3:$L$6,5,0)=Variables!$B$5,B114&gt;VLOOKUP(I114,$C$3:$L$6,8,0)),IF(VLOOKUP(I114,$C$3:$L$6,5,0)=Variables!$B$5,((YEAR(B114)-YEAR($B$12))*12+MONTH(B114)-MONTH($B$12)),((YEAR(B114)-YEAR(VLOOKUP(I114,$C$3:$L$6,8,0)))*12+MONTH(B114)-MONTH(VLOOKUP(I114,$C$3:$L$6,8,0))))*(VLOOKUP(I114,$C$3:$L$6,10,0)*VLOOKUP(I114,$C$3:$L$6,6,0)/12),0))</f>
        <v/>
      </c>
      <c r="K114" s="29" t="str">
        <f ca="1">IF(C114&lt;&gt;"",IF(I114&lt;&gt;"",IF(ISERROR(VLOOKUP(I114,$C$3:$L$6,10,0)),"",VLOOKUP(I114,$C$3:$L$6,10,0)+J114+IF(OR(VLOOKUP(I114,$C$3:$L$6,5,0)=Variables!$B$5,B114&gt;VLOOKUP(I114,$C$3:$L$6,8,0)),IF(VLOOKUP(I114,$C$3:$L$6,5,0)=Variables!$B$5,((YEAR(B114)-YEAR($B$12))*12+MONTH(B114)-MONTH($B$12)),((YEAR(B114)-YEAR(VLOOKUP(I114,$C$3:$L$6,8,0)))*12+MONTH(B114)-MONTH(VLOOKUP(I114,$C$3:$L$6,8,0))))*VLOOKUP(I114,$C$3:$L$6,7,0),0)),""),"")</f>
        <v/>
      </c>
      <c r="L114" s="29" t="str">
        <f t="shared" ca="1" si="19"/>
        <v/>
      </c>
      <c r="M114" s="10"/>
      <c r="N114" s="10"/>
    </row>
    <row r="115" spans="1:14" x14ac:dyDescent="0.25">
      <c r="A115" s="10"/>
      <c r="B115" s="14" t="str">
        <f t="shared" ca="1" si="20"/>
        <v/>
      </c>
      <c r="C115" s="14" t="str">
        <f ca="1">IF(I114&lt;&gt;Variables!$B$1,IF(H114&lt;&gt;0,C114,I114),"")</f>
        <v/>
      </c>
      <c r="D115" s="29" t="str">
        <f t="shared" ca="1" si="17"/>
        <v/>
      </c>
      <c r="E115" s="29" t="str">
        <f t="shared" ca="1" si="18"/>
        <v/>
      </c>
      <c r="F115" s="29" t="str">
        <f ca="1">IF(C115&lt;&gt;"",IF(OR(VLOOKUP(C115,$C$3:$L$6,5,0)=Variables!$B$5,B115&gt;VLOOKUP(C115,$C$3:$L$6,8,0)),-D115*VLOOKUP(C115,$C$3:$L$6,6,0)/12,0),"")</f>
        <v/>
      </c>
      <c r="G115" s="29" t="str">
        <f ca="1">IF(I115&lt;&gt;Variables!$B$1,IF(C115&lt;&gt;"",$I$9-E115-F115,""),-D115)</f>
        <v/>
      </c>
      <c r="H115" s="29" t="str">
        <f t="shared" ca="1" si="21"/>
        <v/>
      </c>
      <c r="I115" s="31" t="str">
        <f ca="1">IF(C115&lt;&gt;"",IF(D115+$I$9-E115-F115&gt;=0,IF(ISERROR(INDEX($C$3:$C$6,MATCH(C115,$C$3:$C$6,0)+1,0)),Variables!$B$1,INDEX($C$3:$C$6,MATCH(C115,$C$3:$C$6,0)+1,0)),""),"")</f>
        <v/>
      </c>
      <c r="J115" s="29" t="str">
        <f ca="1">IF(ISERROR(VLOOKUP(I115,$C$3:$L$6,5,0)),"",IF(OR(VLOOKUP(I115,$C$3:$L$6,5,0)=Variables!$B$5,B115&gt;VLOOKUP(I115,$C$3:$L$6,8,0)),IF(VLOOKUP(I115,$C$3:$L$6,5,0)=Variables!$B$5,((YEAR(B115)-YEAR($B$12))*12+MONTH(B115)-MONTH($B$12)),((YEAR(B115)-YEAR(VLOOKUP(I115,$C$3:$L$6,8,0)))*12+MONTH(B115)-MONTH(VLOOKUP(I115,$C$3:$L$6,8,0))))*(VLOOKUP(I115,$C$3:$L$6,10,0)*VLOOKUP(I115,$C$3:$L$6,6,0)/12),0))</f>
        <v/>
      </c>
      <c r="K115" s="29" t="str">
        <f ca="1">IF(C115&lt;&gt;"",IF(I115&lt;&gt;"",IF(ISERROR(VLOOKUP(I115,$C$3:$L$6,10,0)),"",VLOOKUP(I115,$C$3:$L$6,10,0)+J115+IF(OR(VLOOKUP(I115,$C$3:$L$6,5,0)=Variables!$B$5,B115&gt;VLOOKUP(I115,$C$3:$L$6,8,0)),IF(VLOOKUP(I115,$C$3:$L$6,5,0)=Variables!$B$5,((YEAR(B115)-YEAR($B$12))*12+MONTH(B115)-MONTH($B$12)),((YEAR(B115)-YEAR(VLOOKUP(I115,$C$3:$L$6,8,0)))*12+MONTH(B115)-MONTH(VLOOKUP(I115,$C$3:$L$6,8,0))))*VLOOKUP(I115,$C$3:$L$6,7,0),0)),""),"")</f>
        <v/>
      </c>
      <c r="L115" s="29" t="str">
        <f t="shared" ca="1" si="19"/>
        <v/>
      </c>
      <c r="M115" s="10"/>
      <c r="N115" s="10"/>
    </row>
    <row r="116" spans="1:14" x14ac:dyDescent="0.25">
      <c r="A116" s="10"/>
      <c r="B116" s="14" t="str">
        <f t="shared" ca="1" si="20"/>
        <v/>
      </c>
      <c r="C116" s="14" t="str">
        <f ca="1">IF(I115&lt;&gt;Variables!$B$1,IF(H115&lt;&gt;0,C115,I115),"")</f>
        <v/>
      </c>
      <c r="D116" s="29" t="str">
        <f t="shared" ca="1" si="17"/>
        <v/>
      </c>
      <c r="E116" s="29" t="str">
        <f t="shared" ca="1" si="18"/>
        <v/>
      </c>
      <c r="F116" s="29" t="str">
        <f ca="1">IF(C116&lt;&gt;"",IF(OR(VLOOKUP(C116,$C$3:$L$6,5,0)=Variables!$B$5,B116&gt;VLOOKUP(C116,$C$3:$L$6,8,0)),-D116*VLOOKUP(C116,$C$3:$L$6,6,0)/12,0),"")</f>
        <v/>
      </c>
      <c r="G116" s="29" t="str">
        <f ca="1">IF(I116&lt;&gt;Variables!$B$1,IF(C116&lt;&gt;"",$I$9-E116-F116,""),-D116)</f>
        <v/>
      </c>
      <c r="H116" s="29" t="str">
        <f t="shared" ca="1" si="21"/>
        <v/>
      </c>
      <c r="I116" s="31" t="str">
        <f ca="1">IF(C116&lt;&gt;"",IF(D116+$I$9-E116-F116&gt;=0,IF(ISERROR(INDEX($C$3:$C$6,MATCH(C116,$C$3:$C$6,0)+1,0)),Variables!$B$1,INDEX($C$3:$C$6,MATCH(C116,$C$3:$C$6,0)+1,0)),""),"")</f>
        <v/>
      </c>
      <c r="J116" s="29" t="str">
        <f ca="1">IF(ISERROR(VLOOKUP(I116,$C$3:$L$6,5,0)),"",IF(OR(VLOOKUP(I116,$C$3:$L$6,5,0)=Variables!$B$5,B116&gt;VLOOKUP(I116,$C$3:$L$6,8,0)),IF(VLOOKUP(I116,$C$3:$L$6,5,0)=Variables!$B$5,((YEAR(B116)-YEAR($B$12))*12+MONTH(B116)-MONTH($B$12)),((YEAR(B116)-YEAR(VLOOKUP(I116,$C$3:$L$6,8,0)))*12+MONTH(B116)-MONTH(VLOOKUP(I116,$C$3:$L$6,8,0))))*(VLOOKUP(I116,$C$3:$L$6,10,0)*VLOOKUP(I116,$C$3:$L$6,6,0)/12),0))</f>
        <v/>
      </c>
      <c r="K116" s="29" t="str">
        <f ca="1">IF(C116&lt;&gt;"",IF(I116&lt;&gt;"",IF(ISERROR(VLOOKUP(I116,$C$3:$L$6,10,0)),"",VLOOKUP(I116,$C$3:$L$6,10,0)+J116+IF(OR(VLOOKUP(I116,$C$3:$L$6,5,0)=Variables!$B$5,B116&gt;VLOOKUP(I116,$C$3:$L$6,8,0)),IF(VLOOKUP(I116,$C$3:$L$6,5,0)=Variables!$B$5,((YEAR(B116)-YEAR($B$12))*12+MONTH(B116)-MONTH($B$12)),((YEAR(B116)-YEAR(VLOOKUP(I116,$C$3:$L$6,8,0)))*12+MONTH(B116)-MONTH(VLOOKUP(I116,$C$3:$L$6,8,0))))*VLOOKUP(I116,$C$3:$L$6,7,0),0)),""),"")</f>
        <v/>
      </c>
      <c r="L116" s="29" t="str">
        <f t="shared" ca="1" si="19"/>
        <v/>
      </c>
      <c r="M116" s="10"/>
      <c r="N116" s="10"/>
    </row>
    <row r="117" spans="1:14" x14ac:dyDescent="0.25">
      <c r="A117" s="10"/>
      <c r="B117" s="14" t="str">
        <f t="shared" ca="1" si="20"/>
        <v/>
      </c>
      <c r="C117" s="14" t="str">
        <f ca="1">IF(I116&lt;&gt;Variables!$B$1,IF(H116&lt;&gt;0,C116,I116),"")</f>
        <v/>
      </c>
      <c r="D117" s="29" t="str">
        <f t="shared" ca="1" si="17"/>
        <v/>
      </c>
      <c r="E117" s="29" t="str">
        <f t="shared" ca="1" si="18"/>
        <v/>
      </c>
      <c r="F117" s="29" t="str">
        <f ca="1">IF(C117&lt;&gt;"",IF(OR(VLOOKUP(C117,$C$3:$L$6,5,0)=Variables!$B$5,B117&gt;VLOOKUP(C117,$C$3:$L$6,8,0)),-D117*VLOOKUP(C117,$C$3:$L$6,6,0)/12,0),"")</f>
        <v/>
      </c>
      <c r="G117" s="29" t="str">
        <f ca="1">IF(I117&lt;&gt;Variables!$B$1,IF(C117&lt;&gt;"",$I$9-E117-F117,""),-D117)</f>
        <v/>
      </c>
      <c r="H117" s="29" t="str">
        <f t="shared" ca="1" si="21"/>
        <v/>
      </c>
      <c r="I117" s="31" t="str">
        <f ca="1">IF(C117&lt;&gt;"",IF(D117+$I$9-E117-F117&gt;=0,IF(ISERROR(INDEX($C$3:$C$6,MATCH(C117,$C$3:$C$6,0)+1,0)),Variables!$B$1,INDEX($C$3:$C$6,MATCH(C117,$C$3:$C$6,0)+1,0)),""),"")</f>
        <v/>
      </c>
      <c r="J117" s="29" t="str">
        <f ca="1">IF(ISERROR(VLOOKUP(I117,$C$3:$L$6,5,0)),"",IF(OR(VLOOKUP(I117,$C$3:$L$6,5,0)=Variables!$B$5,B117&gt;VLOOKUP(I117,$C$3:$L$6,8,0)),IF(VLOOKUP(I117,$C$3:$L$6,5,0)=Variables!$B$5,((YEAR(B117)-YEAR($B$12))*12+MONTH(B117)-MONTH($B$12)),((YEAR(B117)-YEAR(VLOOKUP(I117,$C$3:$L$6,8,0)))*12+MONTH(B117)-MONTH(VLOOKUP(I117,$C$3:$L$6,8,0))))*(VLOOKUP(I117,$C$3:$L$6,10,0)*VLOOKUP(I117,$C$3:$L$6,6,0)/12),0))</f>
        <v/>
      </c>
      <c r="K117" s="29" t="str">
        <f ca="1">IF(C117&lt;&gt;"",IF(I117&lt;&gt;"",IF(ISERROR(VLOOKUP(I117,$C$3:$L$6,10,0)),"",VLOOKUP(I117,$C$3:$L$6,10,0)+J117+IF(OR(VLOOKUP(I117,$C$3:$L$6,5,0)=Variables!$B$5,B117&gt;VLOOKUP(I117,$C$3:$L$6,8,0)),IF(VLOOKUP(I117,$C$3:$L$6,5,0)=Variables!$B$5,((YEAR(B117)-YEAR($B$12))*12+MONTH(B117)-MONTH($B$12)),((YEAR(B117)-YEAR(VLOOKUP(I117,$C$3:$L$6,8,0)))*12+MONTH(B117)-MONTH(VLOOKUP(I117,$C$3:$L$6,8,0))))*VLOOKUP(I117,$C$3:$L$6,7,0),0)),""),"")</f>
        <v/>
      </c>
      <c r="L117" s="29" t="str">
        <f t="shared" ca="1" si="19"/>
        <v/>
      </c>
      <c r="M117" s="10"/>
      <c r="N117" s="10"/>
    </row>
    <row r="118" spans="1:14" x14ac:dyDescent="0.25">
      <c r="A118" s="10"/>
      <c r="B118" s="14" t="str">
        <f t="shared" ca="1" si="20"/>
        <v/>
      </c>
      <c r="C118" s="14" t="str">
        <f ca="1">IF(I117&lt;&gt;Variables!$B$1,IF(H117&lt;&gt;0,C117,I117),"")</f>
        <v/>
      </c>
      <c r="D118" s="29" t="str">
        <f t="shared" ca="1" si="17"/>
        <v/>
      </c>
      <c r="E118" s="29" t="str">
        <f t="shared" ca="1" si="18"/>
        <v/>
      </c>
      <c r="F118" s="29" t="str">
        <f ca="1">IF(C118&lt;&gt;"",IF(OR(VLOOKUP(C118,$C$3:$L$6,5,0)=Variables!$B$5,B118&gt;VLOOKUP(C118,$C$3:$L$6,8,0)),-D118*VLOOKUP(C118,$C$3:$L$6,6,0)/12,0),"")</f>
        <v/>
      </c>
      <c r="G118" s="29" t="str">
        <f ca="1">IF(I118&lt;&gt;Variables!$B$1,IF(C118&lt;&gt;"",$I$9-E118-F118,""),-D118)</f>
        <v/>
      </c>
      <c r="H118" s="29" t="str">
        <f t="shared" ca="1" si="21"/>
        <v/>
      </c>
      <c r="I118" s="31" t="str">
        <f ca="1">IF(C118&lt;&gt;"",IF(D118+$I$9-E118-F118&gt;=0,IF(ISERROR(INDEX($C$3:$C$6,MATCH(C118,$C$3:$C$6,0)+1,0)),Variables!$B$1,INDEX($C$3:$C$6,MATCH(C118,$C$3:$C$6,0)+1,0)),""),"")</f>
        <v/>
      </c>
      <c r="J118" s="29" t="str">
        <f ca="1">IF(ISERROR(VLOOKUP(I118,$C$3:$L$6,5,0)),"",IF(OR(VLOOKUP(I118,$C$3:$L$6,5,0)=Variables!$B$5,B118&gt;VLOOKUP(I118,$C$3:$L$6,8,0)),IF(VLOOKUP(I118,$C$3:$L$6,5,0)=Variables!$B$5,((YEAR(B118)-YEAR($B$12))*12+MONTH(B118)-MONTH($B$12)),((YEAR(B118)-YEAR(VLOOKUP(I118,$C$3:$L$6,8,0)))*12+MONTH(B118)-MONTH(VLOOKUP(I118,$C$3:$L$6,8,0))))*(VLOOKUP(I118,$C$3:$L$6,10,0)*VLOOKUP(I118,$C$3:$L$6,6,0)/12),0))</f>
        <v/>
      </c>
      <c r="K118" s="29" t="str">
        <f ca="1">IF(C118&lt;&gt;"",IF(I118&lt;&gt;"",IF(ISERROR(VLOOKUP(I118,$C$3:$L$6,10,0)),"",VLOOKUP(I118,$C$3:$L$6,10,0)+J118+IF(OR(VLOOKUP(I118,$C$3:$L$6,5,0)=Variables!$B$5,B118&gt;VLOOKUP(I118,$C$3:$L$6,8,0)),IF(VLOOKUP(I118,$C$3:$L$6,5,0)=Variables!$B$5,((YEAR(B118)-YEAR($B$12))*12+MONTH(B118)-MONTH($B$12)),((YEAR(B118)-YEAR(VLOOKUP(I118,$C$3:$L$6,8,0)))*12+MONTH(B118)-MONTH(VLOOKUP(I118,$C$3:$L$6,8,0))))*VLOOKUP(I118,$C$3:$L$6,7,0),0)),""),"")</f>
        <v/>
      </c>
      <c r="L118" s="29" t="str">
        <f t="shared" ca="1" si="19"/>
        <v/>
      </c>
      <c r="M118" s="10"/>
      <c r="N118" s="10"/>
    </row>
    <row r="119" spans="1:14" x14ac:dyDescent="0.25">
      <c r="A119" s="10"/>
      <c r="B119" s="14" t="str">
        <f t="shared" ca="1" si="20"/>
        <v/>
      </c>
      <c r="C119" s="14" t="str">
        <f ca="1">IF(I118&lt;&gt;Variables!$B$1,IF(H118&lt;&gt;0,C118,I118),"")</f>
        <v/>
      </c>
      <c r="D119" s="29" t="str">
        <f t="shared" ca="1" si="17"/>
        <v/>
      </c>
      <c r="E119" s="29" t="str">
        <f t="shared" ca="1" si="18"/>
        <v/>
      </c>
      <c r="F119" s="29" t="str">
        <f ca="1">IF(C119&lt;&gt;"",IF(OR(VLOOKUP(C119,$C$3:$L$6,5,0)=Variables!$B$5,B119&gt;VLOOKUP(C119,$C$3:$L$6,8,0)),-D119*VLOOKUP(C119,$C$3:$L$6,6,0)/12,0),"")</f>
        <v/>
      </c>
      <c r="G119" s="29" t="str">
        <f ca="1">IF(I119&lt;&gt;Variables!$B$1,IF(C119&lt;&gt;"",$I$9-E119-F119,""),-D119)</f>
        <v/>
      </c>
      <c r="H119" s="29" t="str">
        <f t="shared" ca="1" si="21"/>
        <v/>
      </c>
      <c r="I119" s="31" t="str">
        <f ca="1">IF(C119&lt;&gt;"",IF(D119+$I$9-E119-F119&gt;=0,IF(ISERROR(INDEX($C$3:$C$6,MATCH(C119,$C$3:$C$6,0)+1,0)),Variables!$B$1,INDEX($C$3:$C$6,MATCH(C119,$C$3:$C$6,0)+1,0)),""),"")</f>
        <v/>
      </c>
      <c r="J119" s="29" t="str">
        <f ca="1">IF(ISERROR(VLOOKUP(I119,$C$3:$L$6,5,0)),"",IF(OR(VLOOKUP(I119,$C$3:$L$6,5,0)=Variables!$B$5,B119&gt;VLOOKUP(I119,$C$3:$L$6,8,0)),IF(VLOOKUP(I119,$C$3:$L$6,5,0)=Variables!$B$5,((YEAR(B119)-YEAR($B$12))*12+MONTH(B119)-MONTH($B$12)),((YEAR(B119)-YEAR(VLOOKUP(I119,$C$3:$L$6,8,0)))*12+MONTH(B119)-MONTH(VLOOKUP(I119,$C$3:$L$6,8,0))))*(VLOOKUP(I119,$C$3:$L$6,10,0)*VLOOKUP(I119,$C$3:$L$6,6,0)/12),0))</f>
        <v/>
      </c>
      <c r="K119" s="29" t="str">
        <f ca="1">IF(C119&lt;&gt;"",IF(I119&lt;&gt;"",IF(ISERROR(VLOOKUP(I119,$C$3:$L$6,10,0)),"",VLOOKUP(I119,$C$3:$L$6,10,0)+J119+IF(OR(VLOOKUP(I119,$C$3:$L$6,5,0)=Variables!$B$5,B119&gt;VLOOKUP(I119,$C$3:$L$6,8,0)),IF(VLOOKUP(I119,$C$3:$L$6,5,0)=Variables!$B$5,((YEAR(B119)-YEAR($B$12))*12+MONTH(B119)-MONTH($B$12)),((YEAR(B119)-YEAR(VLOOKUP(I119,$C$3:$L$6,8,0)))*12+MONTH(B119)-MONTH(VLOOKUP(I119,$C$3:$L$6,8,0))))*VLOOKUP(I119,$C$3:$L$6,7,0),0)),""),"")</f>
        <v/>
      </c>
      <c r="L119" s="29" t="str">
        <f t="shared" ca="1" si="19"/>
        <v/>
      </c>
      <c r="M119" s="10"/>
      <c r="N119" s="10"/>
    </row>
    <row r="120" spans="1:14" x14ac:dyDescent="0.25">
      <c r="A120" s="10"/>
      <c r="B120" s="14" t="str">
        <f t="shared" ca="1" si="20"/>
        <v/>
      </c>
      <c r="C120" s="14" t="str">
        <f ca="1">IF(I119&lt;&gt;Variables!$B$1,IF(H119&lt;&gt;0,C119,I119),"")</f>
        <v/>
      </c>
      <c r="D120" s="29" t="str">
        <f t="shared" ca="1" si="17"/>
        <v/>
      </c>
      <c r="E120" s="29" t="str">
        <f t="shared" ca="1" si="18"/>
        <v/>
      </c>
      <c r="F120" s="29" t="str">
        <f ca="1">IF(C120&lt;&gt;"",IF(OR(VLOOKUP(C120,$C$3:$L$6,5,0)=Variables!$B$5,B120&gt;VLOOKUP(C120,$C$3:$L$6,8,0)),-D120*VLOOKUP(C120,$C$3:$L$6,6,0)/12,0),"")</f>
        <v/>
      </c>
      <c r="G120" s="29" t="str">
        <f ca="1">IF(I120&lt;&gt;Variables!$B$1,IF(C120&lt;&gt;"",$I$9-E120-F120,""),-D120)</f>
        <v/>
      </c>
      <c r="H120" s="29" t="str">
        <f t="shared" ca="1" si="21"/>
        <v/>
      </c>
      <c r="I120" s="31" t="str">
        <f ca="1">IF(C120&lt;&gt;"",IF(D120+$I$9-E120-F120&gt;=0,IF(ISERROR(INDEX($C$3:$C$6,MATCH(C120,$C$3:$C$6,0)+1,0)),Variables!$B$1,INDEX($C$3:$C$6,MATCH(C120,$C$3:$C$6,0)+1,0)),""),"")</f>
        <v/>
      </c>
      <c r="J120" s="29" t="str">
        <f ca="1">IF(ISERROR(VLOOKUP(I120,$C$3:$L$6,5,0)),"",IF(OR(VLOOKUP(I120,$C$3:$L$6,5,0)=Variables!$B$5,B120&gt;VLOOKUP(I120,$C$3:$L$6,8,0)),IF(VLOOKUP(I120,$C$3:$L$6,5,0)=Variables!$B$5,((YEAR(B120)-YEAR($B$12))*12+MONTH(B120)-MONTH($B$12)),((YEAR(B120)-YEAR(VLOOKUP(I120,$C$3:$L$6,8,0)))*12+MONTH(B120)-MONTH(VLOOKUP(I120,$C$3:$L$6,8,0))))*(VLOOKUP(I120,$C$3:$L$6,10,0)*VLOOKUP(I120,$C$3:$L$6,6,0)/12),0))</f>
        <v/>
      </c>
      <c r="K120" s="29" t="str">
        <f ca="1">IF(C120&lt;&gt;"",IF(I120&lt;&gt;"",IF(ISERROR(VLOOKUP(I120,$C$3:$L$6,10,0)),"",VLOOKUP(I120,$C$3:$L$6,10,0)+J120+IF(OR(VLOOKUP(I120,$C$3:$L$6,5,0)=Variables!$B$5,B120&gt;VLOOKUP(I120,$C$3:$L$6,8,0)),IF(VLOOKUP(I120,$C$3:$L$6,5,0)=Variables!$B$5,((YEAR(B120)-YEAR($B$12))*12+MONTH(B120)-MONTH($B$12)),((YEAR(B120)-YEAR(VLOOKUP(I120,$C$3:$L$6,8,0)))*12+MONTH(B120)-MONTH(VLOOKUP(I120,$C$3:$L$6,8,0))))*VLOOKUP(I120,$C$3:$L$6,7,0),0)),""),"")</f>
        <v/>
      </c>
      <c r="L120" s="29" t="str">
        <f t="shared" ca="1" si="19"/>
        <v/>
      </c>
      <c r="M120" s="10"/>
      <c r="N120" s="10"/>
    </row>
    <row r="121" spans="1:14" x14ac:dyDescent="0.25">
      <c r="A121" s="10"/>
      <c r="B121" s="14" t="str">
        <f t="shared" ca="1" si="20"/>
        <v/>
      </c>
      <c r="C121" s="14" t="str">
        <f ca="1">IF(I120&lt;&gt;Variables!$B$1,IF(H120&lt;&gt;0,C120,I120),"")</f>
        <v/>
      </c>
      <c r="D121" s="29" t="str">
        <f t="shared" ca="1" si="17"/>
        <v/>
      </c>
      <c r="E121" s="29" t="str">
        <f t="shared" ca="1" si="18"/>
        <v/>
      </c>
      <c r="F121" s="29" t="str">
        <f ca="1">IF(C121&lt;&gt;"",IF(OR(VLOOKUP(C121,$C$3:$L$6,5,0)=Variables!$B$5,B121&gt;VLOOKUP(C121,$C$3:$L$6,8,0)),-D121*VLOOKUP(C121,$C$3:$L$6,6,0)/12,0),"")</f>
        <v/>
      </c>
      <c r="G121" s="29" t="str">
        <f ca="1">IF(I121&lt;&gt;Variables!$B$1,IF(C121&lt;&gt;"",$I$9-E121-F121,""),-D121)</f>
        <v/>
      </c>
      <c r="H121" s="29" t="str">
        <f t="shared" ca="1" si="21"/>
        <v/>
      </c>
      <c r="I121" s="31" t="str">
        <f ca="1">IF(C121&lt;&gt;"",IF(D121+$I$9-E121-F121&gt;=0,IF(ISERROR(INDEX($C$3:$C$6,MATCH(C121,$C$3:$C$6,0)+1,0)),Variables!$B$1,INDEX($C$3:$C$6,MATCH(C121,$C$3:$C$6,0)+1,0)),""),"")</f>
        <v/>
      </c>
      <c r="J121" s="29" t="str">
        <f ca="1">IF(ISERROR(VLOOKUP(I121,$C$3:$L$6,5,0)),"",IF(OR(VLOOKUP(I121,$C$3:$L$6,5,0)=Variables!$B$5,B121&gt;VLOOKUP(I121,$C$3:$L$6,8,0)),IF(VLOOKUP(I121,$C$3:$L$6,5,0)=Variables!$B$5,((YEAR(B121)-YEAR($B$12))*12+MONTH(B121)-MONTH($B$12)),((YEAR(B121)-YEAR(VLOOKUP(I121,$C$3:$L$6,8,0)))*12+MONTH(B121)-MONTH(VLOOKUP(I121,$C$3:$L$6,8,0))))*(VLOOKUP(I121,$C$3:$L$6,10,0)*VLOOKUP(I121,$C$3:$L$6,6,0)/12),0))</f>
        <v/>
      </c>
      <c r="K121" s="29" t="str">
        <f ca="1">IF(C121&lt;&gt;"",IF(I121&lt;&gt;"",IF(ISERROR(VLOOKUP(I121,$C$3:$L$6,10,0)),"",VLOOKUP(I121,$C$3:$L$6,10,0)+J121+IF(OR(VLOOKUP(I121,$C$3:$L$6,5,0)=Variables!$B$5,B121&gt;VLOOKUP(I121,$C$3:$L$6,8,0)),IF(VLOOKUP(I121,$C$3:$L$6,5,0)=Variables!$B$5,((YEAR(B121)-YEAR($B$12))*12+MONTH(B121)-MONTH($B$12)),((YEAR(B121)-YEAR(VLOOKUP(I121,$C$3:$L$6,8,0)))*12+MONTH(B121)-MONTH(VLOOKUP(I121,$C$3:$L$6,8,0))))*VLOOKUP(I121,$C$3:$L$6,7,0),0)),""),"")</f>
        <v/>
      </c>
      <c r="L121" s="29" t="str">
        <f t="shared" ca="1" si="19"/>
        <v/>
      </c>
      <c r="M121" s="10"/>
      <c r="N121" s="10"/>
    </row>
    <row r="122" spans="1:14" x14ac:dyDescent="0.25">
      <c r="A122" s="10"/>
      <c r="B122" s="14" t="str">
        <f t="shared" ca="1" si="20"/>
        <v/>
      </c>
      <c r="C122" s="14" t="str">
        <f ca="1">IF(I121&lt;&gt;Variables!$B$1,IF(H121&lt;&gt;0,C121,I121),"")</f>
        <v/>
      </c>
      <c r="D122" s="29" t="str">
        <f t="shared" ca="1" si="17"/>
        <v/>
      </c>
      <c r="E122" s="29" t="str">
        <f t="shared" ca="1" si="18"/>
        <v/>
      </c>
      <c r="F122" s="29" t="str">
        <f ca="1">IF(C122&lt;&gt;"",IF(OR(VLOOKUP(C122,$C$3:$L$6,5,0)=Variables!$B$5,B122&gt;VLOOKUP(C122,$C$3:$L$6,8,0)),-D122*VLOOKUP(C122,$C$3:$L$6,6,0)/12,0),"")</f>
        <v/>
      </c>
      <c r="G122" s="29" t="str">
        <f ca="1">IF(I122&lt;&gt;Variables!$B$1,IF(C122&lt;&gt;"",$I$9-E122-F122,""),-D122)</f>
        <v/>
      </c>
      <c r="H122" s="29" t="str">
        <f t="shared" ca="1" si="21"/>
        <v/>
      </c>
      <c r="I122" s="31" t="str">
        <f ca="1">IF(C122&lt;&gt;"",IF(D122+$I$9-E122-F122&gt;=0,IF(ISERROR(INDEX($C$3:$C$6,MATCH(C122,$C$3:$C$6,0)+1,0)),Variables!$B$1,INDEX($C$3:$C$6,MATCH(C122,$C$3:$C$6,0)+1,0)),""),"")</f>
        <v/>
      </c>
      <c r="J122" s="29" t="str">
        <f ca="1">IF(ISERROR(VLOOKUP(I122,$C$3:$L$6,5,0)),"",IF(OR(VLOOKUP(I122,$C$3:$L$6,5,0)=Variables!$B$5,B122&gt;VLOOKUP(I122,$C$3:$L$6,8,0)),IF(VLOOKUP(I122,$C$3:$L$6,5,0)=Variables!$B$5,((YEAR(B122)-YEAR($B$12))*12+MONTH(B122)-MONTH($B$12)),((YEAR(B122)-YEAR(VLOOKUP(I122,$C$3:$L$6,8,0)))*12+MONTH(B122)-MONTH(VLOOKUP(I122,$C$3:$L$6,8,0))))*(VLOOKUP(I122,$C$3:$L$6,10,0)*VLOOKUP(I122,$C$3:$L$6,6,0)/12),0))</f>
        <v/>
      </c>
      <c r="K122" s="29" t="str">
        <f ca="1">IF(C122&lt;&gt;"",IF(I122&lt;&gt;"",IF(ISERROR(VLOOKUP(I122,$C$3:$L$6,10,0)),"",VLOOKUP(I122,$C$3:$L$6,10,0)+J122+IF(OR(VLOOKUP(I122,$C$3:$L$6,5,0)=Variables!$B$5,B122&gt;VLOOKUP(I122,$C$3:$L$6,8,0)),IF(VLOOKUP(I122,$C$3:$L$6,5,0)=Variables!$B$5,((YEAR(B122)-YEAR($B$12))*12+MONTH(B122)-MONTH($B$12)),((YEAR(B122)-YEAR(VLOOKUP(I122,$C$3:$L$6,8,0)))*12+MONTH(B122)-MONTH(VLOOKUP(I122,$C$3:$L$6,8,0))))*VLOOKUP(I122,$C$3:$L$6,7,0),0)),""),"")</f>
        <v/>
      </c>
      <c r="L122" s="29" t="str">
        <f t="shared" ca="1" si="19"/>
        <v/>
      </c>
      <c r="M122" s="10"/>
      <c r="N122" s="10"/>
    </row>
    <row r="123" spans="1:14" x14ac:dyDescent="0.25">
      <c r="A123" s="10"/>
      <c r="B123" s="14" t="str">
        <f t="shared" ca="1" si="20"/>
        <v/>
      </c>
      <c r="C123" s="14" t="str">
        <f ca="1">IF(I122&lt;&gt;Variables!$B$1,IF(H122&lt;&gt;0,C122,I122),"")</f>
        <v/>
      </c>
      <c r="D123" s="29" t="str">
        <f t="shared" ca="1" si="17"/>
        <v/>
      </c>
      <c r="E123" s="29" t="str">
        <f t="shared" ca="1" si="18"/>
        <v/>
      </c>
      <c r="F123" s="29" t="str">
        <f ca="1">IF(C123&lt;&gt;"",IF(OR(VLOOKUP(C123,$C$3:$L$6,5,0)=Variables!$B$5,B123&gt;VLOOKUP(C123,$C$3:$L$6,8,0)),-D123*VLOOKUP(C123,$C$3:$L$6,6,0)/12,0),"")</f>
        <v/>
      </c>
      <c r="G123" s="29" t="str">
        <f ca="1">IF(I123&lt;&gt;Variables!$B$1,IF(C123&lt;&gt;"",$I$9-E123-F123,""),-D123)</f>
        <v/>
      </c>
      <c r="H123" s="29" t="str">
        <f t="shared" ca="1" si="21"/>
        <v/>
      </c>
      <c r="I123" s="31" t="str">
        <f ca="1">IF(C123&lt;&gt;"",IF(D123+$I$9-E123-F123&gt;=0,IF(ISERROR(INDEX($C$3:$C$6,MATCH(C123,$C$3:$C$6,0)+1,0)),Variables!$B$1,INDEX($C$3:$C$6,MATCH(C123,$C$3:$C$6,0)+1,0)),""),"")</f>
        <v/>
      </c>
      <c r="J123" s="29" t="str">
        <f ca="1">IF(ISERROR(VLOOKUP(I123,$C$3:$L$6,5,0)),"",IF(OR(VLOOKUP(I123,$C$3:$L$6,5,0)=Variables!$B$5,B123&gt;VLOOKUP(I123,$C$3:$L$6,8,0)),IF(VLOOKUP(I123,$C$3:$L$6,5,0)=Variables!$B$5,((YEAR(B123)-YEAR($B$12))*12+MONTH(B123)-MONTH($B$12)),((YEAR(B123)-YEAR(VLOOKUP(I123,$C$3:$L$6,8,0)))*12+MONTH(B123)-MONTH(VLOOKUP(I123,$C$3:$L$6,8,0))))*(VLOOKUP(I123,$C$3:$L$6,10,0)*VLOOKUP(I123,$C$3:$L$6,6,0)/12),0))</f>
        <v/>
      </c>
      <c r="K123" s="29" t="str">
        <f ca="1">IF(C123&lt;&gt;"",IF(I123&lt;&gt;"",IF(ISERROR(VLOOKUP(I123,$C$3:$L$6,10,0)),"",VLOOKUP(I123,$C$3:$L$6,10,0)+J123+IF(OR(VLOOKUP(I123,$C$3:$L$6,5,0)=Variables!$B$5,B123&gt;VLOOKUP(I123,$C$3:$L$6,8,0)),IF(VLOOKUP(I123,$C$3:$L$6,5,0)=Variables!$B$5,((YEAR(B123)-YEAR($B$12))*12+MONTH(B123)-MONTH($B$12)),((YEAR(B123)-YEAR(VLOOKUP(I123,$C$3:$L$6,8,0)))*12+MONTH(B123)-MONTH(VLOOKUP(I123,$C$3:$L$6,8,0))))*VLOOKUP(I123,$C$3:$L$6,7,0),0)),""),"")</f>
        <v/>
      </c>
      <c r="L123" s="29" t="str">
        <f t="shared" ca="1" si="19"/>
        <v/>
      </c>
      <c r="M123" s="10"/>
      <c r="N123" s="10"/>
    </row>
    <row r="124" spans="1:14" x14ac:dyDescent="0.25">
      <c r="A124" s="10"/>
      <c r="B124" s="14" t="str">
        <f t="shared" ca="1" si="20"/>
        <v/>
      </c>
      <c r="C124" s="14" t="str">
        <f ca="1">IF(I123&lt;&gt;Variables!$B$1,IF(H123&lt;&gt;0,C123,I123),"")</f>
        <v/>
      </c>
      <c r="D124" s="29" t="str">
        <f t="shared" ca="1" si="17"/>
        <v/>
      </c>
      <c r="E124" s="29" t="str">
        <f t="shared" ca="1" si="18"/>
        <v/>
      </c>
      <c r="F124" s="29" t="str">
        <f ca="1">IF(C124&lt;&gt;"",IF(OR(VLOOKUP(C124,$C$3:$L$6,5,0)=Variables!$B$5,B124&gt;VLOOKUP(C124,$C$3:$L$6,8,0)),-D124*VLOOKUP(C124,$C$3:$L$6,6,0)/12,0),"")</f>
        <v/>
      </c>
      <c r="G124" s="29" t="str">
        <f ca="1">IF(I124&lt;&gt;Variables!$B$1,IF(C124&lt;&gt;"",$I$9-E124-F124,""),-D124)</f>
        <v/>
      </c>
      <c r="H124" s="29" t="str">
        <f t="shared" ca="1" si="21"/>
        <v/>
      </c>
      <c r="I124" s="31" t="str">
        <f ca="1">IF(C124&lt;&gt;"",IF(D124+$I$9-E124-F124&gt;=0,IF(ISERROR(INDEX($C$3:$C$6,MATCH(C124,$C$3:$C$6,0)+1,0)),Variables!$B$1,INDEX($C$3:$C$6,MATCH(C124,$C$3:$C$6,0)+1,0)),""),"")</f>
        <v/>
      </c>
      <c r="J124" s="29" t="str">
        <f ca="1">IF(ISERROR(VLOOKUP(I124,$C$3:$L$6,5,0)),"",IF(OR(VLOOKUP(I124,$C$3:$L$6,5,0)=Variables!$B$5,B124&gt;VLOOKUP(I124,$C$3:$L$6,8,0)),IF(VLOOKUP(I124,$C$3:$L$6,5,0)=Variables!$B$5,((YEAR(B124)-YEAR($B$12))*12+MONTH(B124)-MONTH($B$12)),((YEAR(B124)-YEAR(VLOOKUP(I124,$C$3:$L$6,8,0)))*12+MONTH(B124)-MONTH(VLOOKUP(I124,$C$3:$L$6,8,0))))*(VLOOKUP(I124,$C$3:$L$6,10,0)*VLOOKUP(I124,$C$3:$L$6,6,0)/12),0))</f>
        <v/>
      </c>
      <c r="K124" s="29" t="str">
        <f ca="1">IF(C124&lt;&gt;"",IF(I124&lt;&gt;"",IF(ISERROR(VLOOKUP(I124,$C$3:$L$6,10,0)),"",VLOOKUP(I124,$C$3:$L$6,10,0)+J124+IF(OR(VLOOKUP(I124,$C$3:$L$6,5,0)=Variables!$B$5,B124&gt;VLOOKUP(I124,$C$3:$L$6,8,0)),IF(VLOOKUP(I124,$C$3:$L$6,5,0)=Variables!$B$5,((YEAR(B124)-YEAR($B$12))*12+MONTH(B124)-MONTH($B$12)),((YEAR(B124)-YEAR(VLOOKUP(I124,$C$3:$L$6,8,0)))*12+MONTH(B124)-MONTH(VLOOKUP(I124,$C$3:$L$6,8,0))))*VLOOKUP(I124,$C$3:$L$6,7,0),0)),""),"")</f>
        <v/>
      </c>
      <c r="L124" s="29" t="str">
        <f t="shared" ca="1" si="19"/>
        <v/>
      </c>
      <c r="M124" s="10"/>
      <c r="N124" s="10"/>
    </row>
    <row r="125" spans="1:14" x14ac:dyDescent="0.25">
      <c r="A125" s="10"/>
      <c r="B125" s="14" t="str">
        <f t="shared" ca="1" si="20"/>
        <v/>
      </c>
      <c r="C125" s="14" t="str">
        <f ca="1">IF(I124&lt;&gt;Variables!$B$1,IF(H124&lt;&gt;0,C124,I124),"")</f>
        <v/>
      </c>
      <c r="D125" s="29" t="str">
        <f t="shared" ca="1" si="17"/>
        <v/>
      </c>
      <c r="E125" s="29" t="str">
        <f t="shared" ca="1" si="18"/>
        <v/>
      </c>
      <c r="F125" s="29" t="str">
        <f ca="1">IF(C125&lt;&gt;"",IF(OR(VLOOKUP(C125,$C$3:$L$6,5,0)=Variables!$B$5,B125&gt;VLOOKUP(C125,$C$3:$L$6,8,0)),-D125*VLOOKUP(C125,$C$3:$L$6,6,0)/12,0),"")</f>
        <v/>
      </c>
      <c r="G125" s="29" t="str">
        <f ca="1">IF(I125&lt;&gt;Variables!$B$1,IF(C125&lt;&gt;"",$I$9-E125-F125,""),-D125)</f>
        <v/>
      </c>
      <c r="H125" s="29" t="str">
        <f t="shared" ca="1" si="21"/>
        <v/>
      </c>
      <c r="I125" s="31" t="str">
        <f ca="1">IF(C125&lt;&gt;"",IF(D125+$I$9-E125-F125&gt;=0,IF(ISERROR(INDEX($C$3:$C$6,MATCH(C125,$C$3:$C$6,0)+1,0)),Variables!$B$1,INDEX($C$3:$C$6,MATCH(C125,$C$3:$C$6,0)+1,0)),""),"")</f>
        <v/>
      </c>
      <c r="J125" s="29" t="str">
        <f ca="1">IF(ISERROR(VLOOKUP(I125,$C$3:$L$6,5,0)),"",IF(OR(VLOOKUP(I125,$C$3:$L$6,5,0)=Variables!$B$5,B125&gt;VLOOKUP(I125,$C$3:$L$6,8,0)),IF(VLOOKUP(I125,$C$3:$L$6,5,0)=Variables!$B$5,((YEAR(B125)-YEAR($B$12))*12+MONTH(B125)-MONTH($B$12)),((YEAR(B125)-YEAR(VLOOKUP(I125,$C$3:$L$6,8,0)))*12+MONTH(B125)-MONTH(VLOOKUP(I125,$C$3:$L$6,8,0))))*(VLOOKUP(I125,$C$3:$L$6,10,0)*VLOOKUP(I125,$C$3:$L$6,6,0)/12),0))</f>
        <v/>
      </c>
      <c r="K125" s="29" t="str">
        <f ca="1">IF(C125&lt;&gt;"",IF(I125&lt;&gt;"",IF(ISERROR(VLOOKUP(I125,$C$3:$L$6,10,0)),"",VLOOKUP(I125,$C$3:$L$6,10,0)+J125+IF(OR(VLOOKUP(I125,$C$3:$L$6,5,0)=Variables!$B$5,B125&gt;VLOOKUP(I125,$C$3:$L$6,8,0)),IF(VLOOKUP(I125,$C$3:$L$6,5,0)=Variables!$B$5,((YEAR(B125)-YEAR($B$12))*12+MONTH(B125)-MONTH($B$12)),((YEAR(B125)-YEAR(VLOOKUP(I125,$C$3:$L$6,8,0)))*12+MONTH(B125)-MONTH(VLOOKUP(I125,$C$3:$L$6,8,0))))*VLOOKUP(I125,$C$3:$L$6,7,0),0)),""),"")</f>
        <v/>
      </c>
      <c r="L125" s="29" t="str">
        <f t="shared" ca="1" si="19"/>
        <v/>
      </c>
      <c r="M125" s="10"/>
      <c r="N125" s="10"/>
    </row>
    <row r="126" spans="1:14" x14ac:dyDescent="0.25">
      <c r="A126" s="10"/>
      <c r="B126" s="14" t="str">
        <f t="shared" ca="1" si="20"/>
        <v/>
      </c>
      <c r="C126" s="14" t="str">
        <f ca="1">IF(I125&lt;&gt;Variables!$B$1,IF(H125&lt;&gt;0,C125,I125),"")</f>
        <v/>
      </c>
      <c r="D126" s="29" t="str">
        <f t="shared" ca="1" si="17"/>
        <v/>
      </c>
      <c r="E126" s="29" t="str">
        <f t="shared" ca="1" si="18"/>
        <v/>
      </c>
      <c r="F126" s="29" t="str">
        <f ca="1">IF(C126&lt;&gt;"",IF(OR(VLOOKUP(C126,$C$3:$L$6,5,0)=Variables!$B$5,B126&gt;VLOOKUP(C126,$C$3:$L$6,8,0)),-D126*VLOOKUP(C126,$C$3:$L$6,6,0)/12,0),"")</f>
        <v/>
      </c>
      <c r="G126" s="29" t="str">
        <f ca="1">IF(I126&lt;&gt;Variables!$B$1,IF(C126&lt;&gt;"",$I$9-E126-F126,""),-D126)</f>
        <v/>
      </c>
      <c r="H126" s="29" t="str">
        <f t="shared" ca="1" si="21"/>
        <v/>
      </c>
      <c r="I126" s="31" t="str">
        <f ca="1">IF(C126&lt;&gt;"",IF(D126+$I$9-E126-F126&gt;=0,IF(ISERROR(INDEX($C$3:$C$6,MATCH(C126,$C$3:$C$6,0)+1,0)),Variables!$B$1,INDEX($C$3:$C$6,MATCH(C126,$C$3:$C$6,0)+1,0)),""),"")</f>
        <v/>
      </c>
      <c r="J126" s="29" t="str">
        <f ca="1">IF(ISERROR(VLOOKUP(I126,$C$3:$L$6,5,0)),"",IF(OR(VLOOKUP(I126,$C$3:$L$6,5,0)=Variables!$B$5,B126&gt;VLOOKUP(I126,$C$3:$L$6,8,0)),IF(VLOOKUP(I126,$C$3:$L$6,5,0)=Variables!$B$5,((YEAR(B126)-YEAR($B$12))*12+MONTH(B126)-MONTH($B$12)),((YEAR(B126)-YEAR(VLOOKUP(I126,$C$3:$L$6,8,0)))*12+MONTH(B126)-MONTH(VLOOKUP(I126,$C$3:$L$6,8,0))))*(VLOOKUP(I126,$C$3:$L$6,10,0)*VLOOKUP(I126,$C$3:$L$6,6,0)/12),0))</f>
        <v/>
      </c>
      <c r="K126" s="29" t="str">
        <f ca="1">IF(C126&lt;&gt;"",IF(I126&lt;&gt;"",IF(ISERROR(VLOOKUP(I126,$C$3:$L$6,10,0)),"",VLOOKUP(I126,$C$3:$L$6,10,0)+J126+IF(OR(VLOOKUP(I126,$C$3:$L$6,5,0)=Variables!$B$5,B126&gt;VLOOKUP(I126,$C$3:$L$6,8,0)),IF(VLOOKUP(I126,$C$3:$L$6,5,0)=Variables!$B$5,((YEAR(B126)-YEAR($B$12))*12+MONTH(B126)-MONTH($B$12)),((YEAR(B126)-YEAR(VLOOKUP(I126,$C$3:$L$6,8,0)))*12+MONTH(B126)-MONTH(VLOOKUP(I126,$C$3:$L$6,8,0))))*VLOOKUP(I126,$C$3:$L$6,7,0),0)),""),"")</f>
        <v/>
      </c>
      <c r="L126" s="29" t="str">
        <f t="shared" ca="1" si="19"/>
        <v/>
      </c>
      <c r="M126" s="10"/>
      <c r="N126" s="10"/>
    </row>
    <row r="127" spans="1:14" x14ac:dyDescent="0.25">
      <c r="A127" s="10"/>
      <c r="B127" s="14" t="str">
        <f t="shared" ca="1" si="20"/>
        <v/>
      </c>
      <c r="C127" s="14" t="str">
        <f ca="1">IF(I126&lt;&gt;Variables!$B$1,IF(H126&lt;&gt;0,C126,I126),"")</f>
        <v/>
      </c>
      <c r="D127" s="29" t="str">
        <f t="shared" ca="1" si="17"/>
        <v/>
      </c>
      <c r="E127" s="29" t="str">
        <f t="shared" ca="1" si="18"/>
        <v/>
      </c>
      <c r="F127" s="29" t="str">
        <f ca="1">IF(C127&lt;&gt;"",IF(OR(VLOOKUP(C127,$C$3:$L$6,5,0)=Variables!$B$5,B127&gt;VLOOKUP(C127,$C$3:$L$6,8,0)),-D127*VLOOKUP(C127,$C$3:$L$6,6,0)/12,0),"")</f>
        <v/>
      </c>
      <c r="G127" s="29" t="str">
        <f ca="1">IF(I127&lt;&gt;Variables!$B$1,IF(C127&lt;&gt;"",$I$9-E127-F127,""),-D127)</f>
        <v/>
      </c>
      <c r="H127" s="29" t="str">
        <f t="shared" ca="1" si="21"/>
        <v/>
      </c>
      <c r="I127" s="31" t="str">
        <f ca="1">IF(C127&lt;&gt;"",IF(D127+$I$9-E127-F127&gt;=0,IF(ISERROR(INDEX($C$3:$C$6,MATCH(C127,$C$3:$C$6,0)+1,0)),Variables!$B$1,INDEX($C$3:$C$6,MATCH(C127,$C$3:$C$6,0)+1,0)),""),"")</f>
        <v/>
      </c>
      <c r="J127" s="29" t="str">
        <f ca="1">IF(ISERROR(VLOOKUP(I127,$C$3:$L$6,5,0)),"",IF(OR(VLOOKUP(I127,$C$3:$L$6,5,0)=Variables!$B$5,B127&gt;VLOOKUP(I127,$C$3:$L$6,8,0)),IF(VLOOKUP(I127,$C$3:$L$6,5,0)=Variables!$B$5,((YEAR(B127)-YEAR($B$12))*12+MONTH(B127)-MONTH($B$12)),((YEAR(B127)-YEAR(VLOOKUP(I127,$C$3:$L$6,8,0)))*12+MONTH(B127)-MONTH(VLOOKUP(I127,$C$3:$L$6,8,0))))*(VLOOKUP(I127,$C$3:$L$6,10,0)*VLOOKUP(I127,$C$3:$L$6,6,0)/12),0))</f>
        <v/>
      </c>
      <c r="K127" s="29" t="str">
        <f ca="1">IF(C127&lt;&gt;"",IF(I127&lt;&gt;"",IF(ISERROR(VLOOKUP(I127,$C$3:$L$6,10,0)),"",VLOOKUP(I127,$C$3:$L$6,10,0)+J127+IF(OR(VLOOKUP(I127,$C$3:$L$6,5,0)=Variables!$B$5,B127&gt;VLOOKUP(I127,$C$3:$L$6,8,0)),IF(VLOOKUP(I127,$C$3:$L$6,5,0)=Variables!$B$5,((YEAR(B127)-YEAR($B$12))*12+MONTH(B127)-MONTH($B$12)),((YEAR(B127)-YEAR(VLOOKUP(I127,$C$3:$L$6,8,0)))*12+MONTH(B127)-MONTH(VLOOKUP(I127,$C$3:$L$6,8,0))))*VLOOKUP(I127,$C$3:$L$6,7,0),0)),""),"")</f>
        <v/>
      </c>
      <c r="L127" s="29" t="str">
        <f t="shared" ca="1" si="19"/>
        <v/>
      </c>
      <c r="M127" s="10"/>
      <c r="N127" s="10"/>
    </row>
    <row r="128" spans="1:14" x14ac:dyDescent="0.25">
      <c r="A128" s="10"/>
      <c r="B128" s="14" t="str">
        <f t="shared" ca="1" si="20"/>
        <v/>
      </c>
      <c r="C128" s="14" t="str">
        <f ca="1">IF(I127&lt;&gt;Variables!$B$1,IF(H127&lt;&gt;0,C127,I127),"")</f>
        <v/>
      </c>
      <c r="D128" s="29" t="str">
        <f t="shared" ca="1" si="17"/>
        <v/>
      </c>
      <c r="E128" s="29" t="str">
        <f t="shared" ca="1" si="18"/>
        <v/>
      </c>
      <c r="F128" s="29" t="str">
        <f ca="1">IF(C128&lt;&gt;"",IF(OR(VLOOKUP(C128,$C$3:$L$6,5,0)=Variables!$B$5,B128&gt;VLOOKUP(C128,$C$3:$L$6,8,0)),-D128*VLOOKUP(C128,$C$3:$L$6,6,0)/12,0),"")</f>
        <v/>
      </c>
      <c r="G128" s="29" t="str">
        <f ca="1">IF(I128&lt;&gt;Variables!$B$1,IF(C128&lt;&gt;"",$I$9-E128-F128,""),-D128)</f>
        <v/>
      </c>
      <c r="H128" s="29" t="str">
        <f t="shared" ca="1" si="21"/>
        <v/>
      </c>
      <c r="I128" s="31" t="str">
        <f ca="1">IF(C128&lt;&gt;"",IF(D128+$I$9-E128-F128&gt;=0,IF(ISERROR(INDEX($C$3:$C$6,MATCH(C128,$C$3:$C$6,0)+1,0)),Variables!$B$1,INDEX($C$3:$C$6,MATCH(C128,$C$3:$C$6,0)+1,0)),""),"")</f>
        <v/>
      </c>
      <c r="J128" s="29" t="str">
        <f ca="1">IF(ISERROR(VLOOKUP(I128,$C$3:$L$6,5,0)),"",IF(OR(VLOOKUP(I128,$C$3:$L$6,5,0)=Variables!$B$5,B128&gt;VLOOKUP(I128,$C$3:$L$6,8,0)),IF(VLOOKUP(I128,$C$3:$L$6,5,0)=Variables!$B$5,((YEAR(B128)-YEAR($B$12))*12+MONTH(B128)-MONTH($B$12)),((YEAR(B128)-YEAR(VLOOKUP(I128,$C$3:$L$6,8,0)))*12+MONTH(B128)-MONTH(VLOOKUP(I128,$C$3:$L$6,8,0))))*(VLOOKUP(I128,$C$3:$L$6,10,0)*VLOOKUP(I128,$C$3:$L$6,6,0)/12),0))</f>
        <v/>
      </c>
      <c r="K128" s="29" t="str">
        <f ca="1">IF(C128&lt;&gt;"",IF(I128&lt;&gt;"",IF(ISERROR(VLOOKUP(I128,$C$3:$L$6,10,0)),"",VLOOKUP(I128,$C$3:$L$6,10,0)+J128+IF(OR(VLOOKUP(I128,$C$3:$L$6,5,0)=Variables!$B$5,B128&gt;VLOOKUP(I128,$C$3:$L$6,8,0)),IF(VLOOKUP(I128,$C$3:$L$6,5,0)=Variables!$B$5,((YEAR(B128)-YEAR($B$12))*12+MONTH(B128)-MONTH($B$12)),((YEAR(B128)-YEAR(VLOOKUP(I128,$C$3:$L$6,8,0)))*12+MONTH(B128)-MONTH(VLOOKUP(I128,$C$3:$L$6,8,0))))*VLOOKUP(I128,$C$3:$L$6,7,0),0)),""),"")</f>
        <v/>
      </c>
      <c r="L128" s="29" t="str">
        <f t="shared" ca="1" si="19"/>
        <v/>
      </c>
      <c r="M128" s="10"/>
      <c r="N128" s="10"/>
    </row>
    <row r="129" spans="1:14" x14ac:dyDescent="0.25">
      <c r="A129" s="10"/>
      <c r="B129" s="14" t="str">
        <f t="shared" ca="1" si="20"/>
        <v/>
      </c>
      <c r="C129" s="14" t="str">
        <f ca="1">IF(I128&lt;&gt;Variables!$B$1,IF(H128&lt;&gt;0,C128,I128),"")</f>
        <v/>
      </c>
      <c r="D129" s="29" t="str">
        <f t="shared" ca="1" si="17"/>
        <v/>
      </c>
      <c r="E129" s="29" t="str">
        <f t="shared" ca="1" si="18"/>
        <v/>
      </c>
      <c r="F129" s="29" t="str">
        <f ca="1">IF(C129&lt;&gt;"",IF(OR(VLOOKUP(C129,$C$3:$L$6,5,0)=Variables!$B$5,B129&gt;VLOOKUP(C129,$C$3:$L$6,8,0)),-D129*VLOOKUP(C129,$C$3:$L$6,6,0)/12,0),"")</f>
        <v/>
      </c>
      <c r="G129" s="29" t="str">
        <f ca="1">IF(I129&lt;&gt;Variables!$B$1,IF(C129&lt;&gt;"",$I$9-E129-F129,""),-D129)</f>
        <v/>
      </c>
      <c r="H129" s="29" t="str">
        <f t="shared" ca="1" si="21"/>
        <v/>
      </c>
      <c r="I129" s="31" t="str">
        <f ca="1">IF(C129&lt;&gt;"",IF(D129+$I$9-E129-F129&gt;=0,IF(ISERROR(INDEX($C$3:$C$6,MATCH(C129,$C$3:$C$6,0)+1,0)),Variables!$B$1,INDEX($C$3:$C$6,MATCH(C129,$C$3:$C$6,0)+1,0)),""),"")</f>
        <v/>
      </c>
      <c r="J129" s="29" t="str">
        <f ca="1">IF(ISERROR(VLOOKUP(I129,$C$3:$L$6,5,0)),"",IF(OR(VLOOKUP(I129,$C$3:$L$6,5,0)=Variables!$B$5,B129&gt;VLOOKUP(I129,$C$3:$L$6,8,0)),IF(VLOOKUP(I129,$C$3:$L$6,5,0)=Variables!$B$5,((YEAR(B129)-YEAR($B$12))*12+MONTH(B129)-MONTH($B$12)),((YEAR(B129)-YEAR(VLOOKUP(I129,$C$3:$L$6,8,0)))*12+MONTH(B129)-MONTH(VLOOKUP(I129,$C$3:$L$6,8,0))))*(VLOOKUP(I129,$C$3:$L$6,10,0)*VLOOKUP(I129,$C$3:$L$6,6,0)/12),0))</f>
        <v/>
      </c>
      <c r="K129" s="29" t="str">
        <f ca="1">IF(C129&lt;&gt;"",IF(I129&lt;&gt;"",IF(ISERROR(VLOOKUP(I129,$C$3:$L$6,10,0)),"",VLOOKUP(I129,$C$3:$L$6,10,0)+J129+IF(OR(VLOOKUP(I129,$C$3:$L$6,5,0)=Variables!$B$5,B129&gt;VLOOKUP(I129,$C$3:$L$6,8,0)),IF(VLOOKUP(I129,$C$3:$L$6,5,0)=Variables!$B$5,((YEAR(B129)-YEAR($B$12))*12+MONTH(B129)-MONTH($B$12)),((YEAR(B129)-YEAR(VLOOKUP(I129,$C$3:$L$6,8,0)))*12+MONTH(B129)-MONTH(VLOOKUP(I129,$C$3:$L$6,8,0))))*VLOOKUP(I129,$C$3:$L$6,7,0),0)),""),"")</f>
        <v/>
      </c>
      <c r="L129" s="29" t="str">
        <f t="shared" ca="1" si="19"/>
        <v/>
      </c>
      <c r="M129" s="10"/>
      <c r="N129" s="10"/>
    </row>
    <row r="130" spans="1:14" x14ac:dyDescent="0.25">
      <c r="A130" s="10"/>
      <c r="B130" s="14" t="str">
        <f t="shared" ca="1" si="20"/>
        <v/>
      </c>
      <c r="C130" s="14" t="str">
        <f ca="1">IF(I129&lt;&gt;Variables!$B$1,IF(H129&lt;&gt;0,C129,I129),"")</f>
        <v/>
      </c>
      <c r="D130" s="29" t="str">
        <f t="shared" ca="1" si="17"/>
        <v/>
      </c>
      <c r="E130" s="29" t="str">
        <f t="shared" ca="1" si="18"/>
        <v/>
      </c>
      <c r="F130" s="29" t="str">
        <f ca="1">IF(C130&lt;&gt;"",IF(OR(VLOOKUP(C130,$C$3:$L$6,5,0)=Variables!$B$5,B130&gt;VLOOKUP(C130,$C$3:$L$6,8,0)),-D130*VLOOKUP(C130,$C$3:$L$6,6,0)/12,0),"")</f>
        <v/>
      </c>
      <c r="G130" s="29" t="str">
        <f ca="1">IF(I130&lt;&gt;Variables!$B$1,IF(C130&lt;&gt;"",$I$9-E130-F130,""),-D130)</f>
        <v/>
      </c>
      <c r="H130" s="29" t="str">
        <f t="shared" ca="1" si="21"/>
        <v/>
      </c>
      <c r="I130" s="31" t="str">
        <f ca="1">IF(C130&lt;&gt;"",IF(D130+$I$9-E130-F130&gt;=0,IF(ISERROR(INDEX($C$3:$C$6,MATCH(C130,$C$3:$C$6,0)+1,0)),Variables!$B$1,INDEX($C$3:$C$6,MATCH(C130,$C$3:$C$6,0)+1,0)),""),"")</f>
        <v/>
      </c>
      <c r="J130" s="29" t="str">
        <f ca="1">IF(ISERROR(VLOOKUP(I130,$C$3:$L$6,5,0)),"",IF(OR(VLOOKUP(I130,$C$3:$L$6,5,0)=Variables!$B$5,B130&gt;VLOOKUP(I130,$C$3:$L$6,8,0)),IF(VLOOKUP(I130,$C$3:$L$6,5,0)=Variables!$B$5,((YEAR(B130)-YEAR($B$12))*12+MONTH(B130)-MONTH($B$12)),((YEAR(B130)-YEAR(VLOOKUP(I130,$C$3:$L$6,8,0)))*12+MONTH(B130)-MONTH(VLOOKUP(I130,$C$3:$L$6,8,0))))*(VLOOKUP(I130,$C$3:$L$6,10,0)*VLOOKUP(I130,$C$3:$L$6,6,0)/12),0))</f>
        <v/>
      </c>
      <c r="K130" s="29" t="str">
        <f ca="1">IF(C130&lt;&gt;"",IF(I130&lt;&gt;"",IF(ISERROR(VLOOKUP(I130,$C$3:$L$6,10,0)),"",VLOOKUP(I130,$C$3:$L$6,10,0)+J130+IF(OR(VLOOKUP(I130,$C$3:$L$6,5,0)=Variables!$B$5,B130&gt;VLOOKUP(I130,$C$3:$L$6,8,0)),IF(VLOOKUP(I130,$C$3:$L$6,5,0)=Variables!$B$5,((YEAR(B130)-YEAR($B$12))*12+MONTH(B130)-MONTH($B$12)),((YEAR(B130)-YEAR(VLOOKUP(I130,$C$3:$L$6,8,0)))*12+MONTH(B130)-MONTH(VLOOKUP(I130,$C$3:$L$6,8,0))))*VLOOKUP(I130,$C$3:$L$6,7,0),0)),""),"")</f>
        <v/>
      </c>
      <c r="L130" s="29" t="str">
        <f t="shared" ca="1" si="19"/>
        <v/>
      </c>
      <c r="M130" s="10"/>
      <c r="N130" s="10"/>
    </row>
    <row r="131" spans="1:14" x14ac:dyDescent="0.25">
      <c r="A131" s="10"/>
      <c r="B131" s="14" t="str">
        <f t="shared" ca="1" si="20"/>
        <v/>
      </c>
      <c r="C131" s="14" t="str">
        <f ca="1">IF(I130&lt;&gt;Variables!$B$1,IF(H130&lt;&gt;0,C130,I130),"")</f>
        <v/>
      </c>
      <c r="D131" s="29" t="str">
        <f t="shared" ca="1" si="17"/>
        <v/>
      </c>
      <c r="E131" s="29" t="str">
        <f t="shared" ca="1" si="18"/>
        <v/>
      </c>
      <c r="F131" s="29" t="str">
        <f ca="1">IF(C131&lt;&gt;"",IF(OR(VLOOKUP(C131,$C$3:$L$6,5,0)=Variables!$B$5,B131&gt;VLOOKUP(C131,$C$3:$L$6,8,0)),-D131*VLOOKUP(C131,$C$3:$L$6,6,0)/12,0),"")</f>
        <v/>
      </c>
      <c r="G131" s="29" t="str">
        <f ca="1">IF(I131&lt;&gt;Variables!$B$1,IF(C131&lt;&gt;"",$I$9-E131-F131,""),-D131)</f>
        <v/>
      </c>
      <c r="H131" s="29" t="str">
        <f t="shared" ca="1" si="21"/>
        <v/>
      </c>
      <c r="I131" s="31" t="str">
        <f ca="1">IF(C131&lt;&gt;"",IF(D131+$I$9-E131-F131&gt;=0,IF(ISERROR(INDEX($C$3:$C$6,MATCH(C131,$C$3:$C$6,0)+1,0)),Variables!$B$1,INDEX($C$3:$C$6,MATCH(C131,$C$3:$C$6,0)+1,0)),""),"")</f>
        <v/>
      </c>
      <c r="J131" s="29" t="str">
        <f ca="1">IF(ISERROR(VLOOKUP(I131,$C$3:$L$6,5,0)),"",IF(OR(VLOOKUP(I131,$C$3:$L$6,5,0)=Variables!$B$5,B131&gt;VLOOKUP(I131,$C$3:$L$6,8,0)),IF(VLOOKUP(I131,$C$3:$L$6,5,0)=Variables!$B$5,((YEAR(B131)-YEAR($B$12))*12+MONTH(B131)-MONTH($B$12)),((YEAR(B131)-YEAR(VLOOKUP(I131,$C$3:$L$6,8,0)))*12+MONTH(B131)-MONTH(VLOOKUP(I131,$C$3:$L$6,8,0))))*(VLOOKUP(I131,$C$3:$L$6,10,0)*VLOOKUP(I131,$C$3:$L$6,6,0)/12),0))</f>
        <v/>
      </c>
      <c r="K131" s="29" t="str">
        <f ca="1">IF(C131&lt;&gt;"",IF(I131&lt;&gt;"",IF(ISERROR(VLOOKUP(I131,$C$3:$L$6,10,0)),"",VLOOKUP(I131,$C$3:$L$6,10,0)+J131+IF(OR(VLOOKUP(I131,$C$3:$L$6,5,0)=Variables!$B$5,B131&gt;VLOOKUP(I131,$C$3:$L$6,8,0)),IF(VLOOKUP(I131,$C$3:$L$6,5,0)=Variables!$B$5,((YEAR(B131)-YEAR($B$12))*12+MONTH(B131)-MONTH($B$12)),((YEAR(B131)-YEAR(VLOOKUP(I131,$C$3:$L$6,8,0)))*12+MONTH(B131)-MONTH(VLOOKUP(I131,$C$3:$L$6,8,0))))*VLOOKUP(I131,$C$3:$L$6,7,0),0)),""),"")</f>
        <v/>
      </c>
      <c r="L131" s="29" t="str">
        <f t="shared" ca="1" si="19"/>
        <v/>
      </c>
      <c r="M131" s="10"/>
      <c r="N131" s="10"/>
    </row>
    <row r="132" spans="1:14" x14ac:dyDescent="0.25">
      <c r="A132" s="10"/>
      <c r="B132" s="14" t="str">
        <f t="shared" ca="1" si="20"/>
        <v/>
      </c>
      <c r="C132" s="14" t="str">
        <f ca="1">IF(I131&lt;&gt;Variables!$B$1,IF(H131&lt;&gt;0,C131,I131),"")</f>
        <v/>
      </c>
      <c r="D132" s="29" t="str">
        <f t="shared" ca="1" si="17"/>
        <v/>
      </c>
      <c r="E132" s="29" t="str">
        <f t="shared" ca="1" si="18"/>
        <v/>
      </c>
      <c r="F132" s="29" t="str">
        <f ca="1">IF(C132&lt;&gt;"",IF(OR(VLOOKUP(C132,$C$3:$L$6,5,0)=Variables!$B$5,B132&gt;VLOOKUP(C132,$C$3:$L$6,8,0)),-D132*VLOOKUP(C132,$C$3:$L$6,6,0)/12,0),"")</f>
        <v/>
      </c>
      <c r="G132" s="29" t="str">
        <f ca="1">IF(I132&lt;&gt;Variables!$B$1,IF(C132&lt;&gt;"",$I$9-E132-F132,""),-D132)</f>
        <v/>
      </c>
      <c r="H132" s="29" t="str">
        <f t="shared" ca="1" si="21"/>
        <v/>
      </c>
      <c r="I132" s="31" t="str">
        <f ca="1">IF(C132&lt;&gt;"",IF(D132+$I$9-E132-F132&gt;=0,IF(ISERROR(INDEX($C$3:$C$6,MATCH(C132,$C$3:$C$6,0)+1,0)),Variables!$B$1,INDEX($C$3:$C$6,MATCH(C132,$C$3:$C$6,0)+1,0)),""),"")</f>
        <v/>
      </c>
      <c r="J132" s="29" t="str">
        <f ca="1">IF(ISERROR(VLOOKUP(I132,$C$3:$L$6,5,0)),"",IF(OR(VLOOKUP(I132,$C$3:$L$6,5,0)=Variables!$B$5,B132&gt;VLOOKUP(I132,$C$3:$L$6,8,0)),IF(VLOOKUP(I132,$C$3:$L$6,5,0)=Variables!$B$5,((YEAR(B132)-YEAR($B$12))*12+MONTH(B132)-MONTH($B$12)),((YEAR(B132)-YEAR(VLOOKUP(I132,$C$3:$L$6,8,0)))*12+MONTH(B132)-MONTH(VLOOKUP(I132,$C$3:$L$6,8,0))))*(VLOOKUP(I132,$C$3:$L$6,10,0)*VLOOKUP(I132,$C$3:$L$6,6,0)/12),0))</f>
        <v/>
      </c>
      <c r="K132" s="29" t="str">
        <f ca="1">IF(C132&lt;&gt;"",IF(I132&lt;&gt;"",IF(ISERROR(VLOOKUP(I132,$C$3:$L$6,10,0)),"",VLOOKUP(I132,$C$3:$L$6,10,0)+J132+IF(OR(VLOOKUP(I132,$C$3:$L$6,5,0)=Variables!$B$5,B132&gt;VLOOKUP(I132,$C$3:$L$6,8,0)),IF(VLOOKUP(I132,$C$3:$L$6,5,0)=Variables!$B$5,((YEAR(B132)-YEAR($B$12))*12+MONTH(B132)-MONTH($B$12)),((YEAR(B132)-YEAR(VLOOKUP(I132,$C$3:$L$6,8,0)))*12+MONTH(B132)-MONTH(VLOOKUP(I132,$C$3:$L$6,8,0))))*VLOOKUP(I132,$C$3:$L$6,7,0),0)),""),"")</f>
        <v/>
      </c>
      <c r="L132" s="29" t="str">
        <f t="shared" ca="1" si="19"/>
        <v/>
      </c>
      <c r="M132" s="10"/>
      <c r="N132" s="10"/>
    </row>
    <row r="133" spans="1:14" x14ac:dyDescent="0.25">
      <c r="A133" s="10"/>
      <c r="B133" s="14" t="str">
        <f t="shared" ca="1" si="20"/>
        <v/>
      </c>
      <c r="C133" s="14" t="str">
        <f ca="1">IF(I132&lt;&gt;Variables!$B$1,IF(H132&lt;&gt;0,C132,I132),"")</f>
        <v/>
      </c>
      <c r="D133" s="29" t="str">
        <f t="shared" ca="1" si="17"/>
        <v/>
      </c>
      <c r="E133" s="29" t="str">
        <f t="shared" ca="1" si="18"/>
        <v/>
      </c>
      <c r="F133" s="29" t="str">
        <f ca="1">IF(C133&lt;&gt;"",IF(OR(VLOOKUP(C133,$C$3:$L$6,5,0)=Variables!$B$5,B133&gt;VLOOKUP(C133,$C$3:$L$6,8,0)),-D133*VLOOKUP(C133,$C$3:$L$6,6,0)/12,0),"")</f>
        <v/>
      </c>
      <c r="G133" s="29" t="str">
        <f ca="1">IF(I133&lt;&gt;Variables!$B$1,IF(C133&lt;&gt;"",$I$9-E133-F133,""),-D133)</f>
        <v/>
      </c>
      <c r="H133" s="29" t="str">
        <f t="shared" ca="1" si="21"/>
        <v/>
      </c>
      <c r="I133" s="31" t="str">
        <f ca="1">IF(C133&lt;&gt;"",IF(D133+$I$9-E133-F133&gt;=0,IF(ISERROR(INDEX($C$3:$C$6,MATCH(C133,$C$3:$C$6,0)+1,0)),Variables!$B$1,INDEX($C$3:$C$6,MATCH(C133,$C$3:$C$6,0)+1,0)),""),"")</f>
        <v/>
      </c>
      <c r="J133" s="29" t="str">
        <f ca="1">IF(ISERROR(VLOOKUP(I133,$C$3:$L$6,5,0)),"",IF(OR(VLOOKUP(I133,$C$3:$L$6,5,0)=Variables!$B$5,B133&gt;VLOOKUP(I133,$C$3:$L$6,8,0)),IF(VLOOKUP(I133,$C$3:$L$6,5,0)=Variables!$B$5,((YEAR(B133)-YEAR($B$12))*12+MONTH(B133)-MONTH($B$12)),((YEAR(B133)-YEAR(VLOOKUP(I133,$C$3:$L$6,8,0)))*12+MONTH(B133)-MONTH(VLOOKUP(I133,$C$3:$L$6,8,0))))*(VLOOKUP(I133,$C$3:$L$6,10,0)*VLOOKUP(I133,$C$3:$L$6,6,0)/12),0))</f>
        <v/>
      </c>
      <c r="K133" s="29" t="str">
        <f ca="1">IF(C133&lt;&gt;"",IF(I133&lt;&gt;"",IF(ISERROR(VLOOKUP(I133,$C$3:$L$6,10,0)),"",VLOOKUP(I133,$C$3:$L$6,10,0)+J133+IF(OR(VLOOKUP(I133,$C$3:$L$6,5,0)=Variables!$B$5,B133&gt;VLOOKUP(I133,$C$3:$L$6,8,0)),IF(VLOOKUP(I133,$C$3:$L$6,5,0)=Variables!$B$5,((YEAR(B133)-YEAR($B$12))*12+MONTH(B133)-MONTH($B$12)),((YEAR(B133)-YEAR(VLOOKUP(I133,$C$3:$L$6,8,0)))*12+MONTH(B133)-MONTH(VLOOKUP(I133,$C$3:$L$6,8,0))))*VLOOKUP(I133,$C$3:$L$6,7,0),0)),""),"")</f>
        <v/>
      </c>
      <c r="L133" s="29" t="str">
        <f t="shared" ca="1" si="19"/>
        <v/>
      </c>
      <c r="M133" s="10"/>
      <c r="N133" s="10"/>
    </row>
    <row r="134" spans="1:14" x14ac:dyDescent="0.25">
      <c r="A134" s="10"/>
      <c r="B134" s="14" t="str">
        <f t="shared" ca="1" si="20"/>
        <v/>
      </c>
      <c r="C134" s="14" t="str">
        <f ca="1">IF(I133&lt;&gt;Variables!$B$1,IF(H133&lt;&gt;0,C133,I133),"")</f>
        <v/>
      </c>
      <c r="D134" s="29" t="str">
        <f t="shared" ca="1" si="17"/>
        <v/>
      </c>
      <c r="E134" s="29" t="str">
        <f t="shared" ca="1" si="18"/>
        <v/>
      </c>
      <c r="F134" s="29" t="str">
        <f ca="1">IF(C134&lt;&gt;"",IF(OR(VLOOKUP(C134,$C$3:$L$6,5,0)=Variables!$B$5,B134&gt;VLOOKUP(C134,$C$3:$L$6,8,0)),-D134*VLOOKUP(C134,$C$3:$L$6,6,0)/12,0),"")</f>
        <v/>
      </c>
      <c r="G134" s="29" t="str">
        <f ca="1">IF(I134&lt;&gt;Variables!$B$1,IF(C134&lt;&gt;"",$I$9-E134-F134,""),-D134)</f>
        <v/>
      </c>
      <c r="H134" s="29" t="str">
        <f t="shared" ca="1" si="21"/>
        <v/>
      </c>
      <c r="I134" s="31" t="str">
        <f ca="1">IF(C134&lt;&gt;"",IF(D134+$I$9-E134-F134&gt;=0,IF(ISERROR(INDEX($C$3:$C$6,MATCH(C134,$C$3:$C$6,0)+1,0)),Variables!$B$1,INDEX($C$3:$C$6,MATCH(C134,$C$3:$C$6,0)+1,0)),""),"")</f>
        <v/>
      </c>
      <c r="J134" s="29" t="str">
        <f ca="1">IF(ISERROR(VLOOKUP(I134,$C$3:$L$6,5,0)),"",IF(OR(VLOOKUP(I134,$C$3:$L$6,5,0)=Variables!$B$5,B134&gt;VLOOKUP(I134,$C$3:$L$6,8,0)),IF(VLOOKUP(I134,$C$3:$L$6,5,0)=Variables!$B$5,((YEAR(B134)-YEAR($B$12))*12+MONTH(B134)-MONTH($B$12)),((YEAR(B134)-YEAR(VLOOKUP(I134,$C$3:$L$6,8,0)))*12+MONTH(B134)-MONTH(VLOOKUP(I134,$C$3:$L$6,8,0))))*(VLOOKUP(I134,$C$3:$L$6,10,0)*VLOOKUP(I134,$C$3:$L$6,6,0)/12),0))</f>
        <v/>
      </c>
      <c r="K134" s="29" t="str">
        <f ca="1">IF(C134&lt;&gt;"",IF(I134&lt;&gt;"",IF(ISERROR(VLOOKUP(I134,$C$3:$L$6,10,0)),"",VLOOKUP(I134,$C$3:$L$6,10,0)+J134+IF(OR(VLOOKUP(I134,$C$3:$L$6,5,0)=Variables!$B$5,B134&gt;VLOOKUP(I134,$C$3:$L$6,8,0)),IF(VLOOKUP(I134,$C$3:$L$6,5,0)=Variables!$B$5,((YEAR(B134)-YEAR($B$12))*12+MONTH(B134)-MONTH($B$12)),((YEAR(B134)-YEAR(VLOOKUP(I134,$C$3:$L$6,8,0)))*12+MONTH(B134)-MONTH(VLOOKUP(I134,$C$3:$L$6,8,0))))*VLOOKUP(I134,$C$3:$L$6,7,0),0)),""),"")</f>
        <v/>
      </c>
      <c r="L134" s="29" t="str">
        <f t="shared" ca="1" si="19"/>
        <v/>
      </c>
      <c r="M134" s="10"/>
      <c r="N134" s="10"/>
    </row>
    <row r="135" spans="1:14" x14ac:dyDescent="0.25">
      <c r="A135" s="10"/>
      <c r="B135" s="14" t="str">
        <f t="shared" ca="1" si="20"/>
        <v/>
      </c>
      <c r="C135" s="14" t="str">
        <f ca="1">IF(I134&lt;&gt;Variables!$B$1,IF(H134&lt;&gt;0,C134,I134),"")</f>
        <v/>
      </c>
      <c r="D135" s="29" t="str">
        <f t="shared" ca="1" si="17"/>
        <v/>
      </c>
      <c r="E135" s="29" t="str">
        <f t="shared" ca="1" si="18"/>
        <v/>
      </c>
      <c r="F135" s="29" t="str">
        <f ca="1">IF(C135&lt;&gt;"",IF(OR(VLOOKUP(C135,$C$3:$L$6,5,0)=Variables!$B$5,B135&gt;VLOOKUP(C135,$C$3:$L$6,8,0)),-D135*VLOOKUP(C135,$C$3:$L$6,6,0)/12,0),"")</f>
        <v/>
      </c>
      <c r="G135" s="29" t="str">
        <f ca="1">IF(I135&lt;&gt;Variables!$B$1,IF(C135&lt;&gt;"",$I$9-E135-F135,""),-D135)</f>
        <v/>
      </c>
      <c r="H135" s="29" t="str">
        <f t="shared" ca="1" si="21"/>
        <v/>
      </c>
      <c r="I135" s="31" t="str">
        <f ca="1">IF(C135&lt;&gt;"",IF(D135+$I$9-E135-F135&gt;=0,IF(ISERROR(INDEX($C$3:$C$6,MATCH(C135,$C$3:$C$6,0)+1,0)),Variables!$B$1,INDEX($C$3:$C$6,MATCH(C135,$C$3:$C$6,0)+1,0)),""),"")</f>
        <v/>
      </c>
      <c r="J135" s="29" t="str">
        <f ca="1">IF(ISERROR(VLOOKUP(I135,$C$3:$L$6,5,0)),"",IF(OR(VLOOKUP(I135,$C$3:$L$6,5,0)=Variables!$B$5,B135&gt;VLOOKUP(I135,$C$3:$L$6,8,0)),IF(VLOOKUP(I135,$C$3:$L$6,5,0)=Variables!$B$5,((YEAR(B135)-YEAR($B$12))*12+MONTH(B135)-MONTH($B$12)),((YEAR(B135)-YEAR(VLOOKUP(I135,$C$3:$L$6,8,0)))*12+MONTH(B135)-MONTH(VLOOKUP(I135,$C$3:$L$6,8,0))))*(VLOOKUP(I135,$C$3:$L$6,10,0)*VLOOKUP(I135,$C$3:$L$6,6,0)/12),0))</f>
        <v/>
      </c>
      <c r="K135" s="29" t="str">
        <f ca="1">IF(C135&lt;&gt;"",IF(I135&lt;&gt;"",IF(ISERROR(VLOOKUP(I135,$C$3:$L$6,10,0)),"",VLOOKUP(I135,$C$3:$L$6,10,0)+J135+IF(OR(VLOOKUP(I135,$C$3:$L$6,5,0)=Variables!$B$5,B135&gt;VLOOKUP(I135,$C$3:$L$6,8,0)),IF(VLOOKUP(I135,$C$3:$L$6,5,0)=Variables!$B$5,((YEAR(B135)-YEAR($B$12))*12+MONTH(B135)-MONTH($B$12)),((YEAR(B135)-YEAR(VLOOKUP(I135,$C$3:$L$6,8,0)))*12+MONTH(B135)-MONTH(VLOOKUP(I135,$C$3:$L$6,8,0))))*VLOOKUP(I135,$C$3:$L$6,7,0),0)),""),"")</f>
        <v/>
      </c>
      <c r="L135" s="29" t="str">
        <f t="shared" ca="1" si="19"/>
        <v/>
      </c>
      <c r="M135" s="10"/>
      <c r="N135" s="10"/>
    </row>
    <row r="136" spans="1:14" x14ac:dyDescent="0.25">
      <c r="A136" s="10"/>
      <c r="B136" s="14" t="str">
        <f t="shared" ca="1" si="20"/>
        <v/>
      </c>
      <c r="C136" s="14" t="str">
        <f ca="1">IF(I135&lt;&gt;Variables!$B$1,IF(H135&lt;&gt;0,C135,I135),"")</f>
        <v/>
      </c>
      <c r="D136" s="29" t="str">
        <f t="shared" ca="1" si="17"/>
        <v/>
      </c>
      <c r="E136" s="29" t="str">
        <f t="shared" ca="1" si="18"/>
        <v/>
      </c>
      <c r="F136" s="29" t="str">
        <f ca="1">IF(C136&lt;&gt;"",IF(OR(VLOOKUP(C136,$C$3:$L$6,5,0)=Variables!$B$5,B136&gt;VLOOKUP(C136,$C$3:$L$6,8,0)),-D136*VLOOKUP(C136,$C$3:$L$6,6,0)/12,0),"")</f>
        <v/>
      </c>
      <c r="G136" s="29" t="str">
        <f ca="1">IF(I136&lt;&gt;Variables!$B$1,IF(C136&lt;&gt;"",$I$9-E136-F136,""),-D136)</f>
        <v/>
      </c>
      <c r="H136" s="29" t="str">
        <f t="shared" ca="1" si="21"/>
        <v/>
      </c>
      <c r="I136" s="31" t="str">
        <f ca="1">IF(C136&lt;&gt;"",IF(D136+$I$9-E136-F136&gt;=0,IF(ISERROR(INDEX($C$3:$C$6,MATCH(C136,$C$3:$C$6,0)+1,0)),Variables!$B$1,INDEX($C$3:$C$6,MATCH(C136,$C$3:$C$6,0)+1,0)),""),"")</f>
        <v/>
      </c>
      <c r="J136" s="29" t="str">
        <f ca="1">IF(ISERROR(VLOOKUP(I136,$C$3:$L$6,5,0)),"",IF(OR(VLOOKUP(I136,$C$3:$L$6,5,0)=Variables!$B$5,B136&gt;VLOOKUP(I136,$C$3:$L$6,8,0)),IF(VLOOKUP(I136,$C$3:$L$6,5,0)=Variables!$B$5,((YEAR(B136)-YEAR($B$12))*12+MONTH(B136)-MONTH($B$12)),((YEAR(B136)-YEAR(VLOOKUP(I136,$C$3:$L$6,8,0)))*12+MONTH(B136)-MONTH(VLOOKUP(I136,$C$3:$L$6,8,0))))*(VLOOKUP(I136,$C$3:$L$6,10,0)*VLOOKUP(I136,$C$3:$L$6,6,0)/12),0))</f>
        <v/>
      </c>
      <c r="K136" s="29" t="str">
        <f ca="1">IF(C136&lt;&gt;"",IF(I136&lt;&gt;"",IF(ISERROR(VLOOKUP(I136,$C$3:$L$6,10,0)),"",VLOOKUP(I136,$C$3:$L$6,10,0)+J136+IF(OR(VLOOKUP(I136,$C$3:$L$6,5,0)=Variables!$B$5,B136&gt;VLOOKUP(I136,$C$3:$L$6,8,0)),IF(VLOOKUP(I136,$C$3:$L$6,5,0)=Variables!$B$5,((YEAR(B136)-YEAR($B$12))*12+MONTH(B136)-MONTH($B$12)),((YEAR(B136)-YEAR(VLOOKUP(I136,$C$3:$L$6,8,0)))*12+MONTH(B136)-MONTH(VLOOKUP(I136,$C$3:$L$6,8,0))))*VLOOKUP(I136,$C$3:$L$6,7,0),0)),""),"")</f>
        <v/>
      </c>
      <c r="L136" s="29" t="str">
        <f t="shared" ca="1" si="19"/>
        <v/>
      </c>
      <c r="M136" s="10"/>
      <c r="N136" s="10"/>
    </row>
    <row r="137" spans="1:14" x14ac:dyDescent="0.25">
      <c r="A137" s="10"/>
      <c r="B137" s="14" t="str">
        <f t="shared" ca="1" si="20"/>
        <v/>
      </c>
      <c r="C137" s="14" t="str">
        <f ca="1">IF(I136&lt;&gt;Variables!$B$1,IF(H136&lt;&gt;0,C136,I136),"")</f>
        <v/>
      </c>
      <c r="D137" s="29" t="str">
        <f t="shared" ca="1" si="17"/>
        <v/>
      </c>
      <c r="E137" s="29" t="str">
        <f t="shared" ca="1" si="18"/>
        <v/>
      </c>
      <c r="F137" s="29" t="str">
        <f ca="1">IF(C137&lt;&gt;"",IF(OR(VLOOKUP(C137,$C$3:$L$6,5,0)=Variables!$B$5,B137&gt;VLOOKUP(C137,$C$3:$L$6,8,0)),-D137*VLOOKUP(C137,$C$3:$L$6,6,0)/12,0),"")</f>
        <v/>
      </c>
      <c r="G137" s="29" t="str">
        <f ca="1">IF(I137&lt;&gt;Variables!$B$1,IF(C137&lt;&gt;"",$I$9-E137-F137,""),-D137)</f>
        <v/>
      </c>
      <c r="H137" s="29" t="str">
        <f t="shared" ca="1" si="21"/>
        <v/>
      </c>
      <c r="I137" s="31" t="str">
        <f ca="1">IF(C137&lt;&gt;"",IF(D137+$I$9-E137-F137&gt;=0,IF(ISERROR(INDEX($C$3:$C$6,MATCH(C137,$C$3:$C$6,0)+1,0)),Variables!$B$1,INDEX($C$3:$C$6,MATCH(C137,$C$3:$C$6,0)+1,0)),""),"")</f>
        <v/>
      </c>
      <c r="J137" s="29" t="str">
        <f ca="1">IF(ISERROR(VLOOKUP(I137,$C$3:$L$6,5,0)),"",IF(OR(VLOOKUP(I137,$C$3:$L$6,5,0)=Variables!$B$5,B137&gt;VLOOKUP(I137,$C$3:$L$6,8,0)),IF(VLOOKUP(I137,$C$3:$L$6,5,0)=Variables!$B$5,((YEAR(B137)-YEAR($B$12))*12+MONTH(B137)-MONTH($B$12)),((YEAR(B137)-YEAR(VLOOKUP(I137,$C$3:$L$6,8,0)))*12+MONTH(B137)-MONTH(VLOOKUP(I137,$C$3:$L$6,8,0))))*(VLOOKUP(I137,$C$3:$L$6,10,0)*VLOOKUP(I137,$C$3:$L$6,6,0)/12),0))</f>
        <v/>
      </c>
      <c r="K137" s="29" t="str">
        <f ca="1">IF(C137&lt;&gt;"",IF(I137&lt;&gt;"",IF(ISERROR(VLOOKUP(I137,$C$3:$L$6,10,0)),"",VLOOKUP(I137,$C$3:$L$6,10,0)+J137+IF(OR(VLOOKUP(I137,$C$3:$L$6,5,0)=Variables!$B$5,B137&gt;VLOOKUP(I137,$C$3:$L$6,8,0)),IF(VLOOKUP(I137,$C$3:$L$6,5,0)=Variables!$B$5,((YEAR(B137)-YEAR($B$12))*12+MONTH(B137)-MONTH($B$12)),((YEAR(B137)-YEAR(VLOOKUP(I137,$C$3:$L$6,8,0)))*12+MONTH(B137)-MONTH(VLOOKUP(I137,$C$3:$L$6,8,0))))*VLOOKUP(I137,$C$3:$L$6,7,0),0)),""),"")</f>
        <v/>
      </c>
      <c r="L137" s="29" t="str">
        <f t="shared" ca="1" si="19"/>
        <v/>
      </c>
      <c r="M137" s="10"/>
      <c r="N137" s="10"/>
    </row>
    <row r="138" spans="1:14" x14ac:dyDescent="0.25">
      <c r="A138" s="10"/>
      <c r="B138" s="14" t="str">
        <f t="shared" ca="1" si="20"/>
        <v/>
      </c>
      <c r="C138" s="14" t="str">
        <f ca="1">IF(I137&lt;&gt;Variables!$B$1,IF(H137&lt;&gt;0,C137,I137),"")</f>
        <v/>
      </c>
      <c r="D138" s="29" t="str">
        <f t="shared" ca="1" si="17"/>
        <v/>
      </c>
      <c r="E138" s="29" t="str">
        <f t="shared" ca="1" si="18"/>
        <v/>
      </c>
      <c r="F138" s="29" t="str">
        <f ca="1">IF(C138&lt;&gt;"",IF(OR(VLOOKUP(C138,$C$3:$L$6,5,0)=Variables!$B$5,B138&gt;VLOOKUP(C138,$C$3:$L$6,8,0)),-D138*VLOOKUP(C138,$C$3:$L$6,6,0)/12,0),"")</f>
        <v/>
      </c>
      <c r="G138" s="29" t="str">
        <f ca="1">IF(I138&lt;&gt;Variables!$B$1,IF(C138&lt;&gt;"",$I$9-E138-F138,""),-D138)</f>
        <v/>
      </c>
      <c r="H138" s="29" t="str">
        <f t="shared" ca="1" si="21"/>
        <v/>
      </c>
      <c r="I138" s="31" t="str">
        <f ca="1">IF(C138&lt;&gt;"",IF(D138+$I$9-E138-F138&gt;=0,IF(ISERROR(INDEX($C$3:$C$6,MATCH(C138,$C$3:$C$6,0)+1,0)),Variables!$B$1,INDEX($C$3:$C$6,MATCH(C138,$C$3:$C$6,0)+1,0)),""),"")</f>
        <v/>
      </c>
      <c r="J138" s="29" t="str">
        <f ca="1">IF(ISERROR(VLOOKUP(I138,$C$3:$L$6,5,0)),"",IF(OR(VLOOKUP(I138,$C$3:$L$6,5,0)=Variables!$B$5,B138&gt;VLOOKUP(I138,$C$3:$L$6,8,0)),IF(VLOOKUP(I138,$C$3:$L$6,5,0)=Variables!$B$5,((YEAR(B138)-YEAR($B$12))*12+MONTH(B138)-MONTH($B$12)),((YEAR(B138)-YEAR(VLOOKUP(I138,$C$3:$L$6,8,0)))*12+MONTH(B138)-MONTH(VLOOKUP(I138,$C$3:$L$6,8,0))))*(VLOOKUP(I138,$C$3:$L$6,10,0)*VLOOKUP(I138,$C$3:$L$6,6,0)/12),0))</f>
        <v/>
      </c>
      <c r="K138" s="29" t="str">
        <f ca="1">IF(C138&lt;&gt;"",IF(I138&lt;&gt;"",IF(ISERROR(VLOOKUP(I138,$C$3:$L$6,10,0)),"",VLOOKUP(I138,$C$3:$L$6,10,0)+J138+IF(OR(VLOOKUP(I138,$C$3:$L$6,5,0)=Variables!$B$5,B138&gt;VLOOKUP(I138,$C$3:$L$6,8,0)),IF(VLOOKUP(I138,$C$3:$L$6,5,0)=Variables!$B$5,((YEAR(B138)-YEAR($B$12))*12+MONTH(B138)-MONTH($B$12)),((YEAR(B138)-YEAR(VLOOKUP(I138,$C$3:$L$6,8,0)))*12+MONTH(B138)-MONTH(VLOOKUP(I138,$C$3:$L$6,8,0))))*VLOOKUP(I138,$C$3:$L$6,7,0),0)),""),"")</f>
        <v/>
      </c>
      <c r="L138" s="29" t="str">
        <f t="shared" ca="1" si="19"/>
        <v/>
      </c>
      <c r="M138" s="10"/>
      <c r="N138" s="10"/>
    </row>
    <row r="139" spans="1:14" x14ac:dyDescent="0.25">
      <c r="A139" s="10"/>
      <c r="B139" s="14" t="str">
        <f t="shared" ca="1" si="20"/>
        <v/>
      </c>
      <c r="C139" s="14" t="str">
        <f ca="1">IF(I138&lt;&gt;Variables!$B$1,IF(H138&lt;&gt;0,C138,I138),"")</f>
        <v/>
      </c>
      <c r="D139" s="29" t="str">
        <f t="shared" ca="1" si="17"/>
        <v/>
      </c>
      <c r="E139" s="29" t="str">
        <f t="shared" ca="1" si="18"/>
        <v/>
      </c>
      <c r="F139" s="29" t="str">
        <f ca="1">IF(C139&lt;&gt;"",IF(OR(VLOOKUP(C139,$C$3:$L$6,5,0)=Variables!$B$5,B139&gt;VLOOKUP(C139,$C$3:$L$6,8,0)),-D139*VLOOKUP(C139,$C$3:$L$6,6,0)/12,0),"")</f>
        <v/>
      </c>
      <c r="G139" s="29" t="str">
        <f ca="1">IF(I139&lt;&gt;Variables!$B$1,IF(C139&lt;&gt;"",$I$9-E139-F139,""),-D139)</f>
        <v/>
      </c>
      <c r="H139" s="29" t="str">
        <f t="shared" ca="1" si="21"/>
        <v/>
      </c>
      <c r="I139" s="31" t="str">
        <f ca="1">IF(C139&lt;&gt;"",IF(D139+$I$9-E139-F139&gt;=0,IF(ISERROR(INDEX($C$3:$C$6,MATCH(C139,$C$3:$C$6,0)+1,0)),Variables!$B$1,INDEX($C$3:$C$6,MATCH(C139,$C$3:$C$6,0)+1,0)),""),"")</f>
        <v/>
      </c>
      <c r="J139" s="29" t="str">
        <f ca="1">IF(ISERROR(VLOOKUP(I139,$C$3:$L$6,5,0)),"",IF(OR(VLOOKUP(I139,$C$3:$L$6,5,0)=Variables!$B$5,B139&gt;VLOOKUP(I139,$C$3:$L$6,8,0)),IF(VLOOKUP(I139,$C$3:$L$6,5,0)=Variables!$B$5,((YEAR(B139)-YEAR($B$12))*12+MONTH(B139)-MONTH($B$12)),((YEAR(B139)-YEAR(VLOOKUP(I139,$C$3:$L$6,8,0)))*12+MONTH(B139)-MONTH(VLOOKUP(I139,$C$3:$L$6,8,0))))*(VLOOKUP(I139,$C$3:$L$6,10,0)*VLOOKUP(I139,$C$3:$L$6,6,0)/12),0))</f>
        <v/>
      </c>
      <c r="K139" s="29" t="str">
        <f ca="1">IF(C139&lt;&gt;"",IF(I139&lt;&gt;"",IF(ISERROR(VLOOKUP(I139,$C$3:$L$6,10,0)),"",VLOOKUP(I139,$C$3:$L$6,10,0)+J139+IF(OR(VLOOKUP(I139,$C$3:$L$6,5,0)=Variables!$B$5,B139&gt;VLOOKUP(I139,$C$3:$L$6,8,0)),IF(VLOOKUP(I139,$C$3:$L$6,5,0)=Variables!$B$5,((YEAR(B139)-YEAR($B$12))*12+MONTH(B139)-MONTH($B$12)),((YEAR(B139)-YEAR(VLOOKUP(I139,$C$3:$L$6,8,0)))*12+MONTH(B139)-MONTH(VLOOKUP(I139,$C$3:$L$6,8,0))))*VLOOKUP(I139,$C$3:$L$6,7,0),0)),""),"")</f>
        <v/>
      </c>
      <c r="L139" s="29" t="str">
        <f t="shared" ca="1" si="19"/>
        <v/>
      </c>
      <c r="M139" s="10"/>
      <c r="N139" s="10"/>
    </row>
    <row r="140" spans="1:14" x14ac:dyDescent="0.25">
      <c r="A140" s="10"/>
      <c r="B140" s="14" t="str">
        <f t="shared" ca="1" si="20"/>
        <v/>
      </c>
      <c r="C140" s="14" t="str">
        <f ca="1">IF(I139&lt;&gt;Variables!$B$1,IF(H139&lt;&gt;0,C139,I139),"")</f>
        <v/>
      </c>
      <c r="D140" s="29" t="str">
        <f t="shared" ca="1" si="17"/>
        <v/>
      </c>
      <c r="E140" s="29" t="str">
        <f t="shared" ca="1" si="18"/>
        <v/>
      </c>
      <c r="F140" s="29" t="str">
        <f ca="1">IF(C140&lt;&gt;"",IF(OR(VLOOKUP(C140,$C$3:$L$6,5,0)=Variables!$B$5,B140&gt;VLOOKUP(C140,$C$3:$L$6,8,0)),-D140*VLOOKUP(C140,$C$3:$L$6,6,0)/12,0),"")</f>
        <v/>
      </c>
      <c r="G140" s="29" t="str">
        <f ca="1">IF(I140&lt;&gt;Variables!$B$1,IF(C140&lt;&gt;"",$I$9-E140-F140,""),-D140)</f>
        <v/>
      </c>
      <c r="H140" s="29" t="str">
        <f t="shared" ca="1" si="21"/>
        <v/>
      </c>
      <c r="I140" s="31" t="str">
        <f ca="1">IF(C140&lt;&gt;"",IF(D140+$I$9-E140-F140&gt;=0,IF(ISERROR(INDEX($C$3:$C$6,MATCH(C140,$C$3:$C$6,0)+1,0)),Variables!$B$1,INDEX($C$3:$C$6,MATCH(C140,$C$3:$C$6,0)+1,0)),""),"")</f>
        <v/>
      </c>
      <c r="J140" s="29" t="str">
        <f ca="1">IF(ISERROR(VLOOKUP(I140,$C$3:$L$6,5,0)),"",IF(OR(VLOOKUP(I140,$C$3:$L$6,5,0)=Variables!$B$5,B140&gt;VLOOKUP(I140,$C$3:$L$6,8,0)),IF(VLOOKUP(I140,$C$3:$L$6,5,0)=Variables!$B$5,((YEAR(B140)-YEAR($B$12))*12+MONTH(B140)-MONTH($B$12)),((YEAR(B140)-YEAR(VLOOKUP(I140,$C$3:$L$6,8,0)))*12+MONTH(B140)-MONTH(VLOOKUP(I140,$C$3:$L$6,8,0))))*(VLOOKUP(I140,$C$3:$L$6,10,0)*VLOOKUP(I140,$C$3:$L$6,6,0)/12),0))</f>
        <v/>
      </c>
      <c r="K140" s="29" t="str">
        <f ca="1">IF(C140&lt;&gt;"",IF(I140&lt;&gt;"",IF(ISERROR(VLOOKUP(I140,$C$3:$L$6,10,0)),"",VLOOKUP(I140,$C$3:$L$6,10,0)+J140+IF(OR(VLOOKUP(I140,$C$3:$L$6,5,0)=Variables!$B$5,B140&gt;VLOOKUP(I140,$C$3:$L$6,8,0)),IF(VLOOKUP(I140,$C$3:$L$6,5,0)=Variables!$B$5,((YEAR(B140)-YEAR($B$12))*12+MONTH(B140)-MONTH($B$12)),((YEAR(B140)-YEAR(VLOOKUP(I140,$C$3:$L$6,8,0)))*12+MONTH(B140)-MONTH(VLOOKUP(I140,$C$3:$L$6,8,0))))*VLOOKUP(I140,$C$3:$L$6,7,0),0)),""),"")</f>
        <v/>
      </c>
      <c r="L140" s="29" t="str">
        <f t="shared" ca="1" si="19"/>
        <v/>
      </c>
      <c r="M140" s="10"/>
      <c r="N140" s="10"/>
    </row>
    <row r="141" spans="1:14" x14ac:dyDescent="0.25">
      <c r="A141" s="10"/>
      <c r="B141" s="14" t="str">
        <f t="shared" ca="1" si="20"/>
        <v/>
      </c>
      <c r="C141" s="14" t="str">
        <f ca="1">IF(I140&lt;&gt;Variables!$B$1,IF(H140&lt;&gt;0,C140,I140),"")</f>
        <v/>
      </c>
      <c r="D141" s="29" t="str">
        <f t="shared" ca="1" si="17"/>
        <v/>
      </c>
      <c r="E141" s="29" t="str">
        <f t="shared" ca="1" si="18"/>
        <v/>
      </c>
      <c r="F141" s="29" t="str">
        <f ca="1">IF(C141&lt;&gt;"",IF(OR(VLOOKUP(C141,$C$3:$L$6,5,0)=Variables!$B$5,B141&gt;VLOOKUP(C141,$C$3:$L$6,8,0)),-D141*VLOOKUP(C141,$C$3:$L$6,6,0)/12,0),"")</f>
        <v/>
      </c>
      <c r="G141" s="29" t="str">
        <f ca="1">IF(I141&lt;&gt;Variables!$B$1,IF(C141&lt;&gt;"",$I$9-E141-F141,""),-D141)</f>
        <v/>
      </c>
      <c r="H141" s="29" t="str">
        <f t="shared" ca="1" si="21"/>
        <v/>
      </c>
      <c r="I141" s="31" t="str">
        <f ca="1">IF(C141&lt;&gt;"",IF(D141+$I$9-E141-F141&gt;=0,IF(ISERROR(INDEX($C$3:$C$6,MATCH(C141,$C$3:$C$6,0)+1,0)),Variables!$B$1,INDEX($C$3:$C$6,MATCH(C141,$C$3:$C$6,0)+1,0)),""),"")</f>
        <v/>
      </c>
      <c r="J141" s="29" t="str">
        <f ca="1">IF(ISERROR(VLOOKUP(I141,$C$3:$L$6,5,0)),"",IF(OR(VLOOKUP(I141,$C$3:$L$6,5,0)=Variables!$B$5,B141&gt;VLOOKUP(I141,$C$3:$L$6,8,0)),IF(VLOOKUP(I141,$C$3:$L$6,5,0)=Variables!$B$5,((YEAR(B141)-YEAR($B$12))*12+MONTH(B141)-MONTH($B$12)),((YEAR(B141)-YEAR(VLOOKUP(I141,$C$3:$L$6,8,0)))*12+MONTH(B141)-MONTH(VLOOKUP(I141,$C$3:$L$6,8,0))))*(VLOOKUP(I141,$C$3:$L$6,10,0)*VLOOKUP(I141,$C$3:$L$6,6,0)/12),0))</f>
        <v/>
      </c>
      <c r="K141" s="29" t="str">
        <f ca="1">IF(C141&lt;&gt;"",IF(I141&lt;&gt;"",IF(ISERROR(VLOOKUP(I141,$C$3:$L$6,10,0)),"",VLOOKUP(I141,$C$3:$L$6,10,0)+J141+IF(OR(VLOOKUP(I141,$C$3:$L$6,5,0)=Variables!$B$5,B141&gt;VLOOKUP(I141,$C$3:$L$6,8,0)),IF(VLOOKUP(I141,$C$3:$L$6,5,0)=Variables!$B$5,((YEAR(B141)-YEAR($B$12))*12+MONTH(B141)-MONTH($B$12)),((YEAR(B141)-YEAR(VLOOKUP(I141,$C$3:$L$6,8,0)))*12+MONTH(B141)-MONTH(VLOOKUP(I141,$C$3:$L$6,8,0))))*VLOOKUP(I141,$C$3:$L$6,7,0),0)),""),"")</f>
        <v/>
      </c>
      <c r="L141" s="29" t="str">
        <f t="shared" ca="1" si="19"/>
        <v/>
      </c>
      <c r="M141" s="10"/>
      <c r="N141" s="10"/>
    </row>
    <row r="142" spans="1:14" x14ac:dyDescent="0.25">
      <c r="A142" s="10"/>
      <c r="B142" s="14" t="str">
        <f t="shared" ca="1" si="20"/>
        <v/>
      </c>
      <c r="C142" s="14" t="str">
        <f ca="1">IF(I141&lt;&gt;Variables!$B$1,IF(H141&lt;&gt;0,C141,I141),"")</f>
        <v/>
      </c>
      <c r="D142" s="29" t="str">
        <f t="shared" ca="1" si="17"/>
        <v/>
      </c>
      <c r="E142" s="29" t="str">
        <f t="shared" ca="1" si="18"/>
        <v/>
      </c>
      <c r="F142" s="29" t="str">
        <f ca="1">IF(C142&lt;&gt;"",IF(OR(VLOOKUP(C142,$C$3:$L$6,5,0)=Variables!$B$5,B142&gt;VLOOKUP(C142,$C$3:$L$6,8,0)),-D142*VLOOKUP(C142,$C$3:$L$6,6,0)/12,0),"")</f>
        <v/>
      </c>
      <c r="G142" s="29" t="str">
        <f ca="1">IF(I142&lt;&gt;Variables!$B$1,IF(C142&lt;&gt;"",$I$9-E142-F142,""),-D142)</f>
        <v/>
      </c>
      <c r="H142" s="29" t="str">
        <f t="shared" ca="1" si="21"/>
        <v/>
      </c>
      <c r="I142" s="31" t="str">
        <f ca="1">IF(C142&lt;&gt;"",IF(D142+$I$9-E142-F142&gt;=0,IF(ISERROR(INDEX($C$3:$C$6,MATCH(C142,$C$3:$C$6,0)+1,0)),Variables!$B$1,INDEX($C$3:$C$6,MATCH(C142,$C$3:$C$6,0)+1,0)),""),"")</f>
        <v/>
      </c>
      <c r="J142" s="29" t="str">
        <f ca="1">IF(ISERROR(VLOOKUP(I142,$C$3:$L$6,5,0)),"",IF(OR(VLOOKUP(I142,$C$3:$L$6,5,0)=Variables!$B$5,B142&gt;VLOOKUP(I142,$C$3:$L$6,8,0)),IF(VLOOKUP(I142,$C$3:$L$6,5,0)=Variables!$B$5,((YEAR(B142)-YEAR($B$12))*12+MONTH(B142)-MONTH($B$12)),((YEAR(B142)-YEAR(VLOOKUP(I142,$C$3:$L$6,8,0)))*12+MONTH(B142)-MONTH(VLOOKUP(I142,$C$3:$L$6,8,0))))*(VLOOKUP(I142,$C$3:$L$6,10,0)*VLOOKUP(I142,$C$3:$L$6,6,0)/12),0))</f>
        <v/>
      </c>
      <c r="K142" s="29" t="str">
        <f ca="1">IF(C142&lt;&gt;"",IF(I142&lt;&gt;"",IF(ISERROR(VLOOKUP(I142,$C$3:$L$6,10,0)),"",VLOOKUP(I142,$C$3:$L$6,10,0)+J142+IF(OR(VLOOKUP(I142,$C$3:$L$6,5,0)=Variables!$B$5,B142&gt;VLOOKUP(I142,$C$3:$L$6,8,0)),IF(VLOOKUP(I142,$C$3:$L$6,5,0)=Variables!$B$5,((YEAR(B142)-YEAR($B$12))*12+MONTH(B142)-MONTH($B$12)),((YEAR(B142)-YEAR(VLOOKUP(I142,$C$3:$L$6,8,0)))*12+MONTH(B142)-MONTH(VLOOKUP(I142,$C$3:$L$6,8,0))))*VLOOKUP(I142,$C$3:$L$6,7,0),0)),""),"")</f>
        <v/>
      </c>
      <c r="L142" s="29" t="str">
        <f t="shared" ca="1" si="19"/>
        <v/>
      </c>
      <c r="M142" s="10"/>
      <c r="N142" s="10"/>
    </row>
    <row r="143" spans="1:14" x14ac:dyDescent="0.25">
      <c r="A143" s="10"/>
      <c r="B143" s="14" t="str">
        <f t="shared" ca="1" si="20"/>
        <v/>
      </c>
      <c r="C143" s="14" t="str">
        <f ca="1">IF(I142&lt;&gt;Variables!$B$1,IF(H142&lt;&gt;0,C142,I142),"")</f>
        <v/>
      </c>
      <c r="D143" s="29" t="str">
        <f t="shared" ca="1" si="17"/>
        <v/>
      </c>
      <c r="E143" s="29" t="str">
        <f t="shared" ca="1" si="18"/>
        <v/>
      </c>
      <c r="F143" s="29" t="str">
        <f ca="1">IF(C143&lt;&gt;"",IF(OR(VLOOKUP(C143,$C$3:$L$6,5,0)=Variables!$B$5,B143&gt;VLOOKUP(C143,$C$3:$L$6,8,0)),-D143*VLOOKUP(C143,$C$3:$L$6,6,0)/12,0),"")</f>
        <v/>
      </c>
      <c r="G143" s="29" t="str">
        <f ca="1">IF(I143&lt;&gt;Variables!$B$1,IF(C143&lt;&gt;"",$I$9-E143-F143,""),-D143)</f>
        <v/>
      </c>
      <c r="H143" s="29" t="str">
        <f t="shared" ca="1" si="21"/>
        <v/>
      </c>
      <c r="I143" s="31" t="str">
        <f ca="1">IF(C143&lt;&gt;"",IF(D143+$I$9-E143-F143&gt;=0,IF(ISERROR(INDEX($C$3:$C$6,MATCH(C143,$C$3:$C$6,0)+1,0)),Variables!$B$1,INDEX($C$3:$C$6,MATCH(C143,$C$3:$C$6,0)+1,0)),""),"")</f>
        <v/>
      </c>
      <c r="J143" s="29" t="str">
        <f ca="1">IF(ISERROR(VLOOKUP(I143,$C$3:$L$6,5,0)),"",IF(OR(VLOOKUP(I143,$C$3:$L$6,5,0)=Variables!$B$5,B143&gt;VLOOKUP(I143,$C$3:$L$6,8,0)),IF(VLOOKUP(I143,$C$3:$L$6,5,0)=Variables!$B$5,((YEAR(B143)-YEAR($B$12))*12+MONTH(B143)-MONTH($B$12)),((YEAR(B143)-YEAR(VLOOKUP(I143,$C$3:$L$6,8,0)))*12+MONTH(B143)-MONTH(VLOOKUP(I143,$C$3:$L$6,8,0))))*(VLOOKUP(I143,$C$3:$L$6,10,0)*VLOOKUP(I143,$C$3:$L$6,6,0)/12),0))</f>
        <v/>
      </c>
      <c r="K143" s="29" t="str">
        <f ca="1">IF(C143&lt;&gt;"",IF(I143&lt;&gt;"",IF(ISERROR(VLOOKUP(I143,$C$3:$L$6,10,0)),"",VLOOKUP(I143,$C$3:$L$6,10,0)+J143+IF(OR(VLOOKUP(I143,$C$3:$L$6,5,0)=Variables!$B$5,B143&gt;VLOOKUP(I143,$C$3:$L$6,8,0)),IF(VLOOKUP(I143,$C$3:$L$6,5,0)=Variables!$B$5,((YEAR(B143)-YEAR($B$12))*12+MONTH(B143)-MONTH($B$12)),((YEAR(B143)-YEAR(VLOOKUP(I143,$C$3:$L$6,8,0)))*12+MONTH(B143)-MONTH(VLOOKUP(I143,$C$3:$L$6,8,0))))*VLOOKUP(I143,$C$3:$L$6,7,0),0)),""),"")</f>
        <v/>
      </c>
      <c r="L143" s="29" t="str">
        <f t="shared" ca="1" si="19"/>
        <v/>
      </c>
      <c r="M143" s="10"/>
      <c r="N143" s="10"/>
    </row>
    <row r="144" spans="1:14" x14ac:dyDescent="0.25">
      <c r="A144" s="10"/>
      <c r="B144" s="14" t="str">
        <f t="shared" ca="1" si="20"/>
        <v/>
      </c>
      <c r="C144" s="14" t="str">
        <f ca="1">IF(I143&lt;&gt;Variables!$B$1,IF(H143&lt;&gt;0,C143,I143),"")</f>
        <v/>
      </c>
      <c r="D144" s="29" t="str">
        <f t="shared" ca="1" si="17"/>
        <v/>
      </c>
      <c r="E144" s="29" t="str">
        <f t="shared" ca="1" si="18"/>
        <v/>
      </c>
      <c r="F144" s="29" t="str">
        <f ca="1">IF(C144&lt;&gt;"",IF(OR(VLOOKUP(C144,$C$3:$L$6,5,0)=Variables!$B$5,B144&gt;VLOOKUP(C144,$C$3:$L$6,8,0)),-D144*VLOOKUP(C144,$C$3:$L$6,6,0)/12,0),"")</f>
        <v/>
      </c>
      <c r="G144" s="29" t="str">
        <f ca="1">IF(I144&lt;&gt;Variables!$B$1,IF(C144&lt;&gt;"",$I$9-E144-F144,""),-D144)</f>
        <v/>
      </c>
      <c r="H144" s="29" t="str">
        <f t="shared" ca="1" si="21"/>
        <v/>
      </c>
      <c r="I144" s="31" t="str">
        <f ca="1">IF(C144&lt;&gt;"",IF(D144+$I$9-E144-F144&gt;=0,IF(ISERROR(INDEX($C$3:$C$6,MATCH(C144,$C$3:$C$6,0)+1,0)),Variables!$B$1,INDEX($C$3:$C$6,MATCH(C144,$C$3:$C$6,0)+1,0)),""),"")</f>
        <v/>
      </c>
      <c r="J144" s="29" t="str">
        <f ca="1">IF(ISERROR(VLOOKUP(I144,$C$3:$L$6,5,0)),"",IF(OR(VLOOKUP(I144,$C$3:$L$6,5,0)=Variables!$B$5,B144&gt;VLOOKUP(I144,$C$3:$L$6,8,0)),IF(VLOOKUP(I144,$C$3:$L$6,5,0)=Variables!$B$5,((YEAR(B144)-YEAR($B$12))*12+MONTH(B144)-MONTH($B$12)),((YEAR(B144)-YEAR(VLOOKUP(I144,$C$3:$L$6,8,0)))*12+MONTH(B144)-MONTH(VLOOKUP(I144,$C$3:$L$6,8,0))))*(VLOOKUP(I144,$C$3:$L$6,10,0)*VLOOKUP(I144,$C$3:$L$6,6,0)/12),0))</f>
        <v/>
      </c>
      <c r="K144" s="29" t="str">
        <f ca="1">IF(C144&lt;&gt;"",IF(I144&lt;&gt;"",IF(ISERROR(VLOOKUP(I144,$C$3:$L$6,10,0)),"",VLOOKUP(I144,$C$3:$L$6,10,0)+J144+IF(OR(VLOOKUP(I144,$C$3:$L$6,5,0)=Variables!$B$5,B144&gt;VLOOKUP(I144,$C$3:$L$6,8,0)),IF(VLOOKUP(I144,$C$3:$L$6,5,0)=Variables!$B$5,((YEAR(B144)-YEAR($B$12))*12+MONTH(B144)-MONTH($B$12)),((YEAR(B144)-YEAR(VLOOKUP(I144,$C$3:$L$6,8,0)))*12+MONTH(B144)-MONTH(VLOOKUP(I144,$C$3:$L$6,8,0))))*VLOOKUP(I144,$C$3:$L$6,7,0),0)),""),"")</f>
        <v/>
      </c>
      <c r="L144" s="29" t="str">
        <f t="shared" ca="1" si="19"/>
        <v/>
      </c>
      <c r="M144" s="10"/>
      <c r="N144" s="10"/>
    </row>
    <row r="145" spans="1:14" x14ac:dyDescent="0.25">
      <c r="A145" s="10"/>
      <c r="B145" s="14" t="str">
        <f t="shared" ca="1" si="20"/>
        <v/>
      </c>
      <c r="C145" s="14" t="str">
        <f ca="1">IF(I144&lt;&gt;Variables!$B$1,IF(H144&lt;&gt;0,C144,I144),"")</f>
        <v/>
      </c>
      <c r="D145" s="29" t="str">
        <f t="shared" ca="1" si="17"/>
        <v/>
      </c>
      <c r="E145" s="29" t="str">
        <f t="shared" ca="1" si="18"/>
        <v/>
      </c>
      <c r="F145" s="29" t="str">
        <f ca="1">IF(C145&lt;&gt;"",IF(OR(VLOOKUP(C145,$C$3:$L$6,5,0)=Variables!$B$5,B145&gt;VLOOKUP(C145,$C$3:$L$6,8,0)),-D145*VLOOKUP(C145,$C$3:$L$6,6,0)/12,0),"")</f>
        <v/>
      </c>
      <c r="G145" s="29" t="str">
        <f ca="1">IF(I145&lt;&gt;Variables!$B$1,IF(C145&lt;&gt;"",$I$9-E145-F145,""),-D145)</f>
        <v/>
      </c>
      <c r="H145" s="29" t="str">
        <f t="shared" ca="1" si="21"/>
        <v/>
      </c>
      <c r="I145" s="31" t="str">
        <f ca="1">IF(C145&lt;&gt;"",IF(D145+$I$9-E145-F145&gt;=0,IF(ISERROR(INDEX($C$3:$C$6,MATCH(C145,$C$3:$C$6,0)+1,0)),Variables!$B$1,INDEX($C$3:$C$6,MATCH(C145,$C$3:$C$6,0)+1,0)),""),"")</f>
        <v/>
      </c>
      <c r="J145" s="29" t="str">
        <f ca="1">IF(ISERROR(VLOOKUP(I145,$C$3:$L$6,5,0)),"",IF(OR(VLOOKUP(I145,$C$3:$L$6,5,0)=Variables!$B$5,B145&gt;VLOOKUP(I145,$C$3:$L$6,8,0)),IF(VLOOKUP(I145,$C$3:$L$6,5,0)=Variables!$B$5,((YEAR(B145)-YEAR($B$12))*12+MONTH(B145)-MONTH($B$12)),((YEAR(B145)-YEAR(VLOOKUP(I145,$C$3:$L$6,8,0)))*12+MONTH(B145)-MONTH(VLOOKUP(I145,$C$3:$L$6,8,0))))*(VLOOKUP(I145,$C$3:$L$6,10,0)*VLOOKUP(I145,$C$3:$L$6,6,0)/12),0))</f>
        <v/>
      </c>
      <c r="K145" s="29" t="str">
        <f ca="1">IF(C145&lt;&gt;"",IF(I145&lt;&gt;"",IF(ISERROR(VLOOKUP(I145,$C$3:$L$6,10,0)),"",VLOOKUP(I145,$C$3:$L$6,10,0)+J145+IF(OR(VLOOKUP(I145,$C$3:$L$6,5,0)=Variables!$B$5,B145&gt;VLOOKUP(I145,$C$3:$L$6,8,0)),IF(VLOOKUP(I145,$C$3:$L$6,5,0)=Variables!$B$5,((YEAR(B145)-YEAR($B$12))*12+MONTH(B145)-MONTH($B$12)),((YEAR(B145)-YEAR(VLOOKUP(I145,$C$3:$L$6,8,0)))*12+MONTH(B145)-MONTH(VLOOKUP(I145,$C$3:$L$6,8,0))))*VLOOKUP(I145,$C$3:$L$6,7,0),0)),""),"")</f>
        <v/>
      </c>
      <c r="L145" s="29" t="str">
        <f t="shared" ca="1" si="19"/>
        <v/>
      </c>
      <c r="M145" s="10"/>
      <c r="N145" s="10"/>
    </row>
    <row r="146" spans="1:14" x14ac:dyDescent="0.25">
      <c r="A146" s="10"/>
      <c r="B146" s="14" t="str">
        <f t="shared" ca="1" si="20"/>
        <v/>
      </c>
      <c r="C146" s="14" t="str">
        <f ca="1">IF(I145&lt;&gt;Variables!$B$1,IF(H145&lt;&gt;0,C145,I145),"")</f>
        <v/>
      </c>
      <c r="D146" s="29" t="str">
        <f t="shared" ca="1" si="17"/>
        <v/>
      </c>
      <c r="E146" s="29" t="str">
        <f t="shared" ca="1" si="18"/>
        <v/>
      </c>
      <c r="F146" s="29" t="str">
        <f ca="1">IF(C146&lt;&gt;"",IF(OR(VLOOKUP(C146,$C$3:$L$6,5,0)=Variables!$B$5,B146&gt;VLOOKUP(C146,$C$3:$L$6,8,0)),-D146*VLOOKUP(C146,$C$3:$L$6,6,0)/12,0),"")</f>
        <v/>
      </c>
      <c r="G146" s="29" t="str">
        <f ca="1">IF(I146&lt;&gt;Variables!$B$1,IF(C146&lt;&gt;"",$I$9-E146-F146,""),-D146)</f>
        <v/>
      </c>
      <c r="H146" s="29" t="str">
        <f t="shared" ca="1" si="21"/>
        <v/>
      </c>
      <c r="I146" s="31" t="str">
        <f ca="1">IF(C146&lt;&gt;"",IF(D146+$I$9-E146-F146&gt;=0,IF(ISERROR(INDEX($C$3:$C$6,MATCH(C146,$C$3:$C$6,0)+1,0)),Variables!$B$1,INDEX($C$3:$C$6,MATCH(C146,$C$3:$C$6,0)+1,0)),""),"")</f>
        <v/>
      </c>
      <c r="J146" s="29" t="str">
        <f ca="1">IF(ISERROR(VLOOKUP(I146,$C$3:$L$6,5,0)),"",IF(OR(VLOOKUP(I146,$C$3:$L$6,5,0)=Variables!$B$5,B146&gt;VLOOKUP(I146,$C$3:$L$6,8,0)),IF(VLOOKUP(I146,$C$3:$L$6,5,0)=Variables!$B$5,((YEAR(B146)-YEAR($B$12))*12+MONTH(B146)-MONTH($B$12)),((YEAR(B146)-YEAR(VLOOKUP(I146,$C$3:$L$6,8,0)))*12+MONTH(B146)-MONTH(VLOOKUP(I146,$C$3:$L$6,8,0))))*(VLOOKUP(I146,$C$3:$L$6,10,0)*VLOOKUP(I146,$C$3:$L$6,6,0)/12),0))</f>
        <v/>
      </c>
      <c r="K146" s="29" t="str">
        <f ca="1">IF(C146&lt;&gt;"",IF(I146&lt;&gt;"",IF(ISERROR(VLOOKUP(I146,$C$3:$L$6,10,0)),"",VLOOKUP(I146,$C$3:$L$6,10,0)+J146+IF(OR(VLOOKUP(I146,$C$3:$L$6,5,0)=Variables!$B$5,B146&gt;VLOOKUP(I146,$C$3:$L$6,8,0)),IF(VLOOKUP(I146,$C$3:$L$6,5,0)=Variables!$B$5,((YEAR(B146)-YEAR($B$12))*12+MONTH(B146)-MONTH($B$12)),((YEAR(B146)-YEAR(VLOOKUP(I146,$C$3:$L$6,8,0)))*12+MONTH(B146)-MONTH(VLOOKUP(I146,$C$3:$L$6,8,0))))*VLOOKUP(I146,$C$3:$L$6,7,0),0)),""),"")</f>
        <v/>
      </c>
      <c r="L146" s="29" t="str">
        <f t="shared" ca="1" si="19"/>
        <v/>
      </c>
      <c r="M146" s="10"/>
      <c r="N146" s="10"/>
    </row>
    <row r="147" spans="1:14" x14ac:dyDescent="0.25">
      <c r="A147" s="10"/>
      <c r="B147" s="14" t="str">
        <f t="shared" ca="1" si="20"/>
        <v/>
      </c>
      <c r="C147" s="14" t="str">
        <f ca="1">IF(I146&lt;&gt;Variables!$B$1,IF(H146&lt;&gt;0,C146,I146),"")</f>
        <v/>
      </c>
      <c r="D147" s="29" t="str">
        <f t="shared" ca="1" si="17"/>
        <v/>
      </c>
      <c r="E147" s="29" t="str">
        <f t="shared" ca="1" si="18"/>
        <v/>
      </c>
      <c r="F147" s="29" t="str">
        <f ca="1">IF(C147&lt;&gt;"",IF(OR(VLOOKUP(C147,$C$3:$L$6,5,0)=Variables!$B$5,B147&gt;VLOOKUP(C147,$C$3:$L$6,8,0)),-D147*VLOOKUP(C147,$C$3:$L$6,6,0)/12,0),"")</f>
        <v/>
      </c>
      <c r="G147" s="29" t="str">
        <f ca="1">IF(I147&lt;&gt;Variables!$B$1,IF(C147&lt;&gt;"",$I$9-E147-F147,""),-D147)</f>
        <v/>
      </c>
      <c r="H147" s="29" t="str">
        <f t="shared" ca="1" si="21"/>
        <v/>
      </c>
      <c r="I147" s="31" t="str">
        <f ca="1">IF(C147&lt;&gt;"",IF(D147+$I$9-E147-F147&gt;=0,IF(ISERROR(INDEX($C$3:$C$6,MATCH(C147,$C$3:$C$6,0)+1,0)),Variables!$B$1,INDEX($C$3:$C$6,MATCH(C147,$C$3:$C$6,0)+1,0)),""),"")</f>
        <v/>
      </c>
      <c r="J147" s="29" t="str">
        <f ca="1">IF(ISERROR(VLOOKUP(I147,$C$3:$L$6,5,0)),"",IF(OR(VLOOKUP(I147,$C$3:$L$6,5,0)=Variables!$B$5,B147&gt;VLOOKUP(I147,$C$3:$L$6,8,0)),IF(VLOOKUP(I147,$C$3:$L$6,5,0)=Variables!$B$5,((YEAR(B147)-YEAR($B$12))*12+MONTH(B147)-MONTH($B$12)),((YEAR(B147)-YEAR(VLOOKUP(I147,$C$3:$L$6,8,0)))*12+MONTH(B147)-MONTH(VLOOKUP(I147,$C$3:$L$6,8,0))))*(VLOOKUP(I147,$C$3:$L$6,10,0)*VLOOKUP(I147,$C$3:$L$6,6,0)/12),0))</f>
        <v/>
      </c>
      <c r="K147" s="29" t="str">
        <f ca="1">IF(C147&lt;&gt;"",IF(I147&lt;&gt;"",IF(ISERROR(VLOOKUP(I147,$C$3:$L$6,10,0)),"",VLOOKUP(I147,$C$3:$L$6,10,0)+J147+IF(OR(VLOOKUP(I147,$C$3:$L$6,5,0)=Variables!$B$5,B147&gt;VLOOKUP(I147,$C$3:$L$6,8,0)),IF(VLOOKUP(I147,$C$3:$L$6,5,0)=Variables!$B$5,((YEAR(B147)-YEAR($B$12))*12+MONTH(B147)-MONTH($B$12)),((YEAR(B147)-YEAR(VLOOKUP(I147,$C$3:$L$6,8,0)))*12+MONTH(B147)-MONTH(VLOOKUP(I147,$C$3:$L$6,8,0))))*VLOOKUP(I147,$C$3:$L$6,7,0),0)),""),"")</f>
        <v/>
      </c>
      <c r="L147" s="29" t="str">
        <f t="shared" ca="1" si="19"/>
        <v/>
      </c>
      <c r="M147" s="10"/>
      <c r="N147" s="10"/>
    </row>
    <row r="148" spans="1:14" x14ac:dyDescent="0.25">
      <c r="A148" s="10"/>
      <c r="B148" s="14" t="str">
        <f t="shared" ca="1" si="20"/>
        <v/>
      </c>
      <c r="C148" s="14" t="str">
        <f ca="1">IF(I147&lt;&gt;Variables!$B$1,IF(H147&lt;&gt;0,C147,I147),"")</f>
        <v/>
      </c>
      <c r="D148" s="29" t="str">
        <f t="shared" ca="1" si="17"/>
        <v/>
      </c>
      <c r="E148" s="29" t="str">
        <f t="shared" ca="1" si="18"/>
        <v/>
      </c>
      <c r="F148" s="29" t="str">
        <f ca="1">IF(C148&lt;&gt;"",IF(OR(VLOOKUP(C148,$C$3:$L$6,5,0)=Variables!$B$5,B148&gt;VLOOKUP(C148,$C$3:$L$6,8,0)),-D148*VLOOKUP(C148,$C$3:$L$6,6,0)/12,0),"")</f>
        <v/>
      </c>
      <c r="G148" s="29" t="str">
        <f ca="1">IF(I148&lt;&gt;Variables!$B$1,IF(C148&lt;&gt;"",$I$9-E148-F148,""),-D148)</f>
        <v/>
      </c>
      <c r="H148" s="29" t="str">
        <f t="shared" ca="1" si="21"/>
        <v/>
      </c>
      <c r="I148" s="31" t="str">
        <f ca="1">IF(C148&lt;&gt;"",IF(D148+$I$9-E148-F148&gt;=0,IF(ISERROR(INDEX($C$3:$C$6,MATCH(C148,$C$3:$C$6,0)+1,0)),Variables!$B$1,INDEX($C$3:$C$6,MATCH(C148,$C$3:$C$6,0)+1,0)),""),"")</f>
        <v/>
      </c>
      <c r="J148" s="29" t="str">
        <f ca="1">IF(ISERROR(VLOOKUP(I148,$C$3:$L$6,5,0)),"",IF(OR(VLOOKUP(I148,$C$3:$L$6,5,0)=Variables!$B$5,B148&gt;VLOOKUP(I148,$C$3:$L$6,8,0)),IF(VLOOKUP(I148,$C$3:$L$6,5,0)=Variables!$B$5,((YEAR(B148)-YEAR($B$12))*12+MONTH(B148)-MONTH($B$12)),((YEAR(B148)-YEAR(VLOOKUP(I148,$C$3:$L$6,8,0)))*12+MONTH(B148)-MONTH(VLOOKUP(I148,$C$3:$L$6,8,0))))*(VLOOKUP(I148,$C$3:$L$6,10,0)*VLOOKUP(I148,$C$3:$L$6,6,0)/12),0))</f>
        <v/>
      </c>
      <c r="K148" s="29" t="str">
        <f ca="1">IF(C148&lt;&gt;"",IF(I148&lt;&gt;"",IF(ISERROR(VLOOKUP(I148,$C$3:$L$6,10,0)),"",VLOOKUP(I148,$C$3:$L$6,10,0)+J148+IF(OR(VLOOKUP(I148,$C$3:$L$6,5,0)=Variables!$B$5,B148&gt;VLOOKUP(I148,$C$3:$L$6,8,0)),IF(VLOOKUP(I148,$C$3:$L$6,5,0)=Variables!$B$5,((YEAR(B148)-YEAR($B$12))*12+MONTH(B148)-MONTH($B$12)),((YEAR(B148)-YEAR(VLOOKUP(I148,$C$3:$L$6,8,0)))*12+MONTH(B148)-MONTH(VLOOKUP(I148,$C$3:$L$6,8,0))))*VLOOKUP(I148,$C$3:$L$6,7,0),0)),""),"")</f>
        <v/>
      </c>
      <c r="L148" s="29" t="str">
        <f t="shared" ca="1" si="19"/>
        <v/>
      </c>
      <c r="M148" s="10"/>
      <c r="N148" s="10"/>
    </row>
    <row r="149" spans="1:14" x14ac:dyDescent="0.25">
      <c r="A149" s="10"/>
      <c r="B149" s="14" t="str">
        <f t="shared" ca="1" si="20"/>
        <v/>
      </c>
      <c r="C149" s="14" t="str">
        <f ca="1">IF(I148&lt;&gt;Variables!$B$1,IF(H148&lt;&gt;0,C148,I148),"")</f>
        <v/>
      </c>
      <c r="D149" s="29" t="str">
        <f t="shared" ca="1" si="17"/>
        <v/>
      </c>
      <c r="E149" s="29" t="str">
        <f t="shared" ca="1" si="18"/>
        <v/>
      </c>
      <c r="F149" s="29" t="str">
        <f ca="1">IF(C149&lt;&gt;"",IF(OR(VLOOKUP(C149,$C$3:$L$6,5,0)=Variables!$B$5,B149&gt;VLOOKUP(C149,$C$3:$L$6,8,0)),-D149*VLOOKUP(C149,$C$3:$L$6,6,0)/12,0),"")</f>
        <v/>
      </c>
      <c r="G149" s="29" t="str">
        <f ca="1">IF(I149&lt;&gt;Variables!$B$1,IF(C149&lt;&gt;"",$I$9-E149-F149,""),-D149)</f>
        <v/>
      </c>
      <c r="H149" s="29" t="str">
        <f t="shared" ca="1" si="21"/>
        <v/>
      </c>
      <c r="I149" s="31" t="str">
        <f ca="1">IF(C149&lt;&gt;"",IF(D149+$I$9-E149-F149&gt;=0,IF(ISERROR(INDEX($C$3:$C$6,MATCH(C149,$C$3:$C$6,0)+1,0)),Variables!$B$1,INDEX($C$3:$C$6,MATCH(C149,$C$3:$C$6,0)+1,0)),""),"")</f>
        <v/>
      </c>
      <c r="J149" s="29" t="str">
        <f ca="1">IF(ISERROR(VLOOKUP(I149,$C$3:$L$6,5,0)),"",IF(OR(VLOOKUP(I149,$C$3:$L$6,5,0)=Variables!$B$5,B149&gt;VLOOKUP(I149,$C$3:$L$6,8,0)),IF(VLOOKUP(I149,$C$3:$L$6,5,0)=Variables!$B$5,((YEAR(B149)-YEAR($B$12))*12+MONTH(B149)-MONTH($B$12)),((YEAR(B149)-YEAR(VLOOKUP(I149,$C$3:$L$6,8,0)))*12+MONTH(B149)-MONTH(VLOOKUP(I149,$C$3:$L$6,8,0))))*(VLOOKUP(I149,$C$3:$L$6,10,0)*VLOOKUP(I149,$C$3:$L$6,6,0)/12),0))</f>
        <v/>
      </c>
      <c r="K149" s="29" t="str">
        <f ca="1">IF(C149&lt;&gt;"",IF(I149&lt;&gt;"",IF(ISERROR(VLOOKUP(I149,$C$3:$L$6,10,0)),"",VLOOKUP(I149,$C$3:$L$6,10,0)+J149+IF(OR(VLOOKUP(I149,$C$3:$L$6,5,0)=Variables!$B$5,B149&gt;VLOOKUP(I149,$C$3:$L$6,8,0)),IF(VLOOKUP(I149,$C$3:$L$6,5,0)=Variables!$B$5,((YEAR(B149)-YEAR($B$12))*12+MONTH(B149)-MONTH($B$12)),((YEAR(B149)-YEAR(VLOOKUP(I149,$C$3:$L$6,8,0)))*12+MONTH(B149)-MONTH(VLOOKUP(I149,$C$3:$L$6,8,0))))*VLOOKUP(I149,$C$3:$L$6,7,0),0)),""),"")</f>
        <v/>
      </c>
      <c r="L149" s="29" t="str">
        <f t="shared" ca="1" si="19"/>
        <v/>
      </c>
      <c r="M149" s="10"/>
      <c r="N149" s="10"/>
    </row>
    <row r="150" spans="1:14" x14ac:dyDescent="0.25">
      <c r="A150" s="10"/>
      <c r="B150" s="14" t="str">
        <f t="shared" ca="1" si="20"/>
        <v/>
      </c>
      <c r="C150" s="14" t="str">
        <f ca="1">IF(I149&lt;&gt;Variables!$B$1,IF(H149&lt;&gt;0,C149,I149),"")</f>
        <v/>
      </c>
      <c r="D150" s="29" t="str">
        <f t="shared" ca="1" si="17"/>
        <v/>
      </c>
      <c r="E150" s="29" t="str">
        <f t="shared" ca="1" si="18"/>
        <v/>
      </c>
      <c r="F150" s="29" t="str">
        <f ca="1">IF(C150&lt;&gt;"",IF(OR(VLOOKUP(C150,$C$3:$L$6,5,0)=Variables!$B$5,B150&gt;VLOOKUP(C150,$C$3:$L$6,8,0)),-D150*VLOOKUP(C150,$C$3:$L$6,6,0)/12,0),"")</f>
        <v/>
      </c>
      <c r="G150" s="29" t="str">
        <f ca="1">IF(I150&lt;&gt;Variables!$B$1,IF(C150&lt;&gt;"",$I$9-E150-F150,""),-D150)</f>
        <v/>
      </c>
      <c r="H150" s="29" t="str">
        <f t="shared" ca="1" si="21"/>
        <v/>
      </c>
      <c r="I150" s="31" t="str">
        <f ca="1">IF(C150&lt;&gt;"",IF(D150+$I$9-E150-F150&gt;=0,IF(ISERROR(INDEX($C$3:$C$6,MATCH(C150,$C$3:$C$6,0)+1,0)),Variables!$B$1,INDEX($C$3:$C$6,MATCH(C150,$C$3:$C$6,0)+1,0)),""),"")</f>
        <v/>
      </c>
      <c r="J150" s="29" t="str">
        <f ca="1">IF(ISERROR(VLOOKUP(I150,$C$3:$L$6,5,0)),"",IF(OR(VLOOKUP(I150,$C$3:$L$6,5,0)=Variables!$B$5,B150&gt;VLOOKUP(I150,$C$3:$L$6,8,0)),IF(VLOOKUP(I150,$C$3:$L$6,5,0)=Variables!$B$5,((YEAR(B150)-YEAR($B$12))*12+MONTH(B150)-MONTH($B$12)),((YEAR(B150)-YEAR(VLOOKUP(I150,$C$3:$L$6,8,0)))*12+MONTH(B150)-MONTH(VLOOKUP(I150,$C$3:$L$6,8,0))))*(VLOOKUP(I150,$C$3:$L$6,10,0)*VLOOKUP(I150,$C$3:$L$6,6,0)/12),0))</f>
        <v/>
      </c>
      <c r="K150" s="29" t="str">
        <f ca="1">IF(C150&lt;&gt;"",IF(I150&lt;&gt;"",IF(ISERROR(VLOOKUP(I150,$C$3:$L$6,10,0)),"",VLOOKUP(I150,$C$3:$L$6,10,0)+J150+IF(OR(VLOOKUP(I150,$C$3:$L$6,5,0)=Variables!$B$5,B150&gt;VLOOKUP(I150,$C$3:$L$6,8,0)),IF(VLOOKUP(I150,$C$3:$L$6,5,0)=Variables!$B$5,((YEAR(B150)-YEAR($B$12))*12+MONTH(B150)-MONTH($B$12)),((YEAR(B150)-YEAR(VLOOKUP(I150,$C$3:$L$6,8,0)))*12+MONTH(B150)-MONTH(VLOOKUP(I150,$C$3:$L$6,8,0))))*VLOOKUP(I150,$C$3:$L$6,7,0),0)),""),"")</f>
        <v/>
      </c>
      <c r="L150" s="29" t="str">
        <f t="shared" ca="1" si="19"/>
        <v/>
      </c>
      <c r="M150" s="10"/>
      <c r="N150" s="10"/>
    </row>
    <row r="151" spans="1:14" x14ac:dyDescent="0.25">
      <c r="A151" s="10"/>
      <c r="B151" s="14" t="str">
        <f t="shared" ca="1" si="20"/>
        <v/>
      </c>
      <c r="C151" s="14" t="str">
        <f ca="1">IF(I150&lt;&gt;Variables!$B$1,IF(H150&lt;&gt;0,C150,I150),"")</f>
        <v/>
      </c>
      <c r="D151" s="29" t="str">
        <f t="shared" ca="1" si="17"/>
        <v/>
      </c>
      <c r="E151" s="29" t="str">
        <f t="shared" ca="1" si="18"/>
        <v/>
      </c>
      <c r="F151" s="29" t="str">
        <f ca="1">IF(C151&lt;&gt;"",IF(OR(VLOOKUP(C151,$C$3:$L$6,5,0)=Variables!$B$5,B151&gt;VLOOKUP(C151,$C$3:$L$6,8,0)),-D151*VLOOKUP(C151,$C$3:$L$6,6,0)/12,0),"")</f>
        <v/>
      </c>
      <c r="G151" s="29" t="str">
        <f ca="1">IF(I151&lt;&gt;Variables!$B$1,IF(C151&lt;&gt;"",$I$9-E151-F151,""),-D151)</f>
        <v/>
      </c>
      <c r="H151" s="29" t="str">
        <f t="shared" ca="1" si="21"/>
        <v/>
      </c>
      <c r="I151" s="31" t="str">
        <f ca="1">IF(C151&lt;&gt;"",IF(D151+$I$9-E151-F151&gt;=0,IF(ISERROR(INDEX($C$3:$C$6,MATCH(C151,$C$3:$C$6,0)+1,0)),Variables!$B$1,INDEX($C$3:$C$6,MATCH(C151,$C$3:$C$6,0)+1,0)),""),"")</f>
        <v/>
      </c>
      <c r="J151" s="29" t="str">
        <f ca="1">IF(ISERROR(VLOOKUP(I151,$C$3:$L$6,5,0)),"",IF(OR(VLOOKUP(I151,$C$3:$L$6,5,0)=Variables!$B$5,B151&gt;VLOOKUP(I151,$C$3:$L$6,8,0)),IF(VLOOKUP(I151,$C$3:$L$6,5,0)=Variables!$B$5,((YEAR(B151)-YEAR($B$12))*12+MONTH(B151)-MONTH($B$12)),((YEAR(B151)-YEAR(VLOOKUP(I151,$C$3:$L$6,8,0)))*12+MONTH(B151)-MONTH(VLOOKUP(I151,$C$3:$L$6,8,0))))*(VLOOKUP(I151,$C$3:$L$6,10,0)*VLOOKUP(I151,$C$3:$L$6,6,0)/12),0))</f>
        <v/>
      </c>
      <c r="K151" s="29" t="str">
        <f ca="1">IF(C151&lt;&gt;"",IF(I151&lt;&gt;"",IF(ISERROR(VLOOKUP(I151,$C$3:$L$6,10,0)),"",VLOOKUP(I151,$C$3:$L$6,10,0)+J151+IF(OR(VLOOKUP(I151,$C$3:$L$6,5,0)=Variables!$B$5,B151&gt;VLOOKUP(I151,$C$3:$L$6,8,0)),IF(VLOOKUP(I151,$C$3:$L$6,5,0)=Variables!$B$5,((YEAR(B151)-YEAR($B$12))*12+MONTH(B151)-MONTH($B$12)),((YEAR(B151)-YEAR(VLOOKUP(I151,$C$3:$L$6,8,0)))*12+MONTH(B151)-MONTH(VLOOKUP(I151,$C$3:$L$6,8,0))))*VLOOKUP(I151,$C$3:$L$6,7,0),0)),""),"")</f>
        <v/>
      </c>
      <c r="L151" s="29" t="str">
        <f t="shared" ca="1" si="19"/>
        <v/>
      </c>
      <c r="M151" s="10"/>
      <c r="N151" s="10"/>
    </row>
    <row r="152" spans="1:14" x14ac:dyDescent="0.25">
      <c r="A152" s="10"/>
      <c r="B152" s="14" t="str">
        <f t="shared" ca="1" si="20"/>
        <v/>
      </c>
      <c r="C152" s="14" t="str">
        <f ca="1">IF(I151&lt;&gt;Variables!$B$1,IF(H151&lt;&gt;0,C151,I151),"")</f>
        <v/>
      </c>
      <c r="D152" s="29" t="str">
        <f t="shared" ca="1" si="17"/>
        <v/>
      </c>
      <c r="E152" s="29" t="str">
        <f t="shared" ca="1" si="18"/>
        <v/>
      </c>
      <c r="F152" s="29" t="str">
        <f ca="1">IF(C152&lt;&gt;"",IF(OR(VLOOKUP(C152,$C$3:$L$6,5,0)=Variables!$B$5,B152&gt;VLOOKUP(C152,$C$3:$L$6,8,0)),-D152*VLOOKUP(C152,$C$3:$L$6,6,0)/12,0),"")</f>
        <v/>
      </c>
      <c r="G152" s="29" t="str">
        <f ca="1">IF(I152&lt;&gt;Variables!$B$1,IF(C152&lt;&gt;"",$I$9-E152-F152,""),-D152)</f>
        <v/>
      </c>
      <c r="H152" s="29" t="str">
        <f t="shared" ca="1" si="21"/>
        <v/>
      </c>
      <c r="I152" s="31" t="str">
        <f ca="1">IF(C152&lt;&gt;"",IF(D152+$I$9-E152-F152&gt;=0,IF(ISERROR(INDEX($C$3:$C$6,MATCH(C152,$C$3:$C$6,0)+1,0)),Variables!$B$1,INDEX($C$3:$C$6,MATCH(C152,$C$3:$C$6,0)+1,0)),""),"")</f>
        <v/>
      </c>
      <c r="J152" s="29" t="str">
        <f ca="1">IF(ISERROR(VLOOKUP(I152,$C$3:$L$6,5,0)),"",IF(OR(VLOOKUP(I152,$C$3:$L$6,5,0)=Variables!$B$5,B152&gt;VLOOKUP(I152,$C$3:$L$6,8,0)),IF(VLOOKUP(I152,$C$3:$L$6,5,0)=Variables!$B$5,((YEAR(B152)-YEAR($B$12))*12+MONTH(B152)-MONTH($B$12)),((YEAR(B152)-YEAR(VLOOKUP(I152,$C$3:$L$6,8,0)))*12+MONTH(B152)-MONTH(VLOOKUP(I152,$C$3:$L$6,8,0))))*(VLOOKUP(I152,$C$3:$L$6,10,0)*VLOOKUP(I152,$C$3:$L$6,6,0)/12),0))</f>
        <v/>
      </c>
      <c r="K152" s="29" t="str">
        <f ca="1">IF(C152&lt;&gt;"",IF(I152&lt;&gt;"",IF(ISERROR(VLOOKUP(I152,$C$3:$L$6,10,0)),"",VLOOKUP(I152,$C$3:$L$6,10,0)+J152+IF(OR(VLOOKUP(I152,$C$3:$L$6,5,0)=Variables!$B$5,B152&gt;VLOOKUP(I152,$C$3:$L$6,8,0)),IF(VLOOKUP(I152,$C$3:$L$6,5,0)=Variables!$B$5,((YEAR(B152)-YEAR($B$12))*12+MONTH(B152)-MONTH($B$12)),((YEAR(B152)-YEAR(VLOOKUP(I152,$C$3:$L$6,8,0)))*12+MONTH(B152)-MONTH(VLOOKUP(I152,$C$3:$L$6,8,0))))*VLOOKUP(I152,$C$3:$L$6,7,0),0)),""),"")</f>
        <v/>
      </c>
      <c r="L152" s="29" t="str">
        <f t="shared" ca="1" si="19"/>
        <v/>
      </c>
      <c r="M152" s="10"/>
      <c r="N152" s="10"/>
    </row>
    <row r="153" spans="1:14" x14ac:dyDescent="0.25">
      <c r="A153" s="10"/>
      <c r="B153" s="14" t="str">
        <f t="shared" ca="1" si="20"/>
        <v/>
      </c>
      <c r="C153" s="14" t="str">
        <f ca="1">IF(I152&lt;&gt;Variables!$B$1,IF(H152&lt;&gt;0,C152,I152),"")</f>
        <v/>
      </c>
      <c r="D153" s="29" t="str">
        <f t="shared" ca="1" si="17"/>
        <v/>
      </c>
      <c r="E153" s="29" t="str">
        <f t="shared" ca="1" si="18"/>
        <v/>
      </c>
      <c r="F153" s="29" t="str">
        <f ca="1">IF(C153&lt;&gt;"",IF(OR(VLOOKUP(C153,$C$3:$L$6,5,0)=Variables!$B$5,B153&gt;VLOOKUP(C153,$C$3:$L$6,8,0)),-D153*VLOOKUP(C153,$C$3:$L$6,6,0)/12,0),"")</f>
        <v/>
      </c>
      <c r="G153" s="29" t="str">
        <f ca="1">IF(I153&lt;&gt;Variables!$B$1,IF(C153&lt;&gt;"",$I$9-E153-F153,""),-D153)</f>
        <v/>
      </c>
      <c r="H153" s="29" t="str">
        <f t="shared" ca="1" si="21"/>
        <v/>
      </c>
      <c r="I153" s="31" t="str">
        <f ca="1">IF(C153&lt;&gt;"",IF(D153+$I$9-E153-F153&gt;=0,IF(ISERROR(INDEX($C$3:$C$6,MATCH(C153,$C$3:$C$6,0)+1,0)),Variables!$B$1,INDEX($C$3:$C$6,MATCH(C153,$C$3:$C$6,0)+1,0)),""),"")</f>
        <v/>
      </c>
      <c r="J153" s="29" t="str">
        <f ca="1">IF(ISERROR(VLOOKUP(I153,$C$3:$L$6,5,0)),"",IF(OR(VLOOKUP(I153,$C$3:$L$6,5,0)=Variables!$B$5,B153&gt;VLOOKUP(I153,$C$3:$L$6,8,0)),IF(VLOOKUP(I153,$C$3:$L$6,5,0)=Variables!$B$5,((YEAR(B153)-YEAR($B$12))*12+MONTH(B153)-MONTH($B$12)),((YEAR(B153)-YEAR(VLOOKUP(I153,$C$3:$L$6,8,0)))*12+MONTH(B153)-MONTH(VLOOKUP(I153,$C$3:$L$6,8,0))))*(VLOOKUP(I153,$C$3:$L$6,10,0)*VLOOKUP(I153,$C$3:$L$6,6,0)/12),0))</f>
        <v/>
      </c>
      <c r="K153" s="29" t="str">
        <f ca="1">IF(C153&lt;&gt;"",IF(I153&lt;&gt;"",IF(ISERROR(VLOOKUP(I153,$C$3:$L$6,10,0)),"",VLOOKUP(I153,$C$3:$L$6,10,0)+J153+IF(OR(VLOOKUP(I153,$C$3:$L$6,5,0)=Variables!$B$5,B153&gt;VLOOKUP(I153,$C$3:$L$6,8,0)),IF(VLOOKUP(I153,$C$3:$L$6,5,0)=Variables!$B$5,((YEAR(B153)-YEAR($B$12))*12+MONTH(B153)-MONTH($B$12)),((YEAR(B153)-YEAR(VLOOKUP(I153,$C$3:$L$6,8,0)))*12+MONTH(B153)-MONTH(VLOOKUP(I153,$C$3:$L$6,8,0))))*VLOOKUP(I153,$C$3:$L$6,7,0),0)),""),"")</f>
        <v/>
      </c>
      <c r="L153" s="29" t="str">
        <f t="shared" ca="1" si="19"/>
        <v/>
      </c>
      <c r="M153" s="10"/>
      <c r="N153" s="10"/>
    </row>
    <row r="154" spans="1:14" x14ac:dyDescent="0.25">
      <c r="A154" s="10"/>
      <c r="B154" s="14" t="str">
        <f t="shared" ca="1" si="20"/>
        <v/>
      </c>
      <c r="C154" s="14" t="str">
        <f ca="1">IF(I153&lt;&gt;Variables!$B$1,IF(H153&lt;&gt;0,C153,I153),"")</f>
        <v/>
      </c>
      <c r="D154" s="29" t="str">
        <f t="shared" ca="1" si="17"/>
        <v/>
      </c>
      <c r="E154" s="29" t="str">
        <f t="shared" ca="1" si="18"/>
        <v/>
      </c>
      <c r="F154" s="29" t="str">
        <f ca="1">IF(C154&lt;&gt;"",IF(OR(VLOOKUP(C154,$C$3:$L$6,5,0)=Variables!$B$5,B154&gt;VLOOKUP(C154,$C$3:$L$6,8,0)),-D154*VLOOKUP(C154,$C$3:$L$6,6,0)/12,0),"")</f>
        <v/>
      </c>
      <c r="G154" s="29" t="str">
        <f ca="1">IF(I154&lt;&gt;Variables!$B$1,IF(C154&lt;&gt;"",$I$9-E154-F154,""),-D154)</f>
        <v/>
      </c>
      <c r="H154" s="29" t="str">
        <f t="shared" ca="1" si="21"/>
        <v/>
      </c>
      <c r="I154" s="31" t="str">
        <f ca="1">IF(C154&lt;&gt;"",IF(D154+$I$9-E154-F154&gt;=0,IF(ISERROR(INDEX($C$3:$C$6,MATCH(C154,$C$3:$C$6,0)+1,0)),Variables!$B$1,INDEX($C$3:$C$6,MATCH(C154,$C$3:$C$6,0)+1,0)),""),"")</f>
        <v/>
      </c>
      <c r="J154" s="29" t="str">
        <f ca="1">IF(ISERROR(VLOOKUP(I154,$C$3:$L$6,5,0)),"",IF(OR(VLOOKUP(I154,$C$3:$L$6,5,0)=Variables!$B$5,B154&gt;VLOOKUP(I154,$C$3:$L$6,8,0)),IF(VLOOKUP(I154,$C$3:$L$6,5,0)=Variables!$B$5,((YEAR(B154)-YEAR($B$12))*12+MONTH(B154)-MONTH($B$12)),((YEAR(B154)-YEAR(VLOOKUP(I154,$C$3:$L$6,8,0)))*12+MONTH(B154)-MONTH(VLOOKUP(I154,$C$3:$L$6,8,0))))*(VLOOKUP(I154,$C$3:$L$6,10,0)*VLOOKUP(I154,$C$3:$L$6,6,0)/12),0))</f>
        <v/>
      </c>
      <c r="K154" s="29" t="str">
        <f ca="1">IF(C154&lt;&gt;"",IF(I154&lt;&gt;"",IF(ISERROR(VLOOKUP(I154,$C$3:$L$6,10,0)),"",VLOOKUP(I154,$C$3:$L$6,10,0)+J154+IF(OR(VLOOKUP(I154,$C$3:$L$6,5,0)=Variables!$B$5,B154&gt;VLOOKUP(I154,$C$3:$L$6,8,0)),IF(VLOOKUP(I154,$C$3:$L$6,5,0)=Variables!$B$5,((YEAR(B154)-YEAR($B$12))*12+MONTH(B154)-MONTH($B$12)),((YEAR(B154)-YEAR(VLOOKUP(I154,$C$3:$L$6,8,0)))*12+MONTH(B154)-MONTH(VLOOKUP(I154,$C$3:$L$6,8,0))))*VLOOKUP(I154,$C$3:$L$6,7,0),0)),""),"")</f>
        <v/>
      </c>
      <c r="L154" s="29" t="str">
        <f t="shared" ca="1" si="19"/>
        <v/>
      </c>
      <c r="M154" s="10"/>
      <c r="N154" s="10"/>
    </row>
    <row r="155" spans="1:14" x14ac:dyDescent="0.25">
      <c r="A155" s="10"/>
      <c r="B155" s="14" t="str">
        <f t="shared" ca="1" si="20"/>
        <v/>
      </c>
      <c r="C155" s="14" t="str">
        <f ca="1">IF(I154&lt;&gt;Variables!$B$1,IF(H154&lt;&gt;0,C154,I154),"")</f>
        <v/>
      </c>
      <c r="D155" s="29" t="str">
        <f t="shared" ca="1" si="17"/>
        <v/>
      </c>
      <c r="E155" s="29" t="str">
        <f t="shared" ca="1" si="18"/>
        <v/>
      </c>
      <c r="F155" s="29" t="str">
        <f ca="1">IF(C155&lt;&gt;"",IF(OR(VLOOKUP(C155,$C$3:$L$6,5,0)=Variables!$B$5,B155&gt;VLOOKUP(C155,$C$3:$L$6,8,0)),-D155*VLOOKUP(C155,$C$3:$L$6,6,0)/12,0),"")</f>
        <v/>
      </c>
      <c r="G155" s="29" t="str">
        <f ca="1">IF(I155&lt;&gt;Variables!$B$1,IF(C155&lt;&gt;"",$I$9-E155-F155,""),-D155)</f>
        <v/>
      </c>
      <c r="H155" s="29" t="str">
        <f t="shared" ca="1" si="21"/>
        <v/>
      </c>
      <c r="I155" s="31" t="str">
        <f ca="1">IF(C155&lt;&gt;"",IF(D155+$I$9-E155-F155&gt;=0,IF(ISERROR(INDEX($C$3:$C$6,MATCH(C155,$C$3:$C$6,0)+1,0)),Variables!$B$1,INDEX($C$3:$C$6,MATCH(C155,$C$3:$C$6,0)+1,0)),""),"")</f>
        <v/>
      </c>
      <c r="J155" s="29" t="str">
        <f ca="1">IF(ISERROR(VLOOKUP(I155,$C$3:$L$6,5,0)),"",IF(OR(VLOOKUP(I155,$C$3:$L$6,5,0)=Variables!$B$5,B155&gt;VLOOKUP(I155,$C$3:$L$6,8,0)),IF(VLOOKUP(I155,$C$3:$L$6,5,0)=Variables!$B$5,((YEAR(B155)-YEAR($B$12))*12+MONTH(B155)-MONTH($B$12)),((YEAR(B155)-YEAR(VLOOKUP(I155,$C$3:$L$6,8,0)))*12+MONTH(B155)-MONTH(VLOOKUP(I155,$C$3:$L$6,8,0))))*(VLOOKUP(I155,$C$3:$L$6,10,0)*VLOOKUP(I155,$C$3:$L$6,6,0)/12),0))</f>
        <v/>
      </c>
      <c r="K155" s="29" t="str">
        <f ca="1">IF(C155&lt;&gt;"",IF(I155&lt;&gt;"",IF(ISERROR(VLOOKUP(I155,$C$3:$L$6,10,0)),"",VLOOKUP(I155,$C$3:$L$6,10,0)+J155+IF(OR(VLOOKUP(I155,$C$3:$L$6,5,0)=Variables!$B$5,B155&gt;VLOOKUP(I155,$C$3:$L$6,8,0)),IF(VLOOKUP(I155,$C$3:$L$6,5,0)=Variables!$B$5,((YEAR(B155)-YEAR($B$12))*12+MONTH(B155)-MONTH($B$12)),((YEAR(B155)-YEAR(VLOOKUP(I155,$C$3:$L$6,8,0)))*12+MONTH(B155)-MONTH(VLOOKUP(I155,$C$3:$L$6,8,0))))*VLOOKUP(I155,$C$3:$L$6,7,0),0)),""),"")</f>
        <v/>
      </c>
      <c r="L155" s="29" t="str">
        <f t="shared" ca="1" si="19"/>
        <v/>
      </c>
      <c r="M155" s="10"/>
      <c r="N155" s="10"/>
    </row>
    <row r="156" spans="1:14" x14ac:dyDescent="0.25">
      <c r="A156" s="10"/>
      <c r="B156" s="14" t="str">
        <f t="shared" ca="1" si="20"/>
        <v/>
      </c>
      <c r="C156" s="14" t="str">
        <f ca="1">IF(I155&lt;&gt;Variables!$B$1,IF(H155&lt;&gt;0,C155,I155),"")</f>
        <v/>
      </c>
      <c r="D156" s="29" t="str">
        <f t="shared" ref="D156:D219" ca="1" si="22">IF(C156&lt;&gt;"",IF(H155&lt;&gt;0,H155,L155),"")</f>
        <v/>
      </c>
      <c r="E156" s="29" t="str">
        <f t="shared" ref="E156:E219" ca="1" si="23">IF(C156&lt;&gt;"",MINPAYMENT(C156,ROW(B156),COLUMN(B156)),"")</f>
        <v/>
      </c>
      <c r="F156" s="29" t="str">
        <f ca="1">IF(C156&lt;&gt;"",IF(OR(VLOOKUP(C156,$C$3:$L$6,5,0)=Variables!$B$5,B156&gt;VLOOKUP(C156,$C$3:$L$6,8,0)),-D156*VLOOKUP(C156,$C$3:$L$6,6,0)/12,0),"")</f>
        <v/>
      </c>
      <c r="G156" s="29" t="str">
        <f ca="1">IF(I156&lt;&gt;Variables!$B$1,IF(C156&lt;&gt;"",$I$9-E156-F156,""),-D156)</f>
        <v/>
      </c>
      <c r="H156" s="29" t="str">
        <f t="shared" ca="1" si="21"/>
        <v/>
      </c>
      <c r="I156" s="31" t="str">
        <f ca="1">IF(C156&lt;&gt;"",IF(D156+$I$9-E156-F156&gt;=0,IF(ISERROR(INDEX($C$3:$C$6,MATCH(C156,$C$3:$C$6,0)+1,0)),Variables!$B$1,INDEX($C$3:$C$6,MATCH(C156,$C$3:$C$6,0)+1,0)),""),"")</f>
        <v/>
      </c>
      <c r="J156" s="29" t="str">
        <f ca="1">IF(ISERROR(VLOOKUP(I156,$C$3:$L$6,5,0)),"",IF(OR(VLOOKUP(I156,$C$3:$L$6,5,0)=Variables!$B$5,B156&gt;VLOOKUP(I156,$C$3:$L$6,8,0)),IF(VLOOKUP(I156,$C$3:$L$6,5,0)=Variables!$B$5,((YEAR(B156)-YEAR($B$12))*12+MONTH(B156)-MONTH($B$12)),((YEAR(B156)-YEAR(VLOOKUP(I156,$C$3:$L$6,8,0)))*12+MONTH(B156)-MONTH(VLOOKUP(I156,$C$3:$L$6,8,0))))*(VLOOKUP(I156,$C$3:$L$6,10,0)*VLOOKUP(I156,$C$3:$L$6,6,0)/12),0))</f>
        <v/>
      </c>
      <c r="K156" s="29" t="str">
        <f ca="1">IF(C156&lt;&gt;"",IF(I156&lt;&gt;"",IF(ISERROR(VLOOKUP(I156,$C$3:$L$6,10,0)),"",VLOOKUP(I156,$C$3:$L$6,10,0)+J156+IF(OR(VLOOKUP(I156,$C$3:$L$6,5,0)=Variables!$B$5,B156&gt;VLOOKUP(I156,$C$3:$L$6,8,0)),IF(VLOOKUP(I156,$C$3:$L$6,5,0)=Variables!$B$5,((YEAR(B156)-YEAR($B$12))*12+MONTH(B156)-MONTH($B$12)),((YEAR(B156)-YEAR(VLOOKUP(I156,$C$3:$L$6,8,0)))*12+MONTH(B156)-MONTH(VLOOKUP(I156,$C$3:$L$6,8,0))))*VLOOKUP(I156,$C$3:$L$6,7,0),0)),""),"")</f>
        <v/>
      </c>
      <c r="L156" s="29" t="str">
        <f t="shared" ref="L156:L219" ca="1" si="24">IF(C156&lt;&gt;"",IF(ISERROR(IF(D156+G156&gt;=0,K156+D156+G156,"")),"",IF(D156+G156&gt;=0,K156+D156+G156,"")),"")</f>
        <v/>
      </c>
      <c r="M156" s="10"/>
      <c r="N156" s="10"/>
    </row>
    <row r="157" spans="1:14" x14ac:dyDescent="0.25">
      <c r="A157" s="10"/>
      <c r="B157" s="14" t="str">
        <f t="shared" ref="B157:B220" ca="1" si="25">IF(C157&lt;&gt;"",DATE(YEAR(B156),MONTH(B156)+1,DAY(B156)),"")</f>
        <v/>
      </c>
      <c r="C157" s="14" t="str">
        <f ca="1">IF(I156&lt;&gt;Variables!$B$1,IF(H156&lt;&gt;0,C156,I156),"")</f>
        <v/>
      </c>
      <c r="D157" s="29" t="str">
        <f t="shared" ca="1" si="22"/>
        <v/>
      </c>
      <c r="E157" s="29" t="str">
        <f t="shared" ca="1" si="23"/>
        <v/>
      </c>
      <c r="F157" s="29" t="str">
        <f ca="1">IF(C157&lt;&gt;"",IF(OR(VLOOKUP(C157,$C$3:$L$6,5,0)=Variables!$B$5,B157&gt;VLOOKUP(C157,$C$3:$L$6,8,0)),-D157*VLOOKUP(C157,$C$3:$L$6,6,0)/12,0),"")</f>
        <v/>
      </c>
      <c r="G157" s="29" t="str">
        <f ca="1">IF(I157&lt;&gt;Variables!$B$1,IF(C157&lt;&gt;"",$I$9-E157-F157,""),-D157)</f>
        <v/>
      </c>
      <c r="H157" s="29" t="str">
        <f t="shared" ref="H157:H220" ca="1" si="26">IF(C157&lt;&gt;"",IF(D157+G157&lt;0,D157+G157,0),"")</f>
        <v/>
      </c>
      <c r="I157" s="31" t="str">
        <f ca="1">IF(C157&lt;&gt;"",IF(D157+$I$9-E157-F157&gt;=0,IF(ISERROR(INDEX($C$3:$C$6,MATCH(C157,$C$3:$C$6,0)+1,0)),Variables!$B$1,INDEX($C$3:$C$6,MATCH(C157,$C$3:$C$6,0)+1,0)),""),"")</f>
        <v/>
      </c>
      <c r="J157" s="29" t="str">
        <f ca="1">IF(ISERROR(VLOOKUP(I157,$C$3:$L$6,5,0)),"",IF(OR(VLOOKUP(I157,$C$3:$L$6,5,0)=Variables!$B$5,B157&gt;VLOOKUP(I157,$C$3:$L$6,8,0)),IF(VLOOKUP(I157,$C$3:$L$6,5,0)=Variables!$B$5,((YEAR(B157)-YEAR($B$12))*12+MONTH(B157)-MONTH($B$12)),((YEAR(B157)-YEAR(VLOOKUP(I157,$C$3:$L$6,8,0)))*12+MONTH(B157)-MONTH(VLOOKUP(I157,$C$3:$L$6,8,0))))*(VLOOKUP(I157,$C$3:$L$6,10,0)*VLOOKUP(I157,$C$3:$L$6,6,0)/12),0))</f>
        <v/>
      </c>
      <c r="K157" s="29" t="str">
        <f ca="1">IF(C157&lt;&gt;"",IF(I157&lt;&gt;"",IF(ISERROR(VLOOKUP(I157,$C$3:$L$6,10,0)),"",VLOOKUP(I157,$C$3:$L$6,10,0)+J157+IF(OR(VLOOKUP(I157,$C$3:$L$6,5,0)=Variables!$B$5,B157&gt;VLOOKUP(I157,$C$3:$L$6,8,0)),IF(VLOOKUP(I157,$C$3:$L$6,5,0)=Variables!$B$5,((YEAR(B157)-YEAR($B$12))*12+MONTH(B157)-MONTH($B$12)),((YEAR(B157)-YEAR(VLOOKUP(I157,$C$3:$L$6,8,0)))*12+MONTH(B157)-MONTH(VLOOKUP(I157,$C$3:$L$6,8,0))))*VLOOKUP(I157,$C$3:$L$6,7,0),0)),""),"")</f>
        <v/>
      </c>
      <c r="L157" s="29" t="str">
        <f t="shared" ca="1" si="24"/>
        <v/>
      </c>
      <c r="M157" s="10"/>
      <c r="N157" s="10"/>
    </row>
    <row r="158" spans="1:14" x14ac:dyDescent="0.25">
      <c r="A158" s="10"/>
      <c r="B158" s="14" t="str">
        <f t="shared" ca="1" si="25"/>
        <v/>
      </c>
      <c r="C158" s="14" t="str">
        <f ca="1">IF(I157&lt;&gt;Variables!$B$1,IF(H157&lt;&gt;0,C157,I157),"")</f>
        <v/>
      </c>
      <c r="D158" s="29" t="str">
        <f t="shared" ca="1" si="22"/>
        <v/>
      </c>
      <c r="E158" s="29" t="str">
        <f t="shared" ca="1" si="23"/>
        <v/>
      </c>
      <c r="F158" s="29" t="str">
        <f ca="1">IF(C158&lt;&gt;"",IF(OR(VLOOKUP(C158,$C$3:$L$6,5,0)=Variables!$B$5,B158&gt;VLOOKUP(C158,$C$3:$L$6,8,0)),-D158*VLOOKUP(C158,$C$3:$L$6,6,0)/12,0),"")</f>
        <v/>
      </c>
      <c r="G158" s="29" t="str">
        <f ca="1">IF(I158&lt;&gt;Variables!$B$1,IF(C158&lt;&gt;"",$I$9-E158-F158,""),-D158)</f>
        <v/>
      </c>
      <c r="H158" s="29" t="str">
        <f t="shared" ca="1" si="26"/>
        <v/>
      </c>
      <c r="I158" s="31" t="str">
        <f ca="1">IF(C158&lt;&gt;"",IF(D158+$I$9-E158-F158&gt;=0,IF(ISERROR(INDEX($C$3:$C$6,MATCH(C158,$C$3:$C$6,0)+1,0)),Variables!$B$1,INDEX($C$3:$C$6,MATCH(C158,$C$3:$C$6,0)+1,0)),""),"")</f>
        <v/>
      </c>
      <c r="J158" s="29" t="str">
        <f ca="1">IF(ISERROR(VLOOKUP(I158,$C$3:$L$6,5,0)),"",IF(OR(VLOOKUP(I158,$C$3:$L$6,5,0)=Variables!$B$5,B158&gt;VLOOKUP(I158,$C$3:$L$6,8,0)),IF(VLOOKUP(I158,$C$3:$L$6,5,0)=Variables!$B$5,((YEAR(B158)-YEAR($B$12))*12+MONTH(B158)-MONTH($B$12)),((YEAR(B158)-YEAR(VLOOKUP(I158,$C$3:$L$6,8,0)))*12+MONTH(B158)-MONTH(VLOOKUP(I158,$C$3:$L$6,8,0))))*(VLOOKUP(I158,$C$3:$L$6,10,0)*VLOOKUP(I158,$C$3:$L$6,6,0)/12),0))</f>
        <v/>
      </c>
      <c r="K158" s="29" t="str">
        <f ca="1">IF(C158&lt;&gt;"",IF(I158&lt;&gt;"",IF(ISERROR(VLOOKUP(I158,$C$3:$L$6,10,0)),"",VLOOKUP(I158,$C$3:$L$6,10,0)+J158+IF(OR(VLOOKUP(I158,$C$3:$L$6,5,0)=Variables!$B$5,B158&gt;VLOOKUP(I158,$C$3:$L$6,8,0)),IF(VLOOKUP(I158,$C$3:$L$6,5,0)=Variables!$B$5,((YEAR(B158)-YEAR($B$12))*12+MONTH(B158)-MONTH($B$12)),((YEAR(B158)-YEAR(VLOOKUP(I158,$C$3:$L$6,8,0)))*12+MONTH(B158)-MONTH(VLOOKUP(I158,$C$3:$L$6,8,0))))*VLOOKUP(I158,$C$3:$L$6,7,0),0)),""),"")</f>
        <v/>
      </c>
      <c r="L158" s="29" t="str">
        <f t="shared" ca="1" si="24"/>
        <v/>
      </c>
      <c r="M158" s="10"/>
      <c r="N158" s="10"/>
    </row>
    <row r="159" spans="1:14" x14ac:dyDescent="0.25">
      <c r="A159" s="10"/>
      <c r="B159" s="14" t="str">
        <f t="shared" ca="1" si="25"/>
        <v/>
      </c>
      <c r="C159" s="14" t="str">
        <f ca="1">IF(I158&lt;&gt;Variables!$B$1,IF(H158&lt;&gt;0,C158,I158),"")</f>
        <v/>
      </c>
      <c r="D159" s="29" t="str">
        <f t="shared" ca="1" si="22"/>
        <v/>
      </c>
      <c r="E159" s="29" t="str">
        <f t="shared" ca="1" si="23"/>
        <v/>
      </c>
      <c r="F159" s="29" t="str">
        <f ca="1">IF(C159&lt;&gt;"",IF(OR(VLOOKUP(C159,$C$3:$L$6,5,0)=Variables!$B$5,B159&gt;VLOOKUP(C159,$C$3:$L$6,8,0)),-D159*VLOOKUP(C159,$C$3:$L$6,6,0)/12,0),"")</f>
        <v/>
      </c>
      <c r="G159" s="29" t="str">
        <f ca="1">IF(I159&lt;&gt;Variables!$B$1,IF(C159&lt;&gt;"",$I$9-E159-F159,""),-D159)</f>
        <v/>
      </c>
      <c r="H159" s="29" t="str">
        <f t="shared" ca="1" si="26"/>
        <v/>
      </c>
      <c r="I159" s="31" t="str">
        <f ca="1">IF(C159&lt;&gt;"",IF(D159+$I$9-E159-F159&gt;=0,IF(ISERROR(INDEX($C$3:$C$6,MATCH(C159,$C$3:$C$6,0)+1,0)),Variables!$B$1,INDEX($C$3:$C$6,MATCH(C159,$C$3:$C$6,0)+1,0)),""),"")</f>
        <v/>
      </c>
      <c r="J159" s="29" t="str">
        <f ca="1">IF(ISERROR(VLOOKUP(I159,$C$3:$L$6,5,0)),"",IF(OR(VLOOKUP(I159,$C$3:$L$6,5,0)=Variables!$B$5,B159&gt;VLOOKUP(I159,$C$3:$L$6,8,0)),IF(VLOOKUP(I159,$C$3:$L$6,5,0)=Variables!$B$5,((YEAR(B159)-YEAR($B$12))*12+MONTH(B159)-MONTH($B$12)),((YEAR(B159)-YEAR(VLOOKUP(I159,$C$3:$L$6,8,0)))*12+MONTH(B159)-MONTH(VLOOKUP(I159,$C$3:$L$6,8,0))))*(VLOOKUP(I159,$C$3:$L$6,10,0)*VLOOKUP(I159,$C$3:$L$6,6,0)/12),0))</f>
        <v/>
      </c>
      <c r="K159" s="29" t="str">
        <f ca="1">IF(C159&lt;&gt;"",IF(I159&lt;&gt;"",IF(ISERROR(VLOOKUP(I159,$C$3:$L$6,10,0)),"",VLOOKUP(I159,$C$3:$L$6,10,0)+J159+IF(OR(VLOOKUP(I159,$C$3:$L$6,5,0)=Variables!$B$5,B159&gt;VLOOKUP(I159,$C$3:$L$6,8,0)),IF(VLOOKUP(I159,$C$3:$L$6,5,0)=Variables!$B$5,((YEAR(B159)-YEAR($B$12))*12+MONTH(B159)-MONTH($B$12)),((YEAR(B159)-YEAR(VLOOKUP(I159,$C$3:$L$6,8,0)))*12+MONTH(B159)-MONTH(VLOOKUP(I159,$C$3:$L$6,8,0))))*VLOOKUP(I159,$C$3:$L$6,7,0),0)),""),"")</f>
        <v/>
      </c>
      <c r="L159" s="29" t="str">
        <f t="shared" ca="1" si="24"/>
        <v/>
      </c>
      <c r="M159" s="10"/>
      <c r="N159" s="10"/>
    </row>
    <row r="160" spans="1:14" x14ac:dyDescent="0.25">
      <c r="A160" s="10"/>
      <c r="B160" s="14" t="str">
        <f t="shared" ca="1" si="25"/>
        <v/>
      </c>
      <c r="C160" s="14" t="str">
        <f ca="1">IF(I159&lt;&gt;Variables!$B$1,IF(H159&lt;&gt;0,C159,I159),"")</f>
        <v/>
      </c>
      <c r="D160" s="29" t="str">
        <f t="shared" ca="1" si="22"/>
        <v/>
      </c>
      <c r="E160" s="29" t="str">
        <f t="shared" ca="1" si="23"/>
        <v/>
      </c>
      <c r="F160" s="29" t="str">
        <f ca="1">IF(C160&lt;&gt;"",IF(OR(VLOOKUP(C160,$C$3:$L$6,5,0)=Variables!$B$5,B160&gt;VLOOKUP(C160,$C$3:$L$6,8,0)),-D160*VLOOKUP(C160,$C$3:$L$6,6,0)/12,0),"")</f>
        <v/>
      </c>
      <c r="G160" s="29" t="str">
        <f ca="1">IF(I160&lt;&gt;Variables!$B$1,IF(C160&lt;&gt;"",$I$9-E160-F160,""),-D160)</f>
        <v/>
      </c>
      <c r="H160" s="29" t="str">
        <f t="shared" ca="1" si="26"/>
        <v/>
      </c>
      <c r="I160" s="31" t="str">
        <f ca="1">IF(C160&lt;&gt;"",IF(D160+$I$9-E160-F160&gt;=0,IF(ISERROR(INDEX($C$3:$C$6,MATCH(C160,$C$3:$C$6,0)+1,0)),Variables!$B$1,INDEX($C$3:$C$6,MATCH(C160,$C$3:$C$6,0)+1,0)),""),"")</f>
        <v/>
      </c>
      <c r="J160" s="29" t="str">
        <f ca="1">IF(ISERROR(VLOOKUP(I160,$C$3:$L$6,5,0)),"",IF(OR(VLOOKUP(I160,$C$3:$L$6,5,0)=Variables!$B$5,B160&gt;VLOOKUP(I160,$C$3:$L$6,8,0)),IF(VLOOKUP(I160,$C$3:$L$6,5,0)=Variables!$B$5,((YEAR(B160)-YEAR($B$12))*12+MONTH(B160)-MONTH($B$12)),((YEAR(B160)-YEAR(VLOOKUP(I160,$C$3:$L$6,8,0)))*12+MONTH(B160)-MONTH(VLOOKUP(I160,$C$3:$L$6,8,0))))*(VLOOKUP(I160,$C$3:$L$6,10,0)*VLOOKUP(I160,$C$3:$L$6,6,0)/12),0))</f>
        <v/>
      </c>
      <c r="K160" s="29" t="str">
        <f ca="1">IF(C160&lt;&gt;"",IF(I160&lt;&gt;"",IF(ISERROR(VLOOKUP(I160,$C$3:$L$6,10,0)),"",VLOOKUP(I160,$C$3:$L$6,10,0)+J160+IF(OR(VLOOKUP(I160,$C$3:$L$6,5,0)=Variables!$B$5,B160&gt;VLOOKUP(I160,$C$3:$L$6,8,0)),IF(VLOOKUP(I160,$C$3:$L$6,5,0)=Variables!$B$5,((YEAR(B160)-YEAR($B$12))*12+MONTH(B160)-MONTH($B$12)),((YEAR(B160)-YEAR(VLOOKUP(I160,$C$3:$L$6,8,0)))*12+MONTH(B160)-MONTH(VLOOKUP(I160,$C$3:$L$6,8,0))))*VLOOKUP(I160,$C$3:$L$6,7,0),0)),""),"")</f>
        <v/>
      </c>
      <c r="L160" s="29" t="str">
        <f t="shared" ca="1" si="24"/>
        <v/>
      </c>
      <c r="M160" s="10"/>
      <c r="N160" s="10"/>
    </row>
    <row r="161" spans="1:14" x14ac:dyDescent="0.25">
      <c r="A161" s="10"/>
      <c r="B161" s="14" t="str">
        <f t="shared" ca="1" si="25"/>
        <v/>
      </c>
      <c r="C161" s="14" t="str">
        <f ca="1">IF(I160&lt;&gt;Variables!$B$1,IF(H160&lt;&gt;0,C160,I160),"")</f>
        <v/>
      </c>
      <c r="D161" s="29" t="str">
        <f t="shared" ca="1" si="22"/>
        <v/>
      </c>
      <c r="E161" s="29" t="str">
        <f t="shared" ca="1" si="23"/>
        <v/>
      </c>
      <c r="F161" s="29" t="str">
        <f ca="1">IF(C161&lt;&gt;"",IF(OR(VLOOKUP(C161,$C$3:$L$6,5,0)=Variables!$B$5,B161&gt;VLOOKUP(C161,$C$3:$L$6,8,0)),-D161*VLOOKUP(C161,$C$3:$L$6,6,0)/12,0),"")</f>
        <v/>
      </c>
      <c r="G161" s="29" t="str">
        <f ca="1">IF(I161&lt;&gt;Variables!$B$1,IF(C161&lt;&gt;"",$I$9-E161-F161,""),-D161)</f>
        <v/>
      </c>
      <c r="H161" s="29" t="str">
        <f t="shared" ca="1" si="26"/>
        <v/>
      </c>
      <c r="I161" s="31" t="str">
        <f ca="1">IF(C161&lt;&gt;"",IF(D161+$I$9-E161-F161&gt;=0,IF(ISERROR(INDEX($C$3:$C$6,MATCH(C161,$C$3:$C$6,0)+1,0)),Variables!$B$1,INDEX($C$3:$C$6,MATCH(C161,$C$3:$C$6,0)+1,0)),""),"")</f>
        <v/>
      </c>
      <c r="J161" s="29" t="str">
        <f ca="1">IF(ISERROR(VLOOKUP(I161,$C$3:$L$6,5,0)),"",IF(OR(VLOOKUP(I161,$C$3:$L$6,5,0)=Variables!$B$5,B161&gt;VLOOKUP(I161,$C$3:$L$6,8,0)),IF(VLOOKUP(I161,$C$3:$L$6,5,0)=Variables!$B$5,((YEAR(B161)-YEAR($B$12))*12+MONTH(B161)-MONTH($B$12)),((YEAR(B161)-YEAR(VLOOKUP(I161,$C$3:$L$6,8,0)))*12+MONTH(B161)-MONTH(VLOOKUP(I161,$C$3:$L$6,8,0))))*(VLOOKUP(I161,$C$3:$L$6,10,0)*VLOOKUP(I161,$C$3:$L$6,6,0)/12),0))</f>
        <v/>
      </c>
      <c r="K161" s="29" t="str">
        <f ca="1">IF(C161&lt;&gt;"",IF(I161&lt;&gt;"",IF(ISERROR(VLOOKUP(I161,$C$3:$L$6,10,0)),"",VLOOKUP(I161,$C$3:$L$6,10,0)+J161+IF(OR(VLOOKUP(I161,$C$3:$L$6,5,0)=Variables!$B$5,B161&gt;VLOOKUP(I161,$C$3:$L$6,8,0)),IF(VLOOKUP(I161,$C$3:$L$6,5,0)=Variables!$B$5,((YEAR(B161)-YEAR($B$12))*12+MONTH(B161)-MONTH($B$12)),((YEAR(B161)-YEAR(VLOOKUP(I161,$C$3:$L$6,8,0)))*12+MONTH(B161)-MONTH(VLOOKUP(I161,$C$3:$L$6,8,0))))*VLOOKUP(I161,$C$3:$L$6,7,0),0)),""),"")</f>
        <v/>
      </c>
      <c r="L161" s="29" t="str">
        <f t="shared" ca="1" si="24"/>
        <v/>
      </c>
      <c r="M161" s="10"/>
      <c r="N161" s="10"/>
    </row>
    <row r="162" spans="1:14" x14ac:dyDescent="0.25">
      <c r="A162" s="10"/>
      <c r="B162" s="14" t="str">
        <f t="shared" ca="1" si="25"/>
        <v/>
      </c>
      <c r="C162" s="14" t="str">
        <f ca="1">IF(I161&lt;&gt;Variables!$B$1,IF(H161&lt;&gt;0,C161,I161),"")</f>
        <v/>
      </c>
      <c r="D162" s="29" t="str">
        <f t="shared" ca="1" si="22"/>
        <v/>
      </c>
      <c r="E162" s="29" t="str">
        <f t="shared" ca="1" si="23"/>
        <v/>
      </c>
      <c r="F162" s="29" t="str">
        <f ca="1">IF(C162&lt;&gt;"",IF(OR(VLOOKUP(C162,$C$3:$L$6,5,0)=Variables!$B$5,B162&gt;VLOOKUP(C162,$C$3:$L$6,8,0)),-D162*VLOOKUP(C162,$C$3:$L$6,6,0)/12,0),"")</f>
        <v/>
      </c>
      <c r="G162" s="29" t="str">
        <f ca="1">IF(I162&lt;&gt;Variables!$B$1,IF(C162&lt;&gt;"",$I$9-E162-F162,""),-D162)</f>
        <v/>
      </c>
      <c r="H162" s="29" t="str">
        <f t="shared" ca="1" si="26"/>
        <v/>
      </c>
      <c r="I162" s="31" t="str">
        <f ca="1">IF(C162&lt;&gt;"",IF(D162+$I$9-E162-F162&gt;=0,IF(ISERROR(INDEX($C$3:$C$6,MATCH(C162,$C$3:$C$6,0)+1,0)),Variables!$B$1,INDEX($C$3:$C$6,MATCH(C162,$C$3:$C$6,0)+1,0)),""),"")</f>
        <v/>
      </c>
      <c r="J162" s="29" t="str">
        <f ca="1">IF(ISERROR(VLOOKUP(I162,$C$3:$L$6,5,0)),"",IF(OR(VLOOKUP(I162,$C$3:$L$6,5,0)=Variables!$B$5,B162&gt;VLOOKUP(I162,$C$3:$L$6,8,0)),IF(VLOOKUP(I162,$C$3:$L$6,5,0)=Variables!$B$5,((YEAR(B162)-YEAR($B$12))*12+MONTH(B162)-MONTH($B$12)),((YEAR(B162)-YEAR(VLOOKUP(I162,$C$3:$L$6,8,0)))*12+MONTH(B162)-MONTH(VLOOKUP(I162,$C$3:$L$6,8,0))))*(VLOOKUP(I162,$C$3:$L$6,10,0)*VLOOKUP(I162,$C$3:$L$6,6,0)/12),0))</f>
        <v/>
      </c>
      <c r="K162" s="29" t="str">
        <f ca="1">IF(C162&lt;&gt;"",IF(I162&lt;&gt;"",IF(ISERROR(VLOOKUP(I162,$C$3:$L$6,10,0)),"",VLOOKUP(I162,$C$3:$L$6,10,0)+J162+IF(OR(VLOOKUP(I162,$C$3:$L$6,5,0)=Variables!$B$5,B162&gt;VLOOKUP(I162,$C$3:$L$6,8,0)),IF(VLOOKUP(I162,$C$3:$L$6,5,0)=Variables!$B$5,((YEAR(B162)-YEAR($B$12))*12+MONTH(B162)-MONTH($B$12)),((YEAR(B162)-YEAR(VLOOKUP(I162,$C$3:$L$6,8,0)))*12+MONTH(B162)-MONTH(VLOOKUP(I162,$C$3:$L$6,8,0))))*VLOOKUP(I162,$C$3:$L$6,7,0),0)),""),"")</f>
        <v/>
      </c>
      <c r="L162" s="29" t="str">
        <f t="shared" ca="1" si="24"/>
        <v/>
      </c>
      <c r="M162" s="10"/>
      <c r="N162" s="10"/>
    </row>
    <row r="163" spans="1:14" x14ac:dyDescent="0.25">
      <c r="A163" s="10"/>
      <c r="B163" s="14" t="str">
        <f t="shared" ca="1" si="25"/>
        <v/>
      </c>
      <c r="C163" s="14" t="str">
        <f ca="1">IF(I162&lt;&gt;Variables!$B$1,IF(H162&lt;&gt;0,C162,I162),"")</f>
        <v/>
      </c>
      <c r="D163" s="29" t="str">
        <f t="shared" ca="1" si="22"/>
        <v/>
      </c>
      <c r="E163" s="29" t="str">
        <f t="shared" ca="1" si="23"/>
        <v/>
      </c>
      <c r="F163" s="29" t="str">
        <f ca="1">IF(C163&lt;&gt;"",IF(OR(VLOOKUP(C163,$C$3:$L$6,5,0)=Variables!$B$5,B163&gt;VLOOKUP(C163,$C$3:$L$6,8,0)),-D163*VLOOKUP(C163,$C$3:$L$6,6,0)/12,0),"")</f>
        <v/>
      </c>
      <c r="G163" s="29" t="str">
        <f ca="1">IF(I163&lt;&gt;Variables!$B$1,IF(C163&lt;&gt;"",$I$9-E163-F163,""),-D163)</f>
        <v/>
      </c>
      <c r="H163" s="29" t="str">
        <f t="shared" ca="1" si="26"/>
        <v/>
      </c>
      <c r="I163" s="31" t="str">
        <f ca="1">IF(C163&lt;&gt;"",IF(D163+$I$9-E163-F163&gt;=0,IF(ISERROR(INDEX($C$3:$C$6,MATCH(C163,$C$3:$C$6,0)+1,0)),Variables!$B$1,INDEX($C$3:$C$6,MATCH(C163,$C$3:$C$6,0)+1,0)),""),"")</f>
        <v/>
      </c>
      <c r="J163" s="29" t="str">
        <f ca="1">IF(ISERROR(VLOOKUP(I163,$C$3:$L$6,5,0)),"",IF(OR(VLOOKUP(I163,$C$3:$L$6,5,0)=Variables!$B$5,B163&gt;VLOOKUP(I163,$C$3:$L$6,8,0)),IF(VLOOKUP(I163,$C$3:$L$6,5,0)=Variables!$B$5,((YEAR(B163)-YEAR($B$12))*12+MONTH(B163)-MONTH($B$12)),((YEAR(B163)-YEAR(VLOOKUP(I163,$C$3:$L$6,8,0)))*12+MONTH(B163)-MONTH(VLOOKUP(I163,$C$3:$L$6,8,0))))*(VLOOKUP(I163,$C$3:$L$6,10,0)*VLOOKUP(I163,$C$3:$L$6,6,0)/12),0))</f>
        <v/>
      </c>
      <c r="K163" s="29" t="str">
        <f ca="1">IF(C163&lt;&gt;"",IF(I163&lt;&gt;"",IF(ISERROR(VLOOKUP(I163,$C$3:$L$6,10,0)),"",VLOOKUP(I163,$C$3:$L$6,10,0)+J163+IF(OR(VLOOKUP(I163,$C$3:$L$6,5,0)=Variables!$B$5,B163&gt;VLOOKUP(I163,$C$3:$L$6,8,0)),IF(VLOOKUP(I163,$C$3:$L$6,5,0)=Variables!$B$5,((YEAR(B163)-YEAR($B$12))*12+MONTH(B163)-MONTH($B$12)),((YEAR(B163)-YEAR(VLOOKUP(I163,$C$3:$L$6,8,0)))*12+MONTH(B163)-MONTH(VLOOKUP(I163,$C$3:$L$6,8,0))))*VLOOKUP(I163,$C$3:$L$6,7,0),0)),""),"")</f>
        <v/>
      </c>
      <c r="L163" s="29" t="str">
        <f t="shared" ca="1" si="24"/>
        <v/>
      </c>
      <c r="M163" s="10"/>
      <c r="N163" s="10"/>
    </row>
    <row r="164" spans="1:14" x14ac:dyDescent="0.25">
      <c r="A164" s="10"/>
      <c r="B164" s="14" t="str">
        <f t="shared" ca="1" si="25"/>
        <v/>
      </c>
      <c r="C164" s="14" t="str">
        <f ca="1">IF(I163&lt;&gt;Variables!$B$1,IF(H163&lt;&gt;0,C163,I163),"")</f>
        <v/>
      </c>
      <c r="D164" s="29" t="str">
        <f t="shared" ca="1" si="22"/>
        <v/>
      </c>
      <c r="E164" s="29" t="str">
        <f t="shared" ca="1" si="23"/>
        <v/>
      </c>
      <c r="F164" s="29" t="str">
        <f ca="1">IF(C164&lt;&gt;"",IF(OR(VLOOKUP(C164,$C$3:$L$6,5,0)=Variables!$B$5,B164&gt;VLOOKUP(C164,$C$3:$L$6,8,0)),-D164*VLOOKUP(C164,$C$3:$L$6,6,0)/12,0),"")</f>
        <v/>
      </c>
      <c r="G164" s="29" t="str">
        <f ca="1">IF(I164&lt;&gt;Variables!$B$1,IF(C164&lt;&gt;"",$I$9-E164-F164,""),-D164)</f>
        <v/>
      </c>
      <c r="H164" s="29" t="str">
        <f t="shared" ca="1" si="26"/>
        <v/>
      </c>
      <c r="I164" s="31" t="str">
        <f ca="1">IF(C164&lt;&gt;"",IF(D164+$I$9-E164-F164&gt;=0,IF(ISERROR(INDEX($C$3:$C$6,MATCH(C164,$C$3:$C$6,0)+1,0)),Variables!$B$1,INDEX($C$3:$C$6,MATCH(C164,$C$3:$C$6,0)+1,0)),""),"")</f>
        <v/>
      </c>
      <c r="J164" s="29" t="str">
        <f ca="1">IF(ISERROR(VLOOKUP(I164,$C$3:$L$6,5,0)),"",IF(OR(VLOOKUP(I164,$C$3:$L$6,5,0)=Variables!$B$5,B164&gt;VLOOKUP(I164,$C$3:$L$6,8,0)),IF(VLOOKUP(I164,$C$3:$L$6,5,0)=Variables!$B$5,((YEAR(B164)-YEAR($B$12))*12+MONTH(B164)-MONTH($B$12)),((YEAR(B164)-YEAR(VLOOKUP(I164,$C$3:$L$6,8,0)))*12+MONTH(B164)-MONTH(VLOOKUP(I164,$C$3:$L$6,8,0))))*(VLOOKUP(I164,$C$3:$L$6,10,0)*VLOOKUP(I164,$C$3:$L$6,6,0)/12),0))</f>
        <v/>
      </c>
      <c r="K164" s="29" t="str">
        <f ca="1">IF(C164&lt;&gt;"",IF(I164&lt;&gt;"",IF(ISERROR(VLOOKUP(I164,$C$3:$L$6,10,0)),"",VLOOKUP(I164,$C$3:$L$6,10,0)+J164+IF(OR(VLOOKUP(I164,$C$3:$L$6,5,0)=Variables!$B$5,B164&gt;VLOOKUP(I164,$C$3:$L$6,8,0)),IF(VLOOKUP(I164,$C$3:$L$6,5,0)=Variables!$B$5,((YEAR(B164)-YEAR($B$12))*12+MONTH(B164)-MONTH($B$12)),((YEAR(B164)-YEAR(VLOOKUP(I164,$C$3:$L$6,8,0)))*12+MONTH(B164)-MONTH(VLOOKUP(I164,$C$3:$L$6,8,0))))*VLOOKUP(I164,$C$3:$L$6,7,0),0)),""),"")</f>
        <v/>
      </c>
      <c r="L164" s="29" t="str">
        <f t="shared" ca="1" si="24"/>
        <v/>
      </c>
      <c r="M164" s="10"/>
      <c r="N164" s="10"/>
    </row>
    <row r="165" spans="1:14" x14ac:dyDescent="0.25">
      <c r="A165" s="10"/>
      <c r="B165" s="14" t="str">
        <f t="shared" ca="1" si="25"/>
        <v/>
      </c>
      <c r="C165" s="14" t="str">
        <f ca="1">IF(I164&lt;&gt;Variables!$B$1,IF(H164&lt;&gt;0,C164,I164),"")</f>
        <v/>
      </c>
      <c r="D165" s="29" t="str">
        <f t="shared" ca="1" si="22"/>
        <v/>
      </c>
      <c r="E165" s="29" t="str">
        <f t="shared" ca="1" si="23"/>
        <v/>
      </c>
      <c r="F165" s="29" t="str">
        <f ca="1">IF(C165&lt;&gt;"",IF(OR(VLOOKUP(C165,$C$3:$L$6,5,0)=Variables!$B$5,B165&gt;VLOOKUP(C165,$C$3:$L$6,8,0)),-D165*VLOOKUP(C165,$C$3:$L$6,6,0)/12,0),"")</f>
        <v/>
      </c>
      <c r="G165" s="29" t="str">
        <f ca="1">IF(I165&lt;&gt;Variables!$B$1,IF(C165&lt;&gt;"",$I$9-E165-F165,""),-D165)</f>
        <v/>
      </c>
      <c r="H165" s="29" t="str">
        <f t="shared" ca="1" si="26"/>
        <v/>
      </c>
      <c r="I165" s="31" t="str">
        <f ca="1">IF(C165&lt;&gt;"",IF(D165+$I$9-E165-F165&gt;=0,IF(ISERROR(INDEX($C$3:$C$6,MATCH(C165,$C$3:$C$6,0)+1,0)),Variables!$B$1,INDEX($C$3:$C$6,MATCH(C165,$C$3:$C$6,0)+1,0)),""),"")</f>
        <v/>
      </c>
      <c r="J165" s="29" t="str">
        <f ca="1">IF(ISERROR(VLOOKUP(I165,$C$3:$L$6,5,0)),"",IF(OR(VLOOKUP(I165,$C$3:$L$6,5,0)=Variables!$B$5,B165&gt;VLOOKUP(I165,$C$3:$L$6,8,0)),IF(VLOOKUP(I165,$C$3:$L$6,5,0)=Variables!$B$5,((YEAR(B165)-YEAR($B$12))*12+MONTH(B165)-MONTH($B$12)),((YEAR(B165)-YEAR(VLOOKUP(I165,$C$3:$L$6,8,0)))*12+MONTH(B165)-MONTH(VLOOKUP(I165,$C$3:$L$6,8,0))))*(VLOOKUP(I165,$C$3:$L$6,10,0)*VLOOKUP(I165,$C$3:$L$6,6,0)/12),0))</f>
        <v/>
      </c>
      <c r="K165" s="29" t="str">
        <f ca="1">IF(C165&lt;&gt;"",IF(I165&lt;&gt;"",IF(ISERROR(VLOOKUP(I165,$C$3:$L$6,10,0)),"",VLOOKUP(I165,$C$3:$L$6,10,0)+J165+IF(OR(VLOOKUP(I165,$C$3:$L$6,5,0)=Variables!$B$5,B165&gt;VLOOKUP(I165,$C$3:$L$6,8,0)),IF(VLOOKUP(I165,$C$3:$L$6,5,0)=Variables!$B$5,((YEAR(B165)-YEAR($B$12))*12+MONTH(B165)-MONTH($B$12)),((YEAR(B165)-YEAR(VLOOKUP(I165,$C$3:$L$6,8,0)))*12+MONTH(B165)-MONTH(VLOOKUP(I165,$C$3:$L$6,8,0))))*VLOOKUP(I165,$C$3:$L$6,7,0),0)),""),"")</f>
        <v/>
      </c>
      <c r="L165" s="29" t="str">
        <f t="shared" ca="1" si="24"/>
        <v/>
      </c>
      <c r="M165" s="10"/>
      <c r="N165" s="10"/>
    </row>
    <row r="166" spans="1:14" x14ac:dyDescent="0.25">
      <c r="A166" s="10"/>
      <c r="B166" s="14" t="str">
        <f t="shared" ca="1" si="25"/>
        <v/>
      </c>
      <c r="C166" s="14" t="str">
        <f ca="1">IF(I165&lt;&gt;Variables!$B$1,IF(H165&lt;&gt;0,C165,I165),"")</f>
        <v/>
      </c>
      <c r="D166" s="29" t="str">
        <f t="shared" ca="1" si="22"/>
        <v/>
      </c>
      <c r="E166" s="29" t="str">
        <f t="shared" ca="1" si="23"/>
        <v/>
      </c>
      <c r="F166" s="29" t="str">
        <f ca="1">IF(C166&lt;&gt;"",IF(OR(VLOOKUP(C166,$C$3:$L$6,5,0)=Variables!$B$5,B166&gt;VLOOKUP(C166,$C$3:$L$6,8,0)),-D166*VLOOKUP(C166,$C$3:$L$6,6,0)/12,0),"")</f>
        <v/>
      </c>
      <c r="G166" s="29" t="str">
        <f ca="1">IF(I166&lt;&gt;Variables!$B$1,IF(C166&lt;&gt;"",$I$9-E166-F166,""),-D166)</f>
        <v/>
      </c>
      <c r="H166" s="29" t="str">
        <f t="shared" ca="1" si="26"/>
        <v/>
      </c>
      <c r="I166" s="31" t="str">
        <f ca="1">IF(C166&lt;&gt;"",IF(D166+$I$9-E166-F166&gt;=0,IF(ISERROR(INDEX($C$3:$C$6,MATCH(C166,$C$3:$C$6,0)+1,0)),Variables!$B$1,INDEX($C$3:$C$6,MATCH(C166,$C$3:$C$6,0)+1,0)),""),"")</f>
        <v/>
      </c>
      <c r="J166" s="29" t="str">
        <f ca="1">IF(ISERROR(VLOOKUP(I166,$C$3:$L$6,5,0)),"",IF(OR(VLOOKUP(I166,$C$3:$L$6,5,0)=Variables!$B$5,B166&gt;VLOOKUP(I166,$C$3:$L$6,8,0)),IF(VLOOKUP(I166,$C$3:$L$6,5,0)=Variables!$B$5,((YEAR(B166)-YEAR($B$12))*12+MONTH(B166)-MONTH($B$12)),((YEAR(B166)-YEAR(VLOOKUP(I166,$C$3:$L$6,8,0)))*12+MONTH(B166)-MONTH(VLOOKUP(I166,$C$3:$L$6,8,0))))*(VLOOKUP(I166,$C$3:$L$6,10,0)*VLOOKUP(I166,$C$3:$L$6,6,0)/12),0))</f>
        <v/>
      </c>
      <c r="K166" s="29" t="str">
        <f ca="1">IF(C166&lt;&gt;"",IF(I166&lt;&gt;"",IF(ISERROR(VLOOKUP(I166,$C$3:$L$6,10,0)),"",VLOOKUP(I166,$C$3:$L$6,10,0)+J166+IF(OR(VLOOKUP(I166,$C$3:$L$6,5,0)=Variables!$B$5,B166&gt;VLOOKUP(I166,$C$3:$L$6,8,0)),IF(VLOOKUP(I166,$C$3:$L$6,5,0)=Variables!$B$5,((YEAR(B166)-YEAR($B$12))*12+MONTH(B166)-MONTH($B$12)),((YEAR(B166)-YEAR(VLOOKUP(I166,$C$3:$L$6,8,0)))*12+MONTH(B166)-MONTH(VLOOKUP(I166,$C$3:$L$6,8,0))))*VLOOKUP(I166,$C$3:$L$6,7,0),0)),""),"")</f>
        <v/>
      </c>
      <c r="L166" s="29" t="str">
        <f t="shared" ca="1" si="24"/>
        <v/>
      </c>
      <c r="M166" s="10"/>
      <c r="N166" s="10"/>
    </row>
    <row r="167" spans="1:14" x14ac:dyDescent="0.25">
      <c r="A167" s="10"/>
      <c r="B167" s="14" t="str">
        <f t="shared" ca="1" si="25"/>
        <v/>
      </c>
      <c r="C167" s="14" t="str">
        <f ca="1">IF(I166&lt;&gt;Variables!$B$1,IF(H166&lt;&gt;0,C166,I166),"")</f>
        <v/>
      </c>
      <c r="D167" s="29" t="str">
        <f t="shared" ca="1" si="22"/>
        <v/>
      </c>
      <c r="E167" s="29" t="str">
        <f t="shared" ca="1" si="23"/>
        <v/>
      </c>
      <c r="F167" s="29" t="str">
        <f ca="1">IF(C167&lt;&gt;"",IF(OR(VLOOKUP(C167,$C$3:$L$6,5,0)=Variables!$B$5,B167&gt;VLOOKUP(C167,$C$3:$L$6,8,0)),-D167*VLOOKUP(C167,$C$3:$L$6,6,0)/12,0),"")</f>
        <v/>
      </c>
      <c r="G167" s="29" t="str">
        <f ca="1">IF(I167&lt;&gt;Variables!$B$1,IF(C167&lt;&gt;"",$I$9-E167-F167,""),-D167)</f>
        <v/>
      </c>
      <c r="H167" s="29" t="str">
        <f t="shared" ca="1" si="26"/>
        <v/>
      </c>
      <c r="I167" s="31" t="str">
        <f ca="1">IF(C167&lt;&gt;"",IF(D167+$I$9-E167-F167&gt;=0,IF(ISERROR(INDEX($C$3:$C$6,MATCH(C167,$C$3:$C$6,0)+1,0)),Variables!$B$1,INDEX($C$3:$C$6,MATCH(C167,$C$3:$C$6,0)+1,0)),""),"")</f>
        <v/>
      </c>
      <c r="J167" s="29" t="str">
        <f ca="1">IF(ISERROR(VLOOKUP(I167,$C$3:$L$6,5,0)),"",IF(OR(VLOOKUP(I167,$C$3:$L$6,5,0)=Variables!$B$5,B167&gt;VLOOKUP(I167,$C$3:$L$6,8,0)),IF(VLOOKUP(I167,$C$3:$L$6,5,0)=Variables!$B$5,((YEAR(B167)-YEAR($B$12))*12+MONTH(B167)-MONTH($B$12)),((YEAR(B167)-YEAR(VLOOKUP(I167,$C$3:$L$6,8,0)))*12+MONTH(B167)-MONTH(VLOOKUP(I167,$C$3:$L$6,8,0))))*(VLOOKUP(I167,$C$3:$L$6,10,0)*VLOOKUP(I167,$C$3:$L$6,6,0)/12),0))</f>
        <v/>
      </c>
      <c r="K167" s="29" t="str">
        <f ca="1">IF(C167&lt;&gt;"",IF(I167&lt;&gt;"",IF(ISERROR(VLOOKUP(I167,$C$3:$L$6,10,0)),"",VLOOKUP(I167,$C$3:$L$6,10,0)+J167+IF(OR(VLOOKUP(I167,$C$3:$L$6,5,0)=Variables!$B$5,B167&gt;VLOOKUP(I167,$C$3:$L$6,8,0)),IF(VLOOKUP(I167,$C$3:$L$6,5,0)=Variables!$B$5,((YEAR(B167)-YEAR($B$12))*12+MONTH(B167)-MONTH($B$12)),((YEAR(B167)-YEAR(VLOOKUP(I167,$C$3:$L$6,8,0)))*12+MONTH(B167)-MONTH(VLOOKUP(I167,$C$3:$L$6,8,0))))*VLOOKUP(I167,$C$3:$L$6,7,0),0)),""),"")</f>
        <v/>
      </c>
      <c r="L167" s="29" t="str">
        <f t="shared" ca="1" si="24"/>
        <v/>
      </c>
      <c r="M167" s="10"/>
      <c r="N167" s="10"/>
    </row>
    <row r="168" spans="1:14" x14ac:dyDescent="0.25">
      <c r="A168" s="10"/>
      <c r="B168" s="14" t="str">
        <f t="shared" ca="1" si="25"/>
        <v/>
      </c>
      <c r="C168" s="14" t="str">
        <f ca="1">IF(I167&lt;&gt;Variables!$B$1,IF(H167&lt;&gt;0,C167,I167),"")</f>
        <v/>
      </c>
      <c r="D168" s="29" t="str">
        <f t="shared" ca="1" si="22"/>
        <v/>
      </c>
      <c r="E168" s="29" t="str">
        <f t="shared" ca="1" si="23"/>
        <v/>
      </c>
      <c r="F168" s="29" t="str">
        <f ca="1">IF(C168&lt;&gt;"",IF(OR(VLOOKUP(C168,$C$3:$L$6,5,0)=Variables!$B$5,B168&gt;VLOOKUP(C168,$C$3:$L$6,8,0)),-D168*VLOOKUP(C168,$C$3:$L$6,6,0)/12,0),"")</f>
        <v/>
      </c>
      <c r="G168" s="29" t="str">
        <f ca="1">IF(I168&lt;&gt;Variables!$B$1,IF(C168&lt;&gt;"",$I$9-E168-F168,""),-D168)</f>
        <v/>
      </c>
      <c r="H168" s="29" t="str">
        <f t="shared" ca="1" si="26"/>
        <v/>
      </c>
      <c r="I168" s="31" t="str">
        <f ca="1">IF(C168&lt;&gt;"",IF(D168+$I$9-E168-F168&gt;=0,IF(ISERROR(INDEX($C$3:$C$6,MATCH(C168,$C$3:$C$6,0)+1,0)),Variables!$B$1,INDEX($C$3:$C$6,MATCH(C168,$C$3:$C$6,0)+1,0)),""),"")</f>
        <v/>
      </c>
      <c r="J168" s="29" t="str">
        <f ca="1">IF(ISERROR(VLOOKUP(I168,$C$3:$L$6,5,0)),"",IF(OR(VLOOKUP(I168,$C$3:$L$6,5,0)=Variables!$B$5,B168&gt;VLOOKUP(I168,$C$3:$L$6,8,0)),IF(VLOOKUP(I168,$C$3:$L$6,5,0)=Variables!$B$5,((YEAR(B168)-YEAR($B$12))*12+MONTH(B168)-MONTH($B$12)),((YEAR(B168)-YEAR(VLOOKUP(I168,$C$3:$L$6,8,0)))*12+MONTH(B168)-MONTH(VLOOKUP(I168,$C$3:$L$6,8,0))))*(VLOOKUP(I168,$C$3:$L$6,10,0)*VLOOKUP(I168,$C$3:$L$6,6,0)/12),0))</f>
        <v/>
      </c>
      <c r="K168" s="29" t="str">
        <f ca="1">IF(C168&lt;&gt;"",IF(I168&lt;&gt;"",IF(ISERROR(VLOOKUP(I168,$C$3:$L$6,10,0)),"",VLOOKUP(I168,$C$3:$L$6,10,0)+J168+IF(OR(VLOOKUP(I168,$C$3:$L$6,5,0)=Variables!$B$5,B168&gt;VLOOKUP(I168,$C$3:$L$6,8,0)),IF(VLOOKUP(I168,$C$3:$L$6,5,0)=Variables!$B$5,((YEAR(B168)-YEAR($B$12))*12+MONTH(B168)-MONTH($B$12)),((YEAR(B168)-YEAR(VLOOKUP(I168,$C$3:$L$6,8,0)))*12+MONTH(B168)-MONTH(VLOOKUP(I168,$C$3:$L$6,8,0))))*VLOOKUP(I168,$C$3:$L$6,7,0),0)),""),"")</f>
        <v/>
      </c>
      <c r="L168" s="29" t="str">
        <f t="shared" ca="1" si="24"/>
        <v/>
      </c>
      <c r="M168" s="10"/>
      <c r="N168" s="10"/>
    </row>
    <row r="169" spans="1:14" x14ac:dyDescent="0.25">
      <c r="A169" s="10"/>
      <c r="B169" s="14" t="str">
        <f t="shared" ca="1" si="25"/>
        <v/>
      </c>
      <c r="C169" s="14" t="str">
        <f ca="1">IF(I168&lt;&gt;Variables!$B$1,IF(H168&lt;&gt;0,C168,I168),"")</f>
        <v/>
      </c>
      <c r="D169" s="29" t="str">
        <f t="shared" ca="1" si="22"/>
        <v/>
      </c>
      <c r="E169" s="29" t="str">
        <f t="shared" ca="1" si="23"/>
        <v/>
      </c>
      <c r="F169" s="29" t="str">
        <f ca="1">IF(C169&lt;&gt;"",IF(OR(VLOOKUP(C169,$C$3:$L$6,5,0)=Variables!$B$5,B169&gt;VLOOKUP(C169,$C$3:$L$6,8,0)),-D169*VLOOKUP(C169,$C$3:$L$6,6,0)/12,0),"")</f>
        <v/>
      </c>
      <c r="G169" s="29" t="str">
        <f ca="1">IF(I169&lt;&gt;Variables!$B$1,IF(C169&lt;&gt;"",$I$9-E169-F169,""),-D169)</f>
        <v/>
      </c>
      <c r="H169" s="29" t="str">
        <f t="shared" ca="1" si="26"/>
        <v/>
      </c>
      <c r="I169" s="31" t="str">
        <f ca="1">IF(C169&lt;&gt;"",IF(D169+$I$9-E169-F169&gt;=0,IF(ISERROR(INDEX($C$3:$C$6,MATCH(C169,$C$3:$C$6,0)+1,0)),Variables!$B$1,INDEX($C$3:$C$6,MATCH(C169,$C$3:$C$6,0)+1,0)),""),"")</f>
        <v/>
      </c>
      <c r="J169" s="29" t="str">
        <f ca="1">IF(ISERROR(VLOOKUP(I169,$C$3:$L$6,5,0)),"",IF(OR(VLOOKUP(I169,$C$3:$L$6,5,0)=Variables!$B$5,B169&gt;VLOOKUP(I169,$C$3:$L$6,8,0)),IF(VLOOKUP(I169,$C$3:$L$6,5,0)=Variables!$B$5,((YEAR(B169)-YEAR($B$12))*12+MONTH(B169)-MONTH($B$12)),((YEAR(B169)-YEAR(VLOOKUP(I169,$C$3:$L$6,8,0)))*12+MONTH(B169)-MONTH(VLOOKUP(I169,$C$3:$L$6,8,0))))*(VLOOKUP(I169,$C$3:$L$6,10,0)*VLOOKUP(I169,$C$3:$L$6,6,0)/12),0))</f>
        <v/>
      </c>
      <c r="K169" s="29" t="str">
        <f ca="1">IF(C169&lt;&gt;"",IF(I169&lt;&gt;"",IF(ISERROR(VLOOKUP(I169,$C$3:$L$6,10,0)),"",VLOOKUP(I169,$C$3:$L$6,10,0)+J169+IF(OR(VLOOKUP(I169,$C$3:$L$6,5,0)=Variables!$B$5,B169&gt;VLOOKUP(I169,$C$3:$L$6,8,0)),IF(VLOOKUP(I169,$C$3:$L$6,5,0)=Variables!$B$5,((YEAR(B169)-YEAR($B$12))*12+MONTH(B169)-MONTH($B$12)),((YEAR(B169)-YEAR(VLOOKUP(I169,$C$3:$L$6,8,0)))*12+MONTH(B169)-MONTH(VLOOKUP(I169,$C$3:$L$6,8,0))))*VLOOKUP(I169,$C$3:$L$6,7,0),0)),""),"")</f>
        <v/>
      </c>
      <c r="L169" s="29" t="str">
        <f t="shared" ca="1" si="24"/>
        <v/>
      </c>
      <c r="M169" s="10"/>
      <c r="N169" s="10"/>
    </row>
    <row r="170" spans="1:14" x14ac:dyDescent="0.25">
      <c r="A170" s="10"/>
      <c r="B170" s="14" t="str">
        <f t="shared" ca="1" si="25"/>
        <v/>
      </c>
      <c r="C170" s="14" t="str">
        <f ca="1">IF(I169&lt;&gt;Variables!$B$1,IF(H169&lt;&gt;0,C169,I169),"")</f>
        <v/>
      </c>
      <c r="D170" s="29" t="str">
        <f t="shared" ca="1" si="22"/>
        <v/>
      </c>
      <c r="E170" s="29" t="str">
        <f t="shared" ca="1" si="23"/>
        <v/>
      </c>
      <c r="F170" s="29" t="str">
        <f ca="1">IF(C170&lt;&gt;"",IF(OR(VLOOKUP(C170,$C$3:$L$6,5,0)=Variables!$B$5,B170&gt;VLOOKUP(C170,$C$3:$L$6,8,0)),-D170*VLOOKUP(C170,$C$3:$L$6,6,0)/12,0),"")</f>
        <v/>
      </c>
      <c r="G170" s="29" t="str">
        <f ca="1">IF(I170&lt;&gt;Variables!$B$1,IF(C170&lt;&gt;"",$I$9-E170-F170,""),-D170)</f>
        <v/>
      </c>
      <c r="H170" s="29" t="str">
        <f t="shared" ca="1" si="26"/>
        <v/>
      </c>
      <c r="I170" s="31" t="str">
        <f ca="1">IF(C170&lt;&gt;"",IF(D170+$I$9-E170-F170&gt;=0,IF(ISERROR(INDEX($C$3:$C$6,MATCH(C170,$C$3:$C$6,0)+1,0)),Variables!$B$1,INDEX($C$3:$C$6,MATCH(C170,$C$3:$C$6,0)+1,0)),""),"")</f>
        <v/>
      </c>
      <c r="J170" s="29" t="str">
        <f ca="1">IF(ISERROR(VLOOKUP(I170,$C$3:$L$6,5,0)),"",IF(OR(VLOOKUP(I170,$C$3:$L$6,5,0)=Variables!$B$5,B170&gt;VLOOKUP(I170,$C$3:$L$6,8,0)),IF(VLOOKUP(I170,$C$3:$L$6,5,0)=Variables!$B$5,((YEAR(B170)-YEAR($B$12))*12+MONTH(B170)-MONTH($B$12)),((YEAR(B170)-YEAR(VLOOKUP(I170,$C$3:$L$6,8,0)))*12+MONTH(B170)-MONTH(VLOOKUP(I170,$C$3:$L$6,8,0))))*(VLOOKUP(I170,$C$3:$L$6,10,0)*VLOOKUP(I170,$C$3:$L$6,6,0)/12),0))</f>
        <v/>
      </c>
      <c r="K170" s="29" t="str">
        <f ca="1">IF(C170&lt;&gt;"",IF(I170&lt;&gt;"",IF(ISERROR(VLOOKUP(I170,$C$3:$L$6,10,0)),"",VLOOKUP(I170,$C$3:$L$6,10,0)+J170+IF(OR(VLOOKUP(I170,$C$3:$L$6,5,0)=Variables!$B$5,B170&gt;VLOOKUP(I170,$C$3:$L$6,8,0)),IF(VLOOKUP(I170,$C$3:$L$6,5,0)=Variables!$B$5,((YEAR(B170)-YEAR($B$12))*12+MONTH(B170)-MONTH($B$12)),((YEAR(B170)-YEAR(VLOOKUP(I170,$C$3:$L$6,8,0)))*12+MONTH(B170)-MONTH(VLOOKUP(I170,$C$3:$L$6,8,0))))*VLOOKUP(I170,$C$3:$L$6,7,0),0)),""),"")</f>
        <v/>
      </c>
      <c r="L170" s="29" t="str">
        <f t="shared" ca="1" si="24"/>
        <v/>
      </c>
      <c r="M170" s="10"/>
      <c r="N170" s="10"/>
    </row>
    <row r="171" spans="1:14" x14ac:dyDescent="0.25">
      <c r="A171" s="10"/>
      <c r="B171" s="14" t="str">
        <f t="shared" ca="1" si="25"/>
        <v/>
      </c>
      <c r="C171" s="14" t="str">
        <f ca="1">IF(I170&lt;&gt;Variables!$B$1,IF(H170&lt;&gt;0,C170,I170),"")</f>
        <v/>
      </c>
      <c r="D171" s="29" t="str">
        <f t="shared" ca="1" si="22"/>
        <v/>
      </c>
      <c r="E171" s="29" t="str">
        <f t="shared" ca="1" si="23"/>
        <v/>
      </c>
      <c r="F171" s="29" t="str">
        <f ca="1">IF(C171&lt;&gt;"",IF(OR(VLOOKUP(C171,$C$3:$L$6,5,0)=Variables!$B$5,B171&gt;VLOOKUP(C171,$C$3:$L$6,8,0)),-D171*VLOOKUP(C171,$C$3:$L$6,6,0)/12,0),"")</f>
        <v/>
      </c>
      <c r="G171" s="29" t="str">
        <f ca="1">IF(I171&lt;&gt;Variables!$B$1,IF(C171&lt;&gt;"",$I$9-E171-F171,""),-D171)</f>
        <v/>
      </c>
      <c r="H171" s="29" t="str">
        <f t="shared" ca="1" si="26"/>
        <v/>
      </c>
      <c r="I171" s="31" t="str">
        <f ca="1">IF(C171&lt;&gt;"",IF(D171+$I$9-E171-F171&gt;=0,IF(ISERROR(INDEX($C$3:$C$6,MATCH(C171,$C$3:$C$6,0)+1,0)),Variables!$B$1,INDEX($C$3:$C$6,MATCH(C171,$C$3:$C$6,0)+1,0)),""),"")</f>
        <v/>
      </c>
      <c r="J171" s="29" t="str">
        <f ca="1">IF(ISERROR(VLOOKUP(I171,$C$3:$L$6,5,0)),"",IF(OR(VLOOKUP(I171,$C$3:$L$6,5,0)=Variables!$B$5,B171&gt;VLOOKUP(I171,$C$3:$L$6,8,0)),IF(VLOOKUP(I171,$C$3:$L$6,5,0)=Variables!$B$5,((YEAR(B171)-YEAR($B$12))*12+MONTH(B171)-MONTH($B$12)),((YEAR(B171)-YEAR(VLOOKUP(I171,$C$3:$L$6,8,0)))*12+MONTH(B171)-MONTH(VLOOKUP(I171,$C$3:$L$6,8,0))))*(VLOOKUP(I171,$C$3:$L$6,10,0)*VLOOKUP(I171,$C$3:$L$6,6,0)/12),0))</f>
        <v/>
      </c>
      <c r="K171" s="29" t="str">
        <f ca="1">IF(C171&lt;&gt;"",IF(I171&lt;&gt;"",IF(ISERROR(VLOOKUP(I171,$C$3:$L$6,10,0)),"",VLOOKUP(I171,$C$3:$L$6,10,0)+J171+IF(OR(VLOOKUP(I171,$C$3:$L$6,5,0)=Variables!$B$5,B171&gt;VLOOKUP(I171,$C$3:$L$6,8,0)),IF(VLOOKUP(I171,$C$3:$L$6,5,0)=Variables!$B$5,((YEAR(B171)-YEAR($B$12))*12+MONTH(B171)-MONTH($B$12)),((YEAR(B171)-YEAR(VLOOKUP(I171,$C$3:$L$6,8,0)))*12+MONTH(B171)-MONTH(VLOOKUP(I171,$C$3:$L$6,8,0))))*VLOOKUP(I171,$C$3:$L$6,7,0),0)),""),"")</f>
        <v/>
      </c>
      <c r="L171" s="29" t="str">
        <f t="shared" ca="1" si="24"/>
        <v/>
      </c>
      <c r="M171" s="10"/>
      <c r="N171" s="10"/>
    </row>
    <row r="172" spans="1:14" x14ac:dyDescent="0.25">
      <c r="A172" s="10"/>
      <c r="B172" s="14" t="str">
        <f t="shared" ca="1" si="25"/>
        <v/>
      </c>
      <c r="C172" s="14" t="str">
        <f ca="1">IF(I171&lt;&gt;Variables!$B$1,IF(H171&lt;&gt;0,C171,I171),"")</f>
        <v/>
      </c>
      <c r="D172" s="29" t="str">
        <f t="shared" ca="1" si="22"/>
        <v/>
      </c>
      <c r="E172" s="29" t="str">
        <f t="shared" ca="1" si="23"/>
        <v/>
      </c>
      <c r="F172" s="29" t="str">
        <f ca="1">IF(C172&lt;&gt;"",IF(OR(VLOOKUP(C172,$C$3:$L$6,5,0)=Variables!$B$5,B172&gt;VLOOKUP(C172,$C$3:$L$6,8,0)),-D172*VLOOKUP(C172,$C$3:$L$6,6,0)/12,0),"")</f>
        <v/>
      </c>
      <c r="G172" s="29" t="str">
        <f ca="1">IF(I172&lt;&gt;Variables!$B$1,IF(C172&lt;&gt;"",$I$9-E172-F172,""),-D172)</f>
        <v/>
      </c>
      <c r="H172" s="29" t="str">
        <f t="shared" ca="1" si="26"/>
        <v/>
      </c>
      <c r="I172" s="31" t="str">
        <f ca="1">IF(C172&lt;&gt;"",IF(D172+$I$9-E172-F172&gt;=0,IF(ISERROR(INDEX($C$3:$C$6,MATCH(C172,$C$3:$C$6,0)+1,0)),Variables!$B$1,INDEX($C$3:$C$6,MATCH(C172,$C$3:$C$6,0)+1,0)),""),"")</f>
        <v/>
      </c>
      <c r="J172" s="29" t="str">
        <f ca="1">IF(ISERROR(VLOOKUP(I172,$C$3:$L$6,5,0)),"",IF(OR(VLOOKUP(I172,$C$3:$L$6,5,0)=Variables!$B$5,B172&gt;VLOOKUP(I172,$C$3:$L$6,8,0)),IF(VLOOKUP(I172,$C$3:$L$6,5,0)=Variables!$B$5,((YEAR(B172)-YEAR($B$12))*12+MONTH(B172)-MONTH($B$12)),((YEAR(B172)-YEAR(VLOOKUP(I172,$C$3:$L$6,8,0)))*12+MONTH(B172)-MONTH(VLOOKUP(I172,$C$3:$L$6,8,0))))*(VLOOKUP(I172,$C$3:$L$6,10,0)*VLOOKUP(I172,$C$3:$L$6,6,0)/12),0))</f>
        <v/>
      </c>
      <c r="K172" s="29" t="str">
        <f ca="1">IF(C172&lt;&gt;"",IF(I172&lt;&gt;"",IF(ISERROR(VLOOKUP(I172,$C$3:$L$6,10,0)),"",VLOOKUP(I172,$C$3:$L$6,10,0)+J172+IF(OR(VLOOKUP(I172,$C$3:$L$6,5,0)=Variables!$B$5,B172&gt;VLOOKUP(I172,$C$3:$L$6,8,0)),IF(VLOOKUP(I172,$C$3:$L$6,5,0)=Variables!$B$5,((YEAR(B172)-YEAR($B$12))*12+MONTH(B172)-MONTH($B$12)),((YEAR(B172)-YEAR(VLOOKUP(I172,$C$3:$L$6,8,0)))*12+MONTH(B172)-MONTH(VLOOKUP(I172,$C$3:$L$6,8,0))))*VLOOKUP(I172,$C$3:$L$6,7,0),0)),""),"")</f>
        <v/>
      </c>
      <c r="L172" s="29" t="str">
        <f t="shared" ca="1" si="24"/>
        <v/>
      </c>
      <c r="M172" s="10"/>
      <c r="N172" s="10"/>
    </row>
    <row r="173" spans="1:14" x14ac:dyDescent="0.25">
      <c r="A173" s="10"/>
      <c r="B173" s="14" t="str">
        <f t="shared" ca="1" si="25"/>
        <v/>
      </c>
      <c r="C173" s="14" t="str">
        <f ca="1">IF(I172&lt;&gt;Variables!$B$1,IF(H172&lt;&gt;0,C172,I172),"")</f>
        <v/>
      </c>
      <c r="D173" s="29" t="str">
        <f t="shared" ca="1" si="22"/>
        <v/>
      </c>
      <c r="E173" s="29" t="str">
        <f t="shared" ca="1" si="23"/>
        <v/>
      </c>
      <c r="F173" s="29" t="str">
        <f ca="1">IF(C173&lt;&gt;"",IF(OR(VLOOKUP(C173,$C$3:$L$6,5,0)=Variables!$B$5,B173&gt;VLOOKUP(C173,$C$3:$L$6,8,0)),-D173*VLOOKUP(C173,$C$3:$L$6,6,0)/12,0),"")</f>
        <v/>
      </c>
      <c r="G173" s="29" t="str">
        <f ca="1">IF(I173&lt;&gt;Variables!$B$1,IF(C173&lt;&gt;"",$I$9-E173-F173,""),-D173)</f>
        <v/>
      </c>
      <c r="H173" s="29" t="str">
        <f t="shared" ca="1" si="26"/>
        <v/>
      </c>
      <c r="I173" s="31" t="str">
        <f ca="1">IF(C173&lt;&gt;"",IF(D173+$I$9-E173-F173&gt;=0,IF(ISERROR(INDEX($C$3:$C$6,MATCH(C173,$C$3:$C$6,0)+1,0)),Variables!$B$1,INDEX($C$3:$C$6,MATCH(C173,$C$3:$C$6,0)+1,0)),""),"")</f>
        <v/>
      </c>
      <c r="J173" s="29" t="str">
        <f ca="1">IF(ISERROR(VLOOKUP(I173,$C$3:$L$6,5,0)),"",IF(OR(VLOOKUP(I173,$C$3:$L$6,5,0)=Variables!$B$5,B173&gt;VLOOKUP(I173,$C$3:$L$6,8,0)),IF(VLOOKUP(I173,$C$3:$L$6,5,0)=Variables!$B$5,((YEAR(B173)-YEAR($B$12))*12+MONTH(B173)-MONTH($B$12)),((YEAR(B173)-YEAR(VLOOKUP(I173,$C$3:$L$6,8,0)))*12+MONTH(B173)-MONTH(VLOOKUP(I173,$C$3:$L$6,8,0))))*(VLOOKUP(I173,$C$3:$L$6,10,0)*VLOOKUP(I173,$C$3:$L$6,6,0)/12),0))</f>
        <v/>
      </c>
      <c r="K173" s="29" t="str">
        <f ca="1">IF(C173&lt;&gt;"",IF(I173&lt;&gt;"",IF(ISERROR(VLOOKUP(I173,$C$3:$L$6,10,0)),"",VLOOKUP(I173,$C$3:$L$6,10,0)+J173+IF(OR(VLOOKUP(I173,$C$3:$L$6,5,0)=Variables!$B$5,B173&gt;VLOOKUP(I173,$C$3:$L$6,8,0)),IF(VLOOKUP(I173,$C$3:$L$6,5,0)=Variables!$B$5,((YEAR(B173)-YEAR($B$12))*12+MONTH(B173)-MONTH($B$12)),((YEAR(B173)-YEAR(VLOOKUP(I173,$C$3:$L$6,8,0)))*12+MONTH(B173)-MONTH(VLOOKUP(I173,$C$3:$L$6,8,0))))*VLOOKUP(I173,$C$3:$L$6,7,0),0)),""),"")</f>
        <v/>
      </c>
      <c r="L173" s="29" t="str">
        <f t="shared" ca="1" si="24"/>
        <v/>
      </c>
      <c r="M173" s="10"/>
      <c r="N173" s="10"/>
    </row>
    <row r="174" spans="1:14" x14ac:dyDescent="0.25">
      <c r="A174" s="10"/>
      <c r="B174" s="14" t="str">
        <f t="shared" ca="1" si="25"/>
        <v/>
      </c>
      <c r="C174" s="14" t="str">
        <f ca="1">IF(I173&lt;&gt;Variables!$B$1,IF(H173&lt;&gt;0,C173,I173),"")</f>
        <v/>
      </c>
      <c r="D174" s="29" t="str">
        <f t="shared" ca="1" si="22"/>
        <v/>
      </c>
      <c r="E174" s="29" t="str">
        <f t="shared" ca="1" si="23"/>
        <v/>
      </c>
      <c r="F174" s="29" t="str">
        <f ca="1">IF(C174&lt;&gt;"",IF(OR(VLOOKUP(C174,$C$3:$L$6,5,0)=Variables!$B$5,B174&gt;VLOOKUP(C174,$C$3:$L$6,8,0)),-D174*VLOOKUP(C174,$C$3:$L$6,6,0)/12,0),"")</f>
        <v/>
      </c>
      <c r="G174" s="29" t="str">
        <f ca="1">IF(I174&lt;&gt;Variables!$B$1,IF(C174&lt;&gt;"",$I$9-E174-F174,""),-D174)</f>
        <v/>
      </c>
      <c r="H174" s="29" t="str">
        <f t="shared" ca="1" si="26"/>
        <v/>
      </c>
      <c r="I174" s="31" t="str">
        <f ca="1">IF(C174&lt;&gt;"",IF(D174+$I$9-E174-F174&gt;=0,IF(ISERROR(INDEX($C$3:$C$6,MATCH(C174,$C$3:$C$6,0)+1,0)),Variables!$B$1,INDEX($C$3:$C$6,MATCH(C174,$C$3:$C$6,0)+1,0)),""),"")</f>
        <v/>
      </c>
      <c r="J174" s="29" t="str">
        <f ca="1">IF(ISERROR(VLOOKUP(I174,$C$3:$L$6,5,0)),"",IF(OR(VLOOKUP(I174,$C$3:$L$6,5,0)=Variables!$B$5,B174&gt;VLOOKUP(I174,$C$3:$L$6,8,0)),IF(VLOOKUP(I174,$C$3:$L$6,5,0)=Variables!$B$5,((YEAR(B174)-YEAR($B$12))*12+MONTH(B174)-MONTH($B$12)),((YEAR(B174)-YEAR(VLOOKUP(I174,$C$3:$L$6,8,0)))*12+MONTH(B174)-MONTH(VLOOKUP(I174,$C$3:$L$6,8,0))))*(VLOOKUP(I174,$C$3:$L$6,10,0)*VLOOKUP(I174,$C$3:$L$6,6,0)/12),0))</f>
        <v/>
      </c>
      <c r="K174" s="29" t="str">
        <f ca="1">IF(C174&lt;&gt;"",IF(I174&lt;&gt;"",IF(ISERROR(VLOOKUP(I174,$C$3:$L$6,10,0)),"",VLOOKUP(I174,$C$3:$L$6,10,0)+J174+IF(OR(VLOOKUP(I174,$C$3:$L$6,5,0)=Variables!$B$5,B174&gt;VLOOKUP(I174,$C$3:$L$6,8,0)),IF(VLOOKUP(I174,$C$3:$L$6,5,0)=Variables!$B$5,((YEAR(B174)-YEAR($B$12))*12+MONTH(B174)-MONTH($B$12)),((YEAR(B174)-YEAR(VLOOKUP(I174,$C$3:$L$6,8,0)))*12+MONTH(B174)-MONTH(VLOOKUP(I174,$C$3:$L$6,8,0))))*VLOOKUP(I174,$C$3:$L$6,7,0),0)),""),"")</f>
        <v/>
      </c>
      <c r="L174" s="29" t="str">
        <f t="shared" ca="1" si="24"/>
        <v/>
      </c>
      <c r="M174" s="10"/>
      <c r="N174" s="10"/>
    </row>
    <row r="175" spans="1:14" x14ac:dyDescent="0.25">
      <c r="A175" s="10"/>
      <c r="B175" s="14" t="str">
        <f t="shared" ca="1" si="25"/>
        <v/>
      </c>
      <c r="C175" s="14" t="str">
        <f ca="1">IF(I174&lt;&gt;Variables!$B$1,IF(H174&lt;&gt;0,C174,I174),"")</f>
        <v/>
      </c>
      <c r="D175" s="29" t="str">
        <f t="shared" ca="1" si="22"/>
        <v/>
      </c>
      <c r="E175" s="29" t="str">
        <f t="shared" ca="1" si="23"/>
        <v/>
      </c>
      <c r="F175" s="29" t="str">
        <f ca="1">IF(C175&lt;&gt;"",IF(OR(VLOOKUP(C175,$C$3:$L$6,5,0)=Variables!$B$5,B175&gt;VLOOKUP(C175,$C$3:$L$6,8,0)),-D175*VLOOKUP(C175,$C$3:$L$6,6,0)/12,0),"")</f>
        <v/>
      </c>
      <c r="G175" s="29" t="str">
        <f ca="1">IF(I175&lt;&gt;Variables!$B$1,IF(C175&lt;&gt;"",$I$9-E175-F175,""),-D175)</f>
        <v/>
      </c>
      <c r="H175" s="29" t="str">
        <f t="shared" ca="1" si="26"/>
        <v/>
      </c>
      <c r="I175" s="31" t="str">
        <f ca="1">IF(C175&lt;&gt;"",IF(D175+$I$9-E175-F175&gt;=0,IF(ISERROR(INDEX($C$3:$C$6,MATCH(C175,$C$3:$C$6,0)+1,0)),Variables!$B$1,INDEX($C$3:$C$6,MATCH(C175,$C$3:$C$6,0)+1,0)),""),"")</f>
        <v/>
      </c>
      <c r="J175" s="29" t="str">
        <f ca="1">IF(ISERROR(VLOOKUP(I175,$C$3:$L$6,5,0)),"",IF(OR(VLOOKUP(I175,$C$3:$L$6,5,0)=Variables!$B$5,B175&gt;VLOOKUP(I175,$C$3:$L$6,8,0)),IF(VLOOKUP(I175,$C$3:$L$6,5,0)=Variables!$B$5,((YEAR(B175)-YEAR($B$12))*12+MONTH(B175)-MONTH($B$12)),((YEAR(B175)-YEAR(VLOOKUP(I175,$C$3:$L$6,8,0)))*12+MONTH(B175)-MONTH(VLOOKUP(I175,$C$3:$L$6,8,0))))*(VLOOKUP(I175,$C$3:$L$6,10,0)*VLOOKUP(I175,$C$3:$L$6,6,0)/12),0))</f>
        <v/>
      </c>
      <c r="K175" s="29" t="str">
        <f ca="1">IF(C175&lt;&gt;"",IF(I175&lt;&gt;"",IF(ISERROR(VLOOKUP(I175,$C$3:$L$6,10,0)),"",VLOOKUP(I175,$C$3:$L$6,10,0)+J175+IF(OR(VLOOKUP(I175,$C$3:$L$6,5,0)=Variables!$B$5,B175&gt;VLOOKUP(I175,$C$3:$L$6,8,0)),IF(VLOOKUP(I175,$C$3:$L$6,5,0)=Variables!$B$5,((YEAR(B175)-YEAR($B$12))*12+MONTH(B175)-MONTH($B$12)),((YEAR(B175)-YEAR(VLOOKUP(I175,$C$3:$L$6,8,0)))*12+MONTH(B175)-MONTH(VLOOKUP(I175,$C$3:$L$6,8,0))))*VLOOKUP(I175,$C$3:$L$6,7,0),0)),""),"")</f>
        <v/>
      </c>
      <c r="L175" s="29" t="str">
        <f t="shared" ca="1" si="24"/>
        <v/>
      </c>
      <c r="M175" s="10"/>
      <c r="N175" s="10"/>
    </row>
    <row r="176" spans="1:14" x14ac:dyDescent="0.25">
      <c r="A176" s="10"/>
      <c r="B176" s="14" t="str">
        <f t="shared" ca="1" si="25"/>
        <v/>
      </c>
      <c r="C176" s="14" t="str">
        <f ca="1">IF(I175&lt;&gt;Variables!$B$1,IF(H175&lt;&gt;0,C175,I175),"")</f>
        <v/>
      </c>
      <c r="D176" s="29" t="str">
        <f t="shared" ca="1" si="22"/>
        <v/>
      </c>
      <c r="E176" s="29" t="str">
        <f t="shared" ca="1" si="23"/>
        <v/>
      </c>
      <c r="F176" s="29" t="str">
        <f ca="1">IF(C176&lt;&gt;"",IF(OR(VLOOKUP(C176,$C$3:$L$6,5,0)=Variables!$B$5,B176&gt;VLOOKUP(C176,$C$3:$L$6,8,0)),-D176*VLOOKUP(C176,$C$3:$L$6,6,0)/12,0),"")</f>
        <v/>
      </c>
      <c r="G176" s="29" t="str">
        <f ca="1">IF(I176&lt;&gt;Variables!$B$1,IF(C176&lt;&gt;"",$I$9-E176-F176,""),-D176)</f>
        <v/>
      </c>
      <c r="H176" s="29" t="str">
        <f t="shared" ca="1" si="26"/>
        <v/>
      </c>
      <c r="I176" s="31" t="str">
        <f ca="1">IF(C176&lt;&gt;"",IF(D176+$I$9-E176-F176&gt;=0,IF(ISERROR(INDEX($C$3:$C$6,MATCH(C176,$C$3:$C$6,0)+1,0)),Variables!$B$1,INDEX($C$3:$C$6,MATCH(C176,$C$3:$C$6,0)+1,0)),""),"")</f>
        <v/>
      </c>
      <c r="J176" s="29" t="str">
        <f ca="1">IF(ISERROR(VLOOKUP(I176,$C$3:$L$6,5,0)),"",IF(OR(VLOOKUP(I176,$C$3:$L$6,5,0)=Variables!$B$5,B176&gt;VLOOKUP(I176,$C$3:$L$6,8,0)),IF(VLOOKUP(I176,$C$3:$L$6,5,0)=Variables!$B$5,((YEAR(B176)-YEAR($B$12))*12+MONTH(B176)-MONTH($B$12)),((YEAR(B176)-YEAR(VLOOKUP(I176,$C$3:$L$6,8,0)))*12+MONTH(B176)-MONTH(VLOOKUP(I176,$C$3:$L$6,8,0))))*(VLOOKUP(I176,$C$3:$L$6,10,0)*VLOOKUP(I176,$C$3:$L$6,6,0)/12),0))</f>
        <v/>
      </c>
      <c r="K176" s="29" t="str">
        <f ca="1">IF(C176&lt;&gt;"",IF(I176&lt;&gt;"",IF(ISERROR(VLOOKUP(I176,$C$3:$L$6,10,0)),"",VLOOKUP(I176,$C$3:$L$6,10,0)+J176+IF(OR(VLOOKUP(I176,$C$3:$L$6,5,0)=Variables!$B$5,B176&gt;VLOOKUP(I176,$C$3:$L$6,8,0)),IF(VLOOKUP(I176,$C$3:$L$6,5,0)=Variables!$B$5,((YEAR(B176)-YEAR($B$12))*12+MONTH(B176)-MONTH($B$12)),((YEAR(B176)-YEAR(VLOOKUP(I176,$C$3:$L$6,8,0)))*12+MONTH(B176)-MONTH(VLOOKUP(I176,$C$3:$L$6,8,0))))*VLOOKUP(I176,$C$3:$L$6,7,0),0)),""),"")</f>
        <v/>
      </c>
      <c r="L176" s="29" t="str">
        <f t="shared" ca="1" si="24"/>
        <v/>
      </c>
      <c r="M176" s="10"/>
      <c r="N176" s="10"/>
    </row>
    <row r="177" spans="1:14" x14ac:dyDescent="0.25">
      <c r="A177" s="10"/>
      <c r="B177" s="14" t="str">
        <f t="shared" ca="1" si="25"/>
        <v/>
      </c>
      <c r="C177" s="14" t="str">
        <f ca="1">IF(I176&lt;&gt;Variables!$B$1,IF(H176&lt;&gt;0,C176,I176),"")</f>
        <v/>
      </c>
      <c r="D177" s="29" t="str">
        <f t="shared" ca="1" si="22"/>
        <v/>
      </c>
      <c r="E177" s="29" t="str">
        <f t="shared" ca="1" si="23"/>
        <v/>
      </c>
      <c r="F177" s="29" t="str">
        <f ca="1">IF(C177&lt;&gt;"",IF(OR(VLOOKUP(C177,$C$3:$L$6,5,0)=Variables!$B$5,B177&gt;VLOOKUP(C177,$C$3:$L$6,8,0)),-D177*VLOOKUP(C177,$C$3:$L$6,6,0)/12,0),"")</f>
        <v/>
      </c>
      <c r="G177" s="29" t="str">
        <f ca="1">IF(I177&lt;&gt;Variables!$B$1,IF(C177&lt;&gt;"",$I$9-E177-F177,""),-D177)</f>
        <v/>
      </c>
      <c r="H177" s="29" t="str">
        <f t="shared" ca="1" si="26"/>
        <v/>
      </c>
      <c r="I177" s="31" t="str">
        <f ca="1">IF(C177&lt;&gt;"",IF(D177+$I$9-E177-F177&gt;=0,IF(ISERROR(INDEX($C$3:$C$6,MATCH(C177,$C$3:$C$6,0)+1,0)),Variables!$B$1,INDEX($C$3:$C$6,MATCH(C177,$C$3:$C$6,0)+1,0)),""),"")</f>
        <v/>
      </c>
      <c r="J177" s="29" t="str">
        <f ca="1">IF(ISERROR(VLOOKUP(I177,$C$3:$L$6,5,0)),"",IF(OR(VLOOKUP(I177,$C$3:$L$6,5,0)=Variables!$B$5,B177&gt;VLOOKUP(I177,$C$3:$L$6,8,0)),IF(VLOOKUP(I177,$C$3:$L$6,5,0)=Variables!$B$5,((YEAR(B177)-YEAR($B$12))*12+MONTH(B177)-MONTH($B$12)),((YEAR(B177)-YEAR(VLOOKUP(I177,$C$3:$L$6,8,0)))*12+MONTH(B177)-MONTH(VLOOKUP(I177,$C$3:$L$6,8,0))))*(VLOOKUP(I177,$C$3:$L$6,10,0)*VLOOKUP(I177,$C$3:$L$6,6,0)/12),0))</f>
        <v/>
      </c>
      <c r="K177" s="29" t="str">
        <f ca="1">IF(C177&lt;&gt;"",IF(I177&lt;&gt;"",IF(ISERROR(VLOOKUP(I177,$C$3:$L$6,10,0)),"",VLOOKUP(I177,$C$3:$L$6,10,0)+J177+IF(OR(VLOOKUP(I177,$C$3:$L$6,5,0)=Variables!$B$5,B177&gt;VLOOKUP(I177,$C$3:$L$6,8,0)),IF(VLOOKUP(I177,$C$3:$L$6,5,0)=Variables!$B$5,((YEAR(B177)-YEAR($B$12))*12+MONTH(B177)-MONTH($B$12)),((YEAR(B177)-YEAR(VLOOKUP(I177,$C$3:$L$6,8,0)))*12+MONTH(B177)-MONTH(VLOOKUP(I177,$C$3:$L$6,8,0))))*VLOOKUP(I177,$C$3:$L$6,7,0),0)),""),"")</f>
        <v/>
      </c>
      <c r="L177" s="29" t="str">
        <f t="shared" ca="1" si="24"/>
        <v/>
      </c>
      <c r="M177" s="10"/>
      <c r="N177" s="10"/>
    </row>
    <row r="178" spans="1:14" x14ac:dyDescent="0.25">
      <c r="A178" s="10"/>
      <c r="B178" s="14" t="str">
        <f t="shared" ca="1" si="25"/>
        <v/>
      </c>
      <c r="C178" s="14" t="str">
        <f ca="1">IF(I177&lt;&gt;Variables!$B$1,IF(H177&lt;&gt;0,C177,I177),"")</f>
        <v/>
      </c>
      <c r="D178" s="29" t="str">
        <f t="shared" ca="1" si="22"/>
        <v/>
      </c>
      <c r="E178" s="29" t="str">
        <f t="shared" ca="1" si="23"/>
        <v/>
      </c>
      <c r="F178" s="29" t="str">
        <f ca="1">IF(C178&lt;&gt;"",IF(OR(VLOOKUP(C178,$C$3:$L$6,5,0)=Variables!$B$5,B178&gt;VLOOKUP(C178,$C$3:$L$6,8,0)),-D178*VLOOKUP(C178,$C$3:$L$6,6,0)/12,0),"")</f>
        <v/>
      </c>
      <c r="G178" s="29" t="str">
        <f ca="1">IF(I178&lt;&gt;Variables!$B$1,IF(C178&lt;&gt;"",$I$9-E178-F178,""),-D178)</f>
        <v/>
      </c>
      <c r="H178" s="29" t="str">
        <f t="shared" ca="1" si="26"/>
        <v/>
      </c>
      <c r="I178" s="31" t="str">
        <f ca="1">IF(C178&lt;&gt;"",IF(D178+$I$9-E178-F178&gt;=0,IF(ISERROR(INDEX($C$3:$C$6,MATCH(C178,$C$3:$C$6,0)+1,0)),Variables!$B$1,INDEX($C$3:$C$6,MATCH(C178,$C$3:$C$6,0)+1,0)),""),"")</f>
        <v/>
      </c>
      <c r="J178" s="29" t="str">
        <f ca="1">IF(ISERROR(VLOOKUP(I178,$C$3:$L$6,5,0)),"",IF(OR(VLOOKUP(I178,$C$3:$L$6,5,0)=Variables!$B$5,B178&gt;VLOOKUP(I178,$C$3:$L$6,8,0)),IF(VLOOKUP(I178,$C$3:$L$6,5,0)=Variables!$B$5,((YEAR(B178)-YEAR($B$12))*12+MONTH(B178)-MONTH($B$12)),((YEAR(B178)-YEAR(VLOOKUP(I178,$C$3:$L$6,8,0)))*12+MONTH(B178)-MONTH(VLOOKUP(I178,$C$3:$L$6,8,0))))*(VLOOKUP(I178,$C$3:$L$6,10,0)*VLOOKUP(I178,$C$3:$L$6,6,0)/12),0))</f>
        <v/>
      </c>
      <c r="K178" s="29" t="str">
        <f ca="1">IF(C178&lt;&gt;"",IF(I178&lt;&gt;"",IF(ISERROR(VLOOKUP(I178,$C$3:$L$6,10,0)),"",VLOOKUP(I178,$C$3:$L$6,10,0)+J178+IF(OR(VLOOKUP(I178,$C$3:$L$6,5,0)=Variables!$B$5,B178&gt;VLOOKUP(I178,$C$3:$L$6,8,0)),IF(VLOOKUP(I178,$C$3:$L$6,5,0)=Variables!$B$5,((YEAR(B178)-YEAR($B$12))*12+MONTH(B178)-MONTH($B$12)),((YEAR(B178)-YEAR(VLOOKUP(I178,$C$3:$L$6,8,0)))*12+MONTH(B178)-MONTH(VLOOKUP(I178,$C$3:$L$6,8,0))))*VLOOKUP(I178,$C$3:$L$6,7,0),0)),""),"")</f>
        <v/>
      </c>
      <c r="L178" s="29" t="str">
        <f t="shared" ca="1" si="24"/>
        <v/>
      </c>
      <c r="M178" s="10"/>
      <c r="N178" s="10"/>
    </row>
    <row r="179" spans="1:14" x14ac:dyDescent="0.25">
      <c r="A179" s="10"/>
      <c r="B179" s="14" t="str">
        <f t="shared" ca="1" si="25"/>
        <v/>
      </c>
      <c r="C179" s="14" t="str">
        <f ca="1">IF(I178&lt;&gt;Variables!$B$1,IF(H178&lt;&gt;0,C178,I178),"")</f>
        <v/>
      </c>
      <c r="D179" s="29" t="str">
        <f t="shared" ca="1" si="22"/>
        <v/>
      </c>
      <c r="E179" s="29" t="str">
        <f t="shared" ca="1" si="23"/>
        <v/>
      </c>
      <c r="F179" s="29" t="str">
        <f ca="1">IF(C179&lt;&gt;"",IF(OR(VLOOKUP(C179,$C$3:$L$6,5,0)=Variables!$B$5,B179&gt;VLOOKUP(C179,$C$3:$L$6,8,0)),-D179*VLOOKUP(C179,$C$3:$L$6,6,0)/12,0),"")</f>
        <v/>
      </c>
      <c r="G179" s="29" t="str">
        <f ca="1">IF(I179&lt;&gt;Variables!$B$1,IF(C179&lt;&gt;"",$I$9-E179-F179,""),-D179)</f>
        <v/>
      </c>
      <c r="H179" s="29" t="str">
        <f t="shared" ca="1" si="26"/>
        <v/>
      </c>
      <c r="I179" s="31" t="str">
        <f ca="1">IF(C179&lt;&gt;"",IF(D179+$I$9-E179-F179&gt;=0,IF(ISERROR(INDEX($C$3:$C$6,MATCH(C179,$C$3:$C$6,0)+1,0)),Variables!$B$1,INDEX($C$3:$C$6,MATCH(C179,$C$3:$C$6,0)+1,0)),""),"")</f>
        <v/>
      </c>
      <c r="J179" s="29" t="str">
        <f ca="1">IF(ISERROR(VLOOKUP(I179,$C$3:$L$6,5,0)),"",IF(OR(VLOOKUP(I179,$C$3:$L$6,5,0)=Variables!$B$5,B179&gt;VLOOKUP(I179,$C$3:$L$6,8,0)),IF(VLOOKUP(I179,$C$3:$L$6,5,0)=Variables!$B$5,((YEAR(B179)-YEAR($B$12))*12+MONTH(B179)-MONTH($B$12)),((YEAR(B179)-YEAR(VLOOKUP(I179,$C$3:$L$6,8,0)))*12+MONTH(B179)-MONTH(VLOOKUP(I179,$C$3:$L$6,8,0))))*(VLOOKUP(I179,$C$3:$L$6,10,0)*VLOOKUP(I179,$C$3:$L$6,6,0)/12),0))</f>
        <v/>
      </c>
      <c r="K179" s="29" t="str">
        <f ca="1">IF(C179&lt;&gt;"",IF(I179&lt;&gt;"",IF(ISERROR(VLOOKUP(I179,$C$3:$L$6,10,0)),"",VLOOKUP(I179,$C$3:$L$6,10,0)+J179+IF(OR(VLOOKUP(I179,$C$3:$L$6,5,0)=Variables!$B$5,B179&gt;VLOOKUP(I179,$C$3:$L$6,8,0)),IF(VLOOKUP(I179,$C$3:$L$6,5,0)=Variables!$B$5,((YEAR(B179)-YEAR($B$12))*12+MONTH(B179)-MONTH($B$12)),((YEAR(B179)-YEAR(VLOOKUP(I179,$C$3:$L$6,8,0)))*12+MONTH(B179)-MONTH(VLOOKUP(I179,$C$3:$L$6,8,0))))*VLOOKUP(I179,$C$3:$L$6,7,0),0)),""),"")</f>
        <v/>
      </c>
      <c r="L179" s="29" t="str">
        <f t="shared" ca="1" si="24"/>
        <v/>
      </c>
      <c r="M179" s="10"/>
      <c r="N179" s="10"/>
    </row>
    <row r="180" spans="1:14" x14ac:dyDescent="0.25">
      <c r="A180" s="10"/>
      <c r="B180" s="14" t="str">
        <f t="shared" ca="1" si="25"/>
        <v/>
      </c>
      <c r="C180" s="14" t="str">
        <f ca="1">IF(I179&lt;&gt;Variables!$B$1,IF(H179&lt;&gt;0,C179,I179),"")</f>
        <v/>
      </c>
      <c r="D180" s="29" t="str">
        <f t="shared" ca="1" si="22"/>
        <v/>
      </c>
      <c r="E180" s="29" t="str">
        <f t="shared" ca="1" si="23"/>
        <v/>
      </c>
      <c r="F180" s="29" t="str">
        <f ca="1">IF(C180&lt;&gt;"",IF(OR(VLOOKUP(C180,$C$3:$L$6,5,0)=Variables!$B$5,B180&gt;VLOOKUP(C180,$C$3:$L$6,8,0)),-D180*VLOOKUP(C180,$C$3:$L$6,6,0)/12,0),"")</f>
        <v/>
      </c>
      <c r="G180" s="29" t="str">
        <f ca="1">IF(I180&lt;&gt;Variables!$B$1,IF(C180&lt;&gt;"",$I$9-E180-F180,""),-D180)</f>
        <v/>
      </c>
      <c r="H180" s="29" t="str">
        <f t="shared" ca="1" si="26"/>
        <v/>
      </c>
      <c r="I180" s="31" t="str">
        <f ca="1">IF(C180&lt;&gt;"",IF(D180+$I$9-E180-F180&gt;=0,IF(ISERROR(INDEX($C$3:$C$6,MATCH(C180,$C$3:$C$6,0)+1,0)),Variables!$B$1,INDEX($C$3:$C$6,MATCH(C180,$C$3:$C$6,0)+1,0)),""),"")</f>
        <v/>
      </c>
      <c r="J180" s="29" t="str">
        <f ca="1">IF(ISERROR(VLOOKUP(I180,$C$3:$L$6,5,0)),"",IF(OR(VLOOKUP(I180,$C$3:$L$6,5,0)=Variables!$B$5,B180&gt;VLOOKUP(I180,$C$3:$L$6,8,0)),IF(VLOOKUP(I180,$C$3:$L$6,5,0)=Variables!$B$5,((YEAR(B180)-YEAR($B$12))*12+MONTH(B180)-MONTH($B$12)),((YEAR(B180)-YEAR(VLOOKUP(I180,$C$3:$L$6,8,0)))*12+MONTH(B180)-MONTH(VLOOKUP(I180,$C$3:$L$6,8,0))))*(VLOOKUP(I180,$C$3:$L$6,10,0)*VLOOKUP(I180,$C$3:$L$6,6,0)/12),0))</f>
        <v/>
      </c>
      <c r="K180" s="29" t="str">
        <f ca="1">IF(C180&lt;&gt;"",IF(I180&lt;&gt;"",IF(ISERROR(VLOOKUP(I180,$C$3:$L$6,10,0)),"",VLOOKUP(I180,$C$3:$L$6,10,0)+J180+IF(OR(VLOOKUP(I180,$C$3:$L$6,5,0)=Variables!$B$5,B180&gt;VLOOKUP(I180,$C$3:$L$6,8,0)),IF(VLOOKUP(I180,$C$3:$L$6,5,0)=Variables!$B$5,((YEAR(B180)-YEAR($B$12))*12+MONTH(B180)-MONTH($B$12)),((YEAR(B180)-YEAR(VLOOKUP(I180,$C$3:$L$6,8,0)))*12+MONTH(B180)-MONTH(VLOOKUP(I180,$C$3:$L$6,8,0))))*VLOOKUP(I180,$C$3:$L$6,7,0),0)),""),"")</f>
        <v/>
      </c>
      <c r="L180" s="29" t="str">
        <f t="shared" ca="1" si="24"/>
        <v/>
      </c>
      <c r="M180" s="10"/>
      <c r="N180" s="10"/>
    </row>
    <row r="181" spans="1:14" x14ac:dyDescent="0.25">
      <c r="A181" s="10"/>
      <c r="B181" s="14" t="str">
        <f t="shared" ca="1" si="25"/>
        <v/>
      </c>
      <c r="C181" s="14" t="str">
        <f ca="1">IF(I180&lt;&gt;Variables!$B$1,IF(H180&lt;&gt;0,C180,I180),"")</f>
        <v/>
      </c>
      <c r="D181" s="29" t="str">
        <f t="shared" ca="1" si="22"/>
        <v/>
      </c>
      <c r="E181" s="29" t="str">
        <f t="shared" ca="1" si="23"/>
        <v/>
      </c>
      <c r="F181" s="29" t="str">
        <f ca="1">IF(C181&lt;&gt;"",IF(OR(VLOOKUP(C181,$C$3:$L$6,5,0)=Variables!$B$5,B181&gt;VLOOKUP(C181,$C$3:$L$6,8,0)),-D181*VLOOKUP(C181,$C$3:$L$6,6,0)/12,0),"")</f>
        <v/>
      </c>
      <c r="G181" s="29" t="str">
        <f ca="1">IF(I181&lt;&gt;Variables!$B$1,IF(C181&lt;&gt;"",$I$9-E181-F181,""),-D181)</f>
        <v/>
      </c>
      <c r="H181" s="29" t="str">
        <f t="shared" ca="1" si="26"/>
        <v/>
      </c>
      <c r="I181" s="31" t="str">
        <f ca="1">IF(C181&lt;&gt;"",IF(D181+$I$9-E181-F181&gt;=0,IF(ISERROR(INDEX($C$3:$C$6,MATCH(C181,$C$3:$C$6,0)+1,0)),Variables!$B$1,INDEX($C$3:$C$6,MATCH(C181,$C$3:$C$6,0)+1,0)),""),"")</f>
        <v/>
      </c>
      <c r="J181" s="29" t="str">
        <f ca="1">IF(ISERROR(VLOOKUP(I181,$C$3:$L$6,5,0)),"",IF(OR(VLOOKUP(I181,$C$3:$L$6,5,0)=Variables!$B$5,B181&gt;VLOOKUP(I181,$C$3:$L$6,8,0)),IF(VLOOKUP(I181,$C$3:$L$6,5,0)=Variables!$B$5,((YEAR(B181)-YEAR($B$12))*12+MONTH(B181)-MONTH($B$12)),((YEAR(B181)-YEAR(VLOOKUP(I181,$C$3:$L$6,8,0)))*12+MONTH(B181)-MONTH(VLOOKUP(I181,$C$3:$L$6,8,0))))*(VLOOKUP(I181,$C$3:$L$6,10,0)*VLOOKUP(I181,$C$3:$L$6,6,0)/12),0))</f>
        <v/>
      </c>
      <c r="K181" s="29" t="str">
        <f ca="1">IF(C181&lt;&gt;"",IF(I181&lt;&gt;"",IF(ISERROR(VLOOKUP(I181,$C$3:$L$6,10,0)),"",VLOOKUP(I181,$C$3:$L$6,10,0)+J181+IF(OR(VLOOKUP(I181,$C$3:$L$6,5,0)=Variables!$B$5,B181&gt;VLOOKUP(I181,$C$3:$L$6,8,0)),IF(VLOOKUP(I181,$C$3:$L$6,5,0)=Variables!$B$5,((YEAR(B181)-YEAR($B$12))*12+MONTH(B181)-MONTH($B$12)),((YEAR(B181)-YEAR(VLOOKUP(I181,$C$3:$L$6,8,0)))*12+MONTH(B181)-MONTH(VLOOKUP(I181,$C$3:$L$6,8,0))))*VLOOKUP(I181,$C$3:$L$6,7,0),0)),""),"")</f>
        <v/>
      </c>
      <c r="L181" s="29" t="str">
        <f t="shared" ca="1" si="24"/>
        <v/>
      </c>
      <c r="M181" s="10"/>
      <c r="N181" s="10"/>
    </row>
    <row r="182" spans="1:14" x14ac:dyDescent="0.25">
      <c r="A182" s="10"/>
      <c r="B182" s="14" t="str">
        <f t="shared" ca="1" si="25"/>
        <v/>
      </c>
      <c r="C182" s="14" t="str">
        <f ca="1">IF(I181&lt;&gt;Variables!$B$1,IF(H181&lt;&gt;0,C181,I181),"")</f>
        <v/>
      </c>
      <c r="D182" s="29" t="str">
        <f t="shared" ca="1" si="22"/>
        <v/>
      </c>
      <c r="E182" s="29" t="str">
        <f t="shared" ca="1" si="23"/>
        <v/>
      </c>
      <c r="F182" s="29" t="str">
        <f ca="1">IF(C182&lt;&gt;"",IF(OR(VLOOKUP(C182,$C$3:$L$6,5,0)=Variables!$B$5,B182&gt;VLOOKUP(C182,$C$3:$L$6,8,0)),-D182*VLOOKUP(C182,$C$3:$L$6,6,0)/12,0),"")</f>
        <v/>
      </c>
      <c r="G182" s="29" t="str">
        <f ca="1">IF(I182&lt;&gt;Variables!$B$1,IF(C182&lt;&gt;"",$I$9-E182-F182,""),-D182)</f>
        <v/>
      </c>
      <c r="H182" s="29" t="str">
        <f t="shared" ca="1" si="26"/>
        <v/>
      </c>
      <c r="I182" s="31" t="str">
        <f ca="1">IF(C182&lt;&gt;"",IF(D182+$I$9-E182-F182&gt;=0,IF(ISERROR(INDEX($C$3:$C$6,MATCH(C182,$C$3:$C$6,0)+1,0)),Variables!$B$1,INDEX($C$3:$C$6,MATCH(C182,$C$3:$C$6,0)+1,0)),""),"")</f>
        <v/>
      </c>
      <c r="J182" s="29" t="str">
        <f ca="1">IF(ISERROR(VLOOKUP(I182,$C$3:$L$6,5,0)),"",IF(OR(VLOOKUP(I182,$C$3:$L$6,5,0)=Variables!$B$5,B182&gt;VLOOKUP(I182,$C$3:$L$6,8,0)),IF(VLOOKUP(I182,$C$3:$L$6,5,0)=Variables!$B$5,((YEAR(B182)-YEAR($B$12))*12+MONTH(B182)-MONTH($B$12)),((YEAR(B182)-YEAR(VLOOKUP(I182,$C$3:$L$6,8,0)))*12+MONTH(B182)-MONTH(VLOOKUP(I182,$C$3:$L$6,8,0))))*(VLOOKUP(I182,$C$3:$L$6,10,0)*VLOOKUP(I182,$C$3:$L$6,6,0)/12),0))</f>
        <v/>
      </c>
      <c r="K182" s="29" t="str">
        <f ca="1">IF(C182&lt;&gt;"",IF(I182&lt;&gt;"",IF(ISERROR(VLOOKUP(I182,$C$3:$L$6,10,0)),"",VLOOKUP(I182,$C$3:$L$6,10,0)+J182+IF(OR(VLOOKUP(I182,$C$3:$L$6,5,0)=Variables!$B$5,B182&gt;VLOOKUP(I182,$C$3:$L$6,8,0)),IF(VLOOKUP(I182,$C$3:$L$6,5,0)=Variables!$B$5,((YEAR(B182)-YEAR($B$12))*12+MONTH(B182)-MONTH($B$12)),((YEAR(B182)-YEAR(VLOOKUP(I182,$C$3:$L$6,8,0)))*12+MONTH(B182)-MONTH(VLOOKUP(I182,$C$3:$L$6,8,0))))*VLOOKUP(I182,$C$3:$L$6,7,0),0)),""),"")</f>
        <v/>
      </c>
      <c r="L182" s="29" t="str">
        <f t="shared" ca="1" si="24"/>
        <v/>
      </c>
      <c r="M182" s="10"/>
      <c r="N182" s="10"/>
    </row>
    <row r="183" spans="1:14" x14ac:dyDescent="0.25">
      <c r="A183" s="10"/>
      <c r="B183" s="14" t="str">
        <f t="shared" ca="1" si="25"/>
        <v/>
      </c>
      <c r="C183" s="14" t="str">
        <f ca="1">IF(I182&lt;&gt;Variables!$B$1,IF(H182&lt;&gt;0,C182,I182),"")</f>
        <v/>
      </c>
      <c r="D183" s="29" t="str">
        <f t="shared" ca="1" si="22"/>
        <v/>
      </c>
      <c r="E183" s="29" t="str">
        <f t="shared" ca="1" si="23"/>
        <v/>
      </c>
      <c r="F183" s="29" t="str">
        <f ca="1">IF(C183&lt;&gt;"",IF(OR(VLOOKUP(C183,$C$3:$L$6,5,0)=Variables!$B$5,B183&gt;VLOOKUP(C183,$C$3:$L$6,8,0)),-D183*VLOOKUP(C183,$C$3:$L$6,6,0)/12,0),"")</f>
        <v/>
      </c>
      <c r="G183" s="29" t="str">
        <f ca="1">IF(I183&lt;&gt;Variables!$B$1,IF(C183&lt;&gt;"",$I$9-E183-F183,""),-D183)</f>
        <v/>
      </c>
      <c r="H183" s="29" t="str">
        <f t="shared" ca="1" si="26"/>
        <v/>
      </c>
      <c r="I183" s="31" t="str">
        <f ca="1">IF(C183&lt;&gt;"",IF(D183+$I$9-E183-F183&gt;=0,IF(ISERROR(INDEX($C$3:$C$6,MATCH(C183,$C$3:$C$6,0)+1,0)),Variables!$B$1,INDEX($C$3:$C$6,MATCH(C183,$C$3:$C$6,0)+1,0)),""),"")</f>
        <v/>
      </c>
      <c r="J183" s="29" t="str">
        <f ca="1">IF(ISERROR(VLOOKUP(I183,$C$3:$L$6,5,0)),"",IF(OR(VLOOKUP(I183,$C$3:$L$6,5,0)=Variables!$B$5,B183&gt;VLOOKUP(I183,$C$3:$L$6,8,0)),IF(VLOOKUP(I183,$C$3:$L$6,5,0)=Variables!$B$5,((YEAR(B183)-YEAR($B$12))*12+MONTH(B183)-MONTH($B$12)),((YEAR(B183)-YEAR(VLOOKUP(I183,$C$3:$L$6,8,0)))*12+MONTH(B183)-MONTH(VLOOKUP(I183,$C$3:$L$6,8,0))))*(VLOOKUP(I183,$C$3:$L$6,10,0)*VLOOKUP(I183,$C$3:$L$6,6,0)/12),0))</f>
        <v/>
      </c>
      <c r="K183" s="29" t="str">
        <f ca="1">IF(C183&lt;&gt;"",IF(I183&lt;&gt;"",IF(ISERROR(VLOOKUP(I183,$C$3:$L$6,10,0)),"",VLOOKUP(I183,$C$3:$L$6,10,0)+J183+IF(OR(VLOOKUP(I183,$C$3:$L$6,5,0)=Variables!$B$5,B183&gt;VLOOKUP(I183,$C$3:$L$6,8,0)),IF(VLOOKUP(I183,$C$3:$L$6,5,0)=Variables!$B$5,((YEAR(B183)-YEAR($B$12))*12+MONTH(B183)-MONTH($B$12)),((YEAR(B183)-YEAR(VLOOKUP(I183,$C$3:$L$6,8,0)))*12+MONTH(B183)-MONTH(VLOOKUP(I183,$C$3:$L$6,8,0))))*VLOOKUP(I183,$C$3:$L$6,7,0),0)),""),"")</f>
        <v/>
      </c>
      <c r="L183" s="29" t="str">
        <f t="shared" ca="1" si="24"/>
        <v/>
      </c>
      <c r="M183" s="10"/>
      <c r="N183" s="10"/>
    </row>
    <row r="184" spans="1:14" x14ac:dyDescent="0.25">
      <c r="A184" s="10"/>
      <c r="B184" s="14" t="str">
        <f t="shared" ca="1" si="25"/>
        <v/>
      </c>
      <c r="C184" s="14" t="str">
        <f ca="1">IF(I183&lt;&gt;Variables!$B$1,IF(H183&lt;&gt;0,C183,I183),"")</f>
        <v/>
      </c>
      <c r="D184" s="29" t="str">
        <f t="shared" ca="1" si="22"/>
        <v/>
      </c>
      <c r="E184" s="29" t="str">
        <f t="shared" ca="1" si="23"/>
        <v/>
      </c>
      <c r="F184" s="29" t="str">
        <f ca="1">IF(C184&lt;&gt;"",IF(OR(VLOOKUP(C184,$C$3:$L$6,5,0)=Variables!$B$5,B184&gt;VLOOKUP(C184,$C$3:$L$6,8,0)),-D184*VLOOKUP(C184,$C$3:$L$6,6,0)/12,0),"")</f>
        <v/>
      </c>
      <c r="G184" s="29" t="str">
        <f ca="1">IF(I184&lt;&gt;Variables!$B$1,IF(C184&lt;&gt;"",$I$9-E184-F184,""),-D184)</f>
        <v/>
      </c>
      <c r="H184" s="29" t="str">
        <f t="shared" ca="1" si="26"/>
        <v/>
      </c>
      <c r="I184" s="31" t="str">
        <f ca="1">IF(C184&lt;&gt;"",IF(D184+$I$9-E184-F184&gt;=0,IF(ISERROR(INDEX($C$3:$C$6,MATCH(C184,$C$3:$C$6,0)+1,0)),Variables!$B$1,INDEX($C$3:$C$6,MATCH(C184,$C$3:$C$6,0)+1,0)),""),"")</f>
        <v/>
      </c>
      <c r="J184" s="29" t="str">
        <f ca="1">IF(ISERROR(VLOOKUP(I184,$C$3:$L$6,5,0)),"",IF(OR(VLOOKUP(I184,$C$3:$L$6,5,0)=Variables!$B$5,B184&gt;VLOOKUP(I184,$C$3:$L$6,8,0)),IF(VLOOKUP(I184,$C$3:$L$6,5,0)=Variables!$B$5,((YEAR(B184)-YEAR($B$12))*12+MONTH(B184)-MONTH($B$12)),((YEAR(B184)-YEAR(VLOOKUP(I184,$C$3:$L$6,8,0)))*12+MONTH(B184)-MONTH(VLOOKUP(I184,$C$3:$L$6,8,0))))*(VLOOKUP(I184,$C$3:$L$6,10,0)*VLOOKUP(I184,$C$3:$L$6,6,0)/12),0))</f>
        <v/>
      </c>
      <c r="K184" s="29" t="str">
        <f ca="1">IF(C184&lt;&gt;"",IF(I184&lt;&gt;"",IF(ISERROR(VLOOKUP(I184,$C$3:$L$6,10,0)),"",VLOOKUP(I184,$C$3:$L$6,10,0)+J184+IF(OR(VLOOKUP(I184,$C$3:$L$6,5,0)=Variables!$B$5,B184&gt;VLOOKUP(I184,$C$3:$L$6,8,0)),IF(VLOOKUP(I184,$C$3:$L$6,5,0)=Variables!$B$5,((YEAR(B184)-YEAR($B$12))*12+MONTH(B184)-MONTH($B$12)),((YEAR(B184)-YEAR(VLOOKUP(I184,$C$3:$L$6,8,0)))*12+MONTH(B184)-MONTH(VLOOKUP(I184,$C$3:$L$6,8,0))))*VLOOKUP(I184,$C$3:$L$6,7,0),0)),""),"")</f>
        <v/>
      </c>
      <c r="L184" s="29" t="str">
        <f t="shared" ca="1" si="24"/>
        <v/>
      </c>
      <c r="M184" s="10"/>
      <c r="N184" s="10"/>
    </row>
    <row r="185" spans="1:14" x14ac:dyDescent="0.25">
      <c r="A185" s="10"/>
      <c r="B185" s="14" t="str">
        <f t="shared" ca="1" si="25"/>
        <v/>
      </c>
      <c r="C185" s="14" t="str">
        <f ca="1">IF(I184&lt;&gt;Variables!$B$1,IF(H184&lt;&gt;0,C184,I184),"")</f>
        <v/>
      </c>
      <c r="D185" s="29" t="str">
        <f t="shared" ca="1" si="22"/>
        <v/>
      </c>
      <c r="E185" s="29" t="str">
        <f t="shared" ca="1" si="23"/>
        <v/>
      </c>
      <c r="F185" s="29" t="str">
        <f ca="1">IF(C185&lt;&gt;"",IF(OR(VLOOKUP(C185,$C$3:$L$6,5,0)=Variables!$B$5,B185&gt;VLOOKUP(C185,$C$3:$L$6,8,0)),-D185*VLOOKUP(C185,$C$3:$L$6,6,0)/12,0),"")</f>
        <v/>
      </c>
      <c r="G185" s="29" t="str">
        <f ca="1">IF(I185&lt;&gt;Variables!$B$1,IF(C185&lt;&gt;"",$I$9-E185-F185,""),-D185)</f>
        <v/>
      </c>
      <c r="H185" s="29" t="str">
        <f t="shared" ca="1" si="26"/>
        <v/>
      </c>
      <c r="I185" s="31" t="str">
        <f ca="1">IF(C185&lt;&gt;"",IF(D185+$I$9-E185-F185&gt;=0,IF(ISERROR(INDEX($C$3:$C$6,MATCH(C185,$C$3:$C$6,0)+1,0)),Variables!$B$1,INDEX($C$3:$C$6,MATCH(C185,$C$3:$C$6,0)+1,0)),""),"")</f>
        <v/>
      </c>
      <c r="J185" s="29" t="str">
        <f ca="1">IF(ISERROR(VLOOKUP(I185,$C$3:$L$6,5,0)),"",IF(OR(VLOOKUP(I185,$C$3:$L$6,5,0)=Variables!$B$5,B185&gt;VLOOKUP(I185,$C$3:$L$6,8,0)),IF(VLOOKUP(I185,$C$3:$L$6,5,0)=Variables!$B$5,((YEAR(B185)-YEAR($B$12))*12+MONTH(B185)-MONTH($B$12)),((YEAR(B185)-YEAR(VLOOKUP(I185,$C$3:$L$6,8,0)))*12+MONTH(B185)-MONTH(VLOOKUP(I185,$C$3:$L$6,8,0))))*(VLOOKUP(I185,$C$3:$L$6,10,0)*VLOOKUP(I185,$C$3:$L$6,6,0)/12),0))</f>
        <v/>
      </c>
      <c r="K185" s="29" t="str">
        <f ca="1">IF(C185&lt;&gt;"",IF(I185&lt;&gt;"",IF(ISERROR(VLOOKUP(I185,$C$3:$L$6,10,0)),"",VLOOKUP(I185,$C$3:$L$6,10,0)+J185+IF(OR(VLOOKUP(I185,$C$3:$L$6,5,0)=Variables!$B$5,B185&gt;VLOOKUP(I185,$C$3:$L$6,8,0)),IF(VLOOKUP(I185,$C$3:$L$6,5,0)=Variables!$B$5,((YEAR(B185)-YEAR($B$12))*12+MONTH(B185)-MONTH($B$12)),((YEAR(B185)-YEAR(VLOOKUP(I185,$C$3:$L$6,8,0)))*12+MONTH(B185)-MONTH(VLOOKUP(I185,$C$3:$L$6,8,0))))*VLOOKUP(I185,$C$3:$L$6,7,0),0)),""),"")</f>
        <v/>
      </c>
      <c r="L185" s="29" t="str">
        <f t="shared" ca="1" si="24"/>
        <v/>
      </c>
      <c r="M185" s="10"/>
      <c r="N185" s="10"/>
    </row>
    <row r="186" spans="1:14" x14ac:dyDescent="0.25">
      <c r="A186" s="10"/>
      <c r="B186" s="14" t="str">
        <f t="shared" ca="1" si="25"/>
        <v/>
      </c>
      <c r="C186" s="14" t="str">
        <f ca="1">IF(I185&lt;&gt;Variables!$B$1,IF(H185&lt;&gt;0,C185,I185),"")</f>
        <v/>
      </c>
      <c r="D186" s="29" t="str">
        <f t="shared" ca="1" si="22"/>
        <v/>
      </c>
      <c r="E186" s="29" t="str">
        <f t="shared" ca="1" si="23"/>
        <v/>
      </c>
      <c r="F186" s="29" t="str">
        <f ca="1">IF(C186&lt;&gt;"",IF(OR(VLOOKUP(C186,$C$3:$L$6,5,0)=Variables!$B$5,B186&gt;VLOOKUP(C186,$C$3:$L$6,8,0)),-D186*VLOOKUP(C186,$C$3:$L$6,6,0)/12,0),"")</f>
        <v/>
      </c>
      <c r="G186" s="29" t="str">
        <f ca="1">IF(I186&lt;&gt;Variables!$B$1,IF(C186&lt;&gt;"",$I$9-E186-F186,""),-D186)</f>
        <v/>
      </c>
      <c r="H186" s="29" t="str">
        <f t="shared" ca="1" si="26"/>
        <v/>
      </c>
      <c r="I186" s="31" t="str">
        <f ca="1">IF(C186&lt;&gt;"",IF(D186+$I$9-E186-F186&gt;=0,IF(ISERROR(INDEX($C$3:$C$6,MATCH(C186,$C$3:$C$6,0)+1,0)),Variables!$B$1,INDEX($C$3:$C$6,MATCH(C186,$C$3:$C$6,0)+1,0)),""),"")</f>
        <v/>
      </c>
      <c r="J186" s="29" t="str">
        <f ca="1">IF(ISERROR(VLOOKUP(I186,$C$3:$L$6,5,0)),"",IF(OR(VLOOKUP(I186,$C$3:$L$6,5,0)=Variables!$B$5,B186&gt;VLOOKUP(I186,$C$3:$L$6,8,0)),IF(VLOOKUP(I186,$C$3:$L$6,5,0)=Variables!$B$5,((YEAR(B186)-YEAR($B$12))*12+MONTH(B186)-MONTH($B$12)),((YEAR(B186)-YEAR(VLOOKUP(I186,$C$3:$L$6,8,0)))*12+MONTH(B186)-MONTH(VLOOKUP(I186,$C$3:$L$6,8,0))))*(VLOOKUP(I186,$C$3:$L$6,10,0)*VLOOKUP(I186,$C$3:$L$6,6,0)/12),0))</f>
        <v/>
      </c>
      <c r="K186" s="29" t="str">
        <f ca="1">IF(C186&lt;&gt;"",IF(I186&lt;&gt;"",IF(ISERROR(VLOOKUP(I186,$C$3:$L$6,10,0)),"",VLOOKUP(I186,$C$3:$L$6,10,0)+J186+IF(OR(VLOOKUP(I186,$C$3:$L$6,5,0)=Variables!$B$5,B186&gt;VLOOKUP(I186,$C$3:$L$6,8,0)),IF(VLOOKUP(I186,$C$3:$L$6,5,0)=Variables!$B$5,((YEAR(B186)-YEAR($B$12))*12+MONTH(B186)-MONTH($B$12)),((YEAR(B186)-YEAR(VLOOKUP(I186,$C$3:$L$6,8,0)))*12+MONTH(B186)-MONTH(VLOOKUP(I186,$C$3:$L$6,8,0))))*VLOOKUP(I186,$C$3:$L$6,7,0),0)),""),"")</f>
        <v/>
      </c>
      <c r="L186" s="29" t="str">
        <f t="shared" ca="1" si="24"/>
        <v/>
      </c>
      <c r="M186" s="10"/>
      <c r="N186" s="10"/>
    </row>
    <row r="187" spans="1:14" x14ac:dyDescent="0.25">
      <c r="A187" s="10"/>
      <c r="B187" s="14" t="str">
        <f t="shared" ca="1" si="25"/>
        <v/>
      </c>
      <c r="C187" s="14" t="str">
        <f ca="1">IF(I186&lt;&gt;Variables!$B$1,IF(H186&lt;&gt;0,C186,I186),"")</f>
        <v/>
      </c>
      <c r="D187" s="29" t="str">
        <f t="shared" ca="1" si="22"/>
        <v/>
      </c>
      <c r="E187" s="29" t="str">
        <f t="shared" ca="1" si="23"/>
        <v/>
      </c>
      <c r="F187" s="29" t="str">
        <f ca="1">IF(C187&lt;&gt;"",IF(OR(VLOOKUP(C187,$C$3:$L$6,5,0)=Variables!$B$5,B187&gt;VLOOKUP(C187,$C$3:$L$6,8,0)),-D187*VLOOKUP(C187,$C$3:$L$6,6,0)/12,0),"")</f>
        <v/>
      </c>
      <c r="G187" s="29" t="str">
        <f ca="1">IF(I187&lt;&gt;Variables!$B$1,IF(C187&lt;&gt;"",$I$9-E187-F187,""),-D187)</f>
        <v/>
      </c>
      <c r="H187" s="29" t="str">
        <f t="shared" ca="1" si="26"/>
        <v/>
      </c>
      <c r="I187" s="31" t="str">
        <f ca="1">IF(C187&lt;&gt;"",IF(D187+$I$9-E187-F187&gt;=0,IF(ISERROR(INDEX($C$3:$C$6,MATCH(C187,$C$3:$C$6,0)+1,0)),Variables!$B$1,INDEX($C$3:$C$6,MATCH(C187,$C$3:$C$6,0)+1,0)),""),"")</f>
        <v/>
      </c>
      <c r="J187" s="29" t="str">
        <f ca="1">IF(ISERROR(VLOOKUP(I187,$C$3:$L$6,5,0)),"",IF(OR(VLOOKUP(I187,$C$3:$L$6,5,0)=Variables!$B$5,B187&gt;VLOOKUP(I187,$C$3:$L$6,8,0)),IF(VLOOKUP(I187,$C$3:$L$6,5,0)=Variables!$B$5,((YEAR(B187)-YEAR($B$12))*12+MONTH(B187)-MONTH($B$12)),((YEAR(B187)-YEAR(VLOOKUP(I187,$C$3:$L$6,8,0)))*12+MONTH(B187)-MONTH(VLOOKUP(I187,$C$3:$L$6,8,0))))*(VLOOKUP(I187,$C$3:$L$6,10,0)*VLOOKUP(I187,$C$3:$L$6,6,0)/12),0))</f>
        <v/>
      </c>
      <c r="K187" s="29" t="str">
        <f ca="1">IF(C187&lt;&gt;"",IF(I187&lt;&gt;"",IF(ISERROR(VLOOKUP(I187,$C$3:$L$6,10,0)),"",VLOOKUP(I187,$C$3:$L$6,10,0)+J187+IF(OR(VLOOKUP(I187,$C$3:$L$6,5,0)=Variables!$B$5,B187&gt;VLOOKUP(I187,$C$3:$L$6,8,0)),IF(VLOOKUP(I187,$C$3:$L$6,5,0)=Variables!$B$5,((YEAR(B187)-YEAR($B$12))*12+MONTH(B187)-MONTH($B$12)),((YEAR(B187)-YEAR(VLOOKUP(I187,$C$3:$L$6,8,0)))*12+MONTH(B187)-MONTH(VLOOKUP(I187,$C$3:$L$6,8,0))))*VLOOKUP(I187,$C$3:$L$6,7,0),0)),""),"")</f>
        <v/>
      </c>
      <c r="L187" s="29" t="str">
        <f t="shared" ca="1" si="24"/>
        <v/>
      </c>
      <c r="M187" s="10"/>
      <c r="N187" s="10"/>
    </row>
    <row r="188" spans="1:14" x14ac:dyDescent="0.25">
      <c r="A188" s="10"/>
      <c r="B188" s="14" t="str">
        <f t="shared" ca="1" si="25"/>
        <v/>
      </c>
      <c r="C188" s="14" t="str">
        <f ca="1">IF(I187&lt;&gt;Variables!$B$1,IF(H187&lt;&gt;0,C187,I187),"")</f>
        <v/>
      </c>
      <c r="D188" s="29" t="str">
        <f t="shared" ca="1" si="22"/>
        <v/>
      </c>
      <c r="E188" s="29" t="str">
        <f t="shared" ca="1" si="23"/>
        <v/>
      </c>
      <c r="F188" s="29" t="str">
        <f ca="1">IF(C188&lt;&gt;"",IF(OR(VLOOKUP(C188,$C$3:$L$6,5,0)=Variables!$B$5,B188&gt;VLOOKUP(C188,$C$3:$L$6,8,0)),-D188*VLOOKUP(C188,$C$3:$L$6,6,0)/12,0),"")</f>
        <v/>
      </c>
      <c r="G188" s="29" t="str">
        <f ca="1">IF(I188&lt;&gt;Variables!$B$1,IF(C188&lt;&gt;"",$I$9-E188-F188,""),-D188)</f>
        <v/>
      </c>
      <c r="H188" s="29" t="str">
        <f t="shared" ca="1" si="26"/>
        <v/>
      </c>
      <c r="I188" s="31" t="str">
        <f ca="1">IF(C188&lt;&gt;"",IF(D188+$I$9-E188-F188&gt;=0,IF(ISERROR(INDEX($C$3:$C$6,MATCH(C188,$C$3:$C$6,0)+1,0)),Variables!$B$1,INDEX($C$3:$C$6,MATCH(C188,$C$3:$C$6,0)+1,0)),""),"")</f>
        <v/>
      </c>
      <c r="J188" s="29" t="str">
        <f ca="1">IF(ISERROR(VLOOKUP(I188,$C$3:$L$6,5,0)),"",IF(OR(VLOOKUP(I188,$C$3:$L$6,5,0)=Variables!$B$5,B188&gt;VLOOKUP(I188,$C$3:$L$6,8,0)),IF(VLOOKUP(I188,$C$3:$L$6,5,0)=Variables!$B$5,((YEAR(B188)-YEAR($B$12))*12+MONTH(B188)-MONTH($B$12)),((YEAR(B188)-YEAR(VLOOKUP(I188,$C$3:$L$6,8,0)))*12+MONTH(B188)-MONTH(VLOOKUP(I188,$C$3:$L$6,8,0))))*(VLOOKUP(I188,$C$3:$L$6,10,0)*VLOOKUP(I188,$C$3:$L$6,6,0)/12),0))</f>
        <v/>
      </c>
      <c r="K188" s="29" t="str">
        <f ca="1">IF(C188&lt;&gt;"",IF(I188&lt;&gt;"",IF(ISERROR(VLOOKUP(I188,$C$3:$L$6,10,0)),"",VLOOKUP(I188,$C$3:$L$6,10,0)+J188+IF(OR(VLOOKUP(I188,$C$3:$L$6,5,0)=Variables!$B$5,B188&gt;VLOOKUP(I188,$C$3:$L$6,8,0)),IF(VLOOKUP(I188,$C$3:$L$6,5,0)=Variables!$B$5,((YEAR(B188)-YEAR($B$12))*12+MONTH(B188)-MONTH($B$12)),((YEAR(B188)-YEAR(VLOOKUP(I188,$C$3:$L$6,8,0)))*12+MONTH(B188)-MONTH(VLOOKUP(I188,$C$3:$L$6,8,0))))*VLOOKUP(I188,$C$3:$L$6,7,0),0)),""),"")</f>
        <v/>
      </c>
      <c r="L188" s="29" t="str">
        <f t="shared" ca="1" si="24"/>
        <v/>
      </c>
      <c r="M188" s="10"/>
      <c r="N188" s="10"/>
    </row>
    <row r="189" spans="1:14" x14ac:dyDescent="0.25">
      <c r="A189" s="10"/>
      <c r="B189" s="14" t="str">
        <f t="shared" ca="1" si="25"/>
        <v/>
      </c>
      <c r="C189" s="14" t="str">
        <f ca="1">IF(I188&lt;&gt;Variables!$B$1,IF(H188&lt;&gt;0,C188,I188),"")</f>
        <v/>
      </c>
      <c r="D189" s="29" t="str">
        <f t="shared" ca="1" si="22"/>
        <v/>
      </c>
      <c r="E189" s="29" t="str">
        <f t="shared" ca="1" si="23"/>
        <v/>
      </c>
      <c r="F189" s="29" t="str">
        <f ca="1">IF(C189&lt;&gt;"",IF(OR(VLOOKUP(C189,$C$3:$L$6,5,0)=Variables!$B$5,B189&gt;VLOOKUP(C189,$C$3:$L$6,8,0)),-D189*VLOOKUP(C189,$C$3:$L$6,6,0)/12,0),"")</f>
        <v/>
      </c>
      <c r="G189" s="29" t="str">
        <f ca="1">IF(I189&lt;&gt;Variables!$B$1,IF(C189&lt;&gt;"",$I$9-E189-F189,""),-D189)</f>
        <v/>
      </c>
      <c r="H189" s="29" t="str">
        <f t="shared" ca="1" si="26"/>
        <v/>
      </c>
      <c r="I189" s="31" t="str">
        <f ca="1">IF(C189&lt;&gt;"",IF(D189+$I$9-E189-F189&gt;=0,IF(ISERROR(INDEX($C$3:$C$6,MATCH(C189,$C$3:$C$6,0)+1,0)),Variables!$B$1,INDEX($C$3:$C$6,MATCH(C189,$C$3:$C$6,0)+1,0)),""),"")</f>
        <v/>
      </c>
      <c r="J189" s="29" t="str">
        <f ca="1">IF(ISERROR(VLOOKUP(I189,$C$3:$L$6,5,0)),"",IF(OR(VLOOKUP(I189,$C$3:$L$6,5,0)=Variables!$B$5,B189&gt;VLOOKUP(I189,$C$3:$L$6,8,0)),IF(VLOOKUP(I189,$C$3:$L$6,5,0)=Variables!$B$5,((YEAR(B189)-YEAR($B$12))*12+MONTH(B189)-MONTH($B$12)),((YEAR(B189)-YEAR(VLOOKUP(I189,$C$3:$L$6,8,0)))*12+MONTH(B189)-MONTH(VLOOKUP(I189,$C$3:$L$6,8,0))))*(VLOOKUP(I189,$C$3:$L$6,10,0)*VLOOKUP(I189,$C$3:$L$6,6,0)/12),0))</f>
        <v/>
      </c>
      <c r="K189" s="29" t="str">
        <f ca="1">IF(C189&lt;&gt;"",IF(I189&lt;&gt;"",IF(ISERROR(VLOOKUP(I189,$C$3:$L$6,10,0)),"",VLOOKUP(I189,$C$3:$L$6,10,0)+J189+IF(OR(VLOOKUP(I189,$C$3:$L$6,5,0)=Variables!$B$5,B189&gt;VLOOKUP(I189,$C$3:$L$6,8,0)),IF(VLOOKUP(I189,$C$3:$L$6,5,0)=Variables!$B$5,((YEAR(B189)-YEAR($B$12))*12+MONTH(B189)-MONTH($B$12)),((YEAR(B189)-YEAR(VLOOKUP(I189,$C$3:$L$6,8,0)))*12+MONTH(B189)-MONTH(VLOOKUP(I189,$C$3:$L$6,8,0))))*VLOOKUP(I189,$C$3:$L$6,7,0),0)),""),"")</f>
        <v/>
      </c>
      <c r="L189" s="29" t="str">
        <f t="shared" ca="1" si="24"/>
        <v/>
      </c>
      <c r="M189" s="10"/>
      <c r="N189" s="10"/>
    </row>
    <row r="190" spans="1:14" x14ac:dyDescent="0.25">
      <c r="A190" s="10"/>
      <c r="B190" s="14" t="str">
        <f t="shared" ca="1" si="25"/>
        <v/>
      </c>
      <c r="C190" s="14" t="str">
        <f ca="1">IF(I189&lt;&gt;Variables!$B$1,IF(H189&lt;&gt;0,C189,I189),"")</f>
        <v/>
      </c>
      <c r="D190" s="29" t="str">
        <f t="shared" ca="1" si="22"/>
        <v/>
      </c>
      <c r="E190" s="29" t="str">
        <f t="shared" ca="1" si="23"/>
        <v/>
      </c>
      <c r="F190" s="29" t="str">
        <f ca="1">IF(C190&lt;&gt;"",IF(OR(VLOOKUP(C190,$C$3:$L$6,5,0)=Variables!$B$5,B190&gt;VLOOKUP(C190,$C$3:$L$6,8,0)),-D190*VLOOKUP(C190,$C$3:$L$6,6,0)/12,0),"")</f>
        <v/>
      </c>
      <c r="G190" s="29" t="str">
        <f ca="1">IF(I190&lt;&gt;Variables!$B$1,IF(C190&lt;&gt;"",$I$9-E190-F190,""),-D190)</f>
        <v/>
      </c>
      <c r="H190" s="29" t="str">
        <f t="shared" ca="1" si="26"/>
        <v/>
      </c>
      <c r="I190" s="31" t="str">
        <f ca="1">IF(C190&lt;&gt;"",IF(D190+$I$9-E190-F190&gt;=0,IF(ISERROR(INDEX($C$3:$C$6,MATCH(C190,$C$3:$C$6,0)+1,0)),Variables!$B$1,INDEX($C$3:$C$6,MATCH(C190,$C$3:$C$6,0)+1,0)),""),"")</f>
        <v/>
      </c>
      <c r="J190" s="29" t="str">
        <f ca="1">IF(ISERROR(VLOOKUP(I190,$C$3:$L$6,5,0)),"",IF(OR(VLOOKUP(I190,$C$3:$L$6,5,0)=Variables!$B$5,B190&gt;VLOOKUP(I190,$C$3:$L$6,8,0)),IF(VLOOKUP(I190,$C$3:$L$6,5,0)=Variables!$B$5,((YEAR(B190)-YEAR($B$12))*12+MONTH(B190)-MONTH($B$12)),((YEAR(B190)-YEAR(VLOOKUP(I190,$C$3:$L$6,8,0)))*12+MONTH(B190)-MONTH(VLOOKUP(I190,$C$3:$L$6,8,0))))*(VLOOKUP(I190,$C$3:$L$6,10,0)*VLOOKUP(I190,$C$3:$L$6,6,0)/12),0))</f>
        <v/>
      </c>
      <c r="K190" s="29" t="str">
        <f ca="1">IF(C190&lt;&gt;"",IF(I190&lt;&gt;"",IF(ISERROR(VLOOKUP(I190,$C$3:$L$6,10,0)),"",VLOOKUP(I190,$C$3:$L$6,10,0)+J190+IF(OR(VLOOKUP(I190,$C$3:$L$6,5,0)=Variables!$B$5,B190&gt;VLOOKUP(I190,$C$3:$L$6,8,0)),IF(VLOOKUP(I190,$C$3:$L$6,5,0)=Variables!$B$5,((YEAR(B190)-YEAR($B$12))*12+MONTH(B190)-MONTH($B$12)),((YEAR(B190)-YEAR(VLOOKUP(I190,$C$3:$L$6,8,0)))*12+MONTH(B190)-MONTH(VLOOKUP(I190,$C$3:$L$6,8,0))))*VLOOKUP(I190,$C$3:$L$6,7,0),0)),""),"")</f>
        <v/>
      </c>
      <c r="L190" s="29" t="str">
        <f t="shared" ca="1" si="24"/>
        <v/>
      </c>
      <c r="M190" s="10"/>
      <c r="N190" s="10"/>
    </row>
    <row r="191" spans="1:14" x14ac:dyDescent="0.25">
      <c r="A191" s="10"/>
      <c r="B191" s="14" t="str">
        <f t="shared" ca="1" si="25"/>
        <v/>
      </c>
      <c r="C191" s="14" t="str">
        <f ca="1">IF(I190&lt;&gt;Variables!$B$1,IF(H190&lt;&gt;0,C190,I190),"")</f>
        <v/>
      </c>
      <c r="D191" s="29" t="str">
        <f t="shared" ca="1" si="22"/>
        <v/>
      </c>
      <c r="E191" s="29" t="str">
        <f t="shared" ca="1" si="23"/>
        <v/>
      </c>
      <c r="F191" s="29" t="str">
        <f ca="1">IF(C191&lt;&gt;"",IF(OR(VLOOKUP(C191,$C$3:$L$6,5,0)=Variables!$B$5,B191&gt;VLOOKUP(C191,$C$3:$L$6,8,0)),-D191*VLOOKUP(C191,$C$3:$L$6,6,0)/12,0),"")</f>
        <v/>
      </c>
      <c r="G191" s="29" t="str">
        <f ca="1">IF(I191&lt;&gt;Variables!$B$1,IF(C191&lt;&gt;"",$I$9-E191-F191,""),-D191)</f>
        <v/>
      </c>
      <c r="H191" s="29" t="str">
        <f t="shared" ca="1" si="26"/>
        <v/>
      </c>
      <c r="I191" s="31" t="str">
        <f ca="1">IF(C191&lt;&gt;"",IF(D191+$I$9-E191-F191&gt;=0,IF(ISERROR(INDEX($C$3:$C$6,MATCH(C191,$C$3:$C$6,0)+1,0)),Variables!$B$1,INDEX($C$3:$C$6,MATCH(C191,$C$3:$C$6,0)+1,0)),""),"")</f>
        <v/>
      </c>
      <c r="J191" s="29" t="str">
        <f ca="1">IF(ISERROR(VLOOKUP(I191,$C$3:$L$6,5,0)),"",IF(OR(VLOOKUP(I191,$C$3:$L$6,5,0)=Variables!$B$5,B191&gt;VLOOKUP(I191,$C$3:$L$6,8,0)),IF(VLOOKUP(I191,$C$3:$L$6,5,0)=Variables!$B$5,((YEAR(B191)-YEAR($B$12))*12+MONTH(B191)-MONTH($B$12)),((YEAR(B191)-YEAR(VLOOKUP(I191,$C$3:$L$6,8,0)))*12+MONTH(B191)-MONTH(VLOOKUP(I191,$C$3:$L$6,8,0))))*(VLOOKUP(I191,$C$3:$L$6,10,0)*VLOOKUP(I191,$C$3:$L$6,6,0)/12),0))</f>
        <v/>
      </c>
      <c r="K191" s="29" t="str">
        <f ca="1">IF(C191&lt;&gt;"",IF(I191&lt;&gt;"",IF(ISERROR(VLOOKUP(I191,$C$3:$L$6,10,0)),"",VLOOKUP(I191,$C$3:$L$6,10,0)+J191+IF(OR(VLOOKUP(I191,$C$3:$L$6,5,0)=Variables!$B$5,B191&gt;VLOOKUP(I191,$C$3:$L$6,8,0)),IF(VLOOKUP(I191,$C$3:$L$6,5,0)=Variables!$B$5,((YEAR(B191)-YEAR($B$12))*12+MONTH(B191)-MONTH($B$12)),((YEAR(B191)-YEAR(VLOOKUP(I191,$C$3:$L$6,8,0)))*12+MONTH(B191)-MONTH(VLOOKUP(I191,$C$3:$L$6,8,0))))*VLOOKUP(I191,$C$3:$L$6,7,0),0)),""),"")</f>
        <v/>
      </c>
      <c r="L191" s="29" t="str">
        <f t="shared" ca="1" si="24"/>
        <v/>
      </c>
      <c r="M191" s="10"/>
      <c r="N191" s="10"/>
    </row>
    <row r="192" spans="1:14" x14ac:dyDescent="0.25">
      <c r="A192" s="10"/>
      <c r="B192" s="14" t="str">
        <f t="shared" ca="1" si="25"/>
        <v/>
      </c>
      <c r="C192" s="14" t="str">
        <f ca="1">IF(I191&lt;&gt;Variables!$B$1,IF(H191&lt;&gt;0,C191,I191),"")</f>
        <v/>
      </c>
      <c r="D192" s="29" t="str">
        <f t="shared" ca="1" si="22"/>
        <v/>
      </c>
      <c r="E192" s="29" t="str">
        <f t="shared" ca="1" si="23"/>
        <v/>
      </c>
      <c r="F192" s="29" t="str">
        <f ca="1">IF(C192&lt;&gt;"",IF(OR(VLOOKUP(C192,$C$3:$L$6,5,0)=Variables!$B$5,B192&gt;VLOOKUP(C192,$C$3:$L$6,8,0)),-D192*VLOOKUP(C192,$C$3:$L$6,6,0)/12,0),"")</f>
        <v/>
      </c>
      <c r="G192" s="29" t="str">
        <f ca="1">IF(I192&lt;&gt;Variables!$B$1,IF(C192&lt;&gt;"",$I$9-E192-F192,""),-D192)</f>
        <v/>
      </c>
      <c r="H192" s="29" t="str">
        <f t="shared" ca="1" si="26"/>
        <v/>
      </c>
      <c r="I192" s="31" t="str">
        <f ca="1">IF(C192&lt;&gt;"",IF(D192+$I$9-E192-F192&gt;=0,IF(ISERROR(INDEX($C$3:$C$6,MATCH(C192,$C$3:$C$6,0)+1,0)),Variables!$B$1,INDEX($C$3:$C$6,MATCH(C192,$C$3:$C$6,0)+1,0)),""),"")</f>
        <v/>
      </c>
      <c r="J192" s="29" t="str">
        <f ca="1">IF(ISERROR(VLOOKUP(I192,$C$3:$L$6,5,0)),"",IF(OR(VLOOKUP(I192,$C$3:$L$6,5,0)=Variables!$B$5,B192&gt;VLOOKUP(I192,$C$3:$L$6,8,0)),IF(VLOOKUP(I192,$C$3:$L$6,5,0)=Variables!$B$5,((YEAR(B192)-YEAR($B$12))*12+MONTH(B192)-MONTH($B$12)),((YEAR(B192)-YEAR(VLOOKUP(I192,$C$3:$L$6,8,0)))*12+MONTH(B192)-MONTH(VLOOKUP(I192,$C$3:$L$6,8,0))))*(VLOOKUP(I192,$C$3:$L$6,10,0)*VLOOKUP(I192,$C$3:$L$6,6,0)/12),0))</f>
        <v/>
      </c>
      <c r="K192" s="29" t="str">
        <f ca="1">IF(C192&lt;&gt;"",IF(I192&lt;&gt;"",IF(ISERROR(VLOOKUP(I192,$C$3:$L$6,10,0)),"",VLOOKUP(I192,$C$3:$L$6,10,0)+J192+IF(OR(VLOOKUP(I192,$C$3:$L$6,5,0)=Variables!$B$5,B192&gt;VLOOKUP(I192,$C$3:$L$6,8,0)),IF(VLOOKUP(I192,$C$3:$L$6,5,0)=Variables!$B$5,((YEAR(B192)-YEAR($B$12))*12+MONTH(B192)-MONTH($B$12)),((YEAR(B192)-YEAR(VLOOKUP(I192,$C$3:$L$6,8,0)))*12+MONTH(B192)-MONTH(VLOOKUP(I192,$C$3:$L$6,8,0))))*VLOOKUP(I192,$C$3:$L$6,7,0),0)),""),"")</f>
        <v/>
      </c>
      <c r="L192" s="29" t="str">
        <f t="shared" ca="1" si="24"/>
        <v/>
      </c>
      <c r="M192" s="10"/>
      <c r="N192" s="10"/>
    </row>
    <row r="193" spans="1:14" x14ac:dyDescent="0.25">
      <c r="A193" s="10"/>
      <c r="B193" s="14" t="str">
        <f t="shared" ca="1" si="25"/>
        <v/>
      </c>
      <c r="C193" s="14" t="str">
        <f ca="1">IF(I192&lt;&gt;Variables!$B$1,IF(H192&lt;&gt;0,C192,I192),"")</f>
        <v/>
      </c>
      <c r="D193" s="29" t="str">
        <f t="shared" ca="1" si="22"/>
        <v/>
      </c>
      <c r="E193" s="29" t="str">
        <f t="shared" ca="1" si="23"/>
        <v/>
      </c>
      <c r="F193" s="29" t="str">
        <f ca="1">IF(C193&lt;&gt;"",IF(OR(VLOOKUP(C193,$C$3:$L$6,5,0)=Variables!$B$5,B193&gt;VLOOKUP(C193,$C$3:$L$6,8,0)),-D193*VLOOKUP(C193,$C$3:$L$6,6,0)/12,0),"")</f>
        <v/>
      </c>
      <c r="G193" s="29" t="str">
        <f ca="1">IF(I193&lt;&gt;Variables!$B$1,IF(C193&lt;&gt;"",$I$9-E193-F193,""),-D193)</f>
        <v/>
      </c>
      <c r="H193" s="29" t="str">
        <f t="shared" ca="1" si="26"/>
        <v/>
      </c>
      <c r="I193" s="31" t="str">
        <f ca="1">IF(C193&lt;&gt;"",IF(D193+$I$9-E193-F193&gt;=0,IF(ISERROR(INDEX($C$3:$C$6,MATCH(C193,$C$3:$C$6,0)+1,0)),Variables!$B$1,INDEX($C$3:$C$6,MATCH(C193,$C$3:$C$6,0)+1,0)),""),"")</f>
        <v/>
      </c>
      <c r="J193" s="29" t="str">
        <f ca="1">IF(ISERROR(VLOOKUP(I193,$C$3:$L$6,5,0)),"",IF(OR(VLOOKUP(I193,$C$3:$L$6,5,0)=Variables!$B$5,B193&gt;VLOOKUP(I193,$C$3:$L$6,8,0)),IF(VLOOKUP(I193,$C$3:$L$6,5,0)=Variables!$B$5,((YEAR(B193)-YEAR($B$12))*12+MONTH(B193)-MONTH($B$12)),((YEAR(B193)-YEAR(VLOOKUP(I193,$C$3:$L$6,8,0)))*12+MONTH(B193)-MONTH(VLOOKUP(I193,$C$3:$L$6,8,0))))*(VLOOKUP(I193,$C$3:$L$6,10,0)*VLOOKUP(I193,$C$3:$L$6,6,0)/12),0))</f>
        <v/>
      </c>
      <c r="K193" s="29" t="str">
        <f ca="1">IF(C193&lt;&gt;"",IF(I193&lt;&gt;"",IF(ISERROR(VLOOKUP(I193,$C$3:$L$6,10,0)),"",VLOOKUP(I193,$C$3:$L$6,10,0)+J193+IF(OR(VLOOKUP(I193,$C$3:$L$6,5,0)=Variables!$B$5,B193&gt;VLOOKUP(I193,$C$3:$L$6,8,0)),IF(VLOOKUP(I193,$C$3:$L$6,5,0)=Variables!$B$5,((YEAR(B193)-YEAR($B$12))*12+MONTH(B193)-MONTH($B$12)),((YEAR(B193)-YEAR(VLOOKUP(I193,$C$3:$L$6,8,0)))*12+MONTH(B193)-MONTH(VLOOKUP(I193,$C$3:$L$6,8,0))))*VLOOKUP(I193,$C$3:$L$6,7,0),0)),""),"")</f>
        <v/>
      </c>
      <c r="L193" s="29" t="str">
        <f t="shared" ca="1" si="24"/>
        <v/>
      </c>
      <c r="M193" s="10"/>
      <c r="N193" s="10"/>
    </row>
    <row r="194" spans="1:14" x14ac:dyDescent="0.25">
      <c r="A194" s="10"/>
      <c r="B194" s="14" t="str">
        <f t="shared" ca="1" si="25"/>
        <v/>
      </c>
      <c r="C194" s="14" t="str">
        <f ca="1">IF(I193&lt;&gt;Variables!$B$1,IF(H193&lt;&gt;0,C193,I193),"")</f>
        <v/>
      </c>
      <c r="D194" s="29" t="str">
        <f t="shared" ca="1" si="22"/>
        <v/>
      </c>
      <c r="E194" s="29" t="str">
        <f t="shared" ca="1" si="23"/>
        <v/>
      </c>
      <c r="F194" s="29" t="str">
        <f ca="1">IF(C194&lt;&gt;"",IF(OR(VLOOKUP(C194,$C$3:$L$6,5,0)=Variables!$B$5,B194&gt;VLOOKUP(C194,$C$3:$L$6,8,0)),-D194*VLOOKUP(C194,$C$3:$L$6,6,0)/12,0),"")</f>
        <v/>
      </c>
      <c r="G194" s="29" t="str">
        <f ca="1">IF(I194&lt;&gt;Variables!$B$1,IF(C194&lt;&gt;"",$I$9-E194-F194,""),-D194)</f>
        <v/>
      </c>
      <c r="H194" s="29" t="str">
        <f t="shared" ca="1" si="26"/>
        <v/>
      </c>
      <c r="I194" s="31" t="str">
        <f ca="1">IF(C194&lt;&gt;"",IF(D194+$I$9-E194-F194&gt;=0,IF(ISERROR(INDEX($C$3:$C$6,MATCH(C194,$C$3:$C$6,0)+1,0)),Variables!$B$1,INDEX($C$3:$C$6,MATCH(C194,$C$3:$C$6,0)+1,0)),""),"")</f>
        <v/>
      </c>
      <c r="J194" s="29" t="str">
        <f ca="1">IF(ISERROR(VLOOKUP(I194,$C$3:$L$6,5,0)),"",IF(OR(VLOOKUP(I194,$C$3:$L$6,5,0)=Variables!$B$5,B194&gt;VLOOKUP(I194,$C$3:$L$6,8,0)),IF(VLOOKUP(I194,$C$3:$L$6,5,0)=Variables!$B$5,((YEAR(B194)-YEAR($B$12))*12+MONTH(B194)-MONTH($B$12)),((YEAR(B194)-YEAR(VLOOKUP(I194,$C$3:$L$6,8,0)))*12+MONTH(B194)-MONTH(VLOOKUP(I194,$C$3:$L$6,8,0))))*(VLOOKUP(I194,$C$3:$L$6,10,0)*VLOOKUP(I194,$C$3:$L$6,6,0)/12),0))</f>
        <v/>
      </c>
      <c r="K194" s="29" t="str">
        <f ca="1">IF(C194&lt;&gt;"",IF(I194&lt;&gt;"",IF(ISERROR(VLOOKUP(I194,$C$3:$L$6,10,0)),"",VLOOKUP(I194,$C$3:$L$6,10,0)+J194+IF(OR(VLOOKUP(I194,$C$3:$L$6,5,0)=Variables!$B$5,B194&gt;VLOOKUP(I194,$C$3:$L$6,8,0)),IF(VLOOKUP(I194,$C$3:$L$6,5,0)=Variables!$B$5,((YEAR(B194)-YEAR($B$12))*12+MONTH(B194)-MONTH($B$12)),((YEAR(B194)-YEAR(VLOOKUP(I194,$C$3:$L$6,8,0)))*12+MONTH(B194)-MONTH(VLOOKUP(I194,$C$3:$L$6,8,0))))*VLOOKUP(I194,$C$3:$L$6,7,0),0)),""),"")</f>
        <v/>
      </c>
      <c r="L194" s="29" t="str">
        <f t="shared" ca="1" si="24"/>
        <v/>
      </c>
      <c r="M194" s="10"/>
      <c r="N194" s="10"/>
    </row>
    <row r="195" spans="1:14" x14ac:dyDescent="0.25">
      <c r="A195" s="10"/>
      <c r="B195" s="14" t="str">
        <f t="shared" ca="1" si="25"/>
        <v/>
      </c>
      <c r="C195" s="14" t="str">
        <f ca="1">IF(I194&lt;&gt;Variables!$B$1,IF(H194&lt;&gt;0,C194,I194),"")</f>
        <v/>
      </c>
      <c r="D195" s="29" t="str">
        <f t="shared" ca="1" si="22"/>
        <v/>
      </c>
      <c r="E195" s="29" t="str">
        <f t="shared" ca="1" si="23"/>
        <v/>
      </c>
      <c r="F195" s="29" t="str">
        <f ca="1">IF(C195&lt;&gt;"",IF(OR(VLOOKUP(C195,$C$3:$L$6,5,0)=Variables!$B$5,B195&gt;VLOOKUP(C195,$C$3:$L$6,8,0)),-D195*VLOOKUP(C195,$C$3:$L$6,6,0)/12,0),"")</f>
        <v/>
      </c>
      <c r="G195" s="29" t="str">
        <f ca="1">IF(I195&lt;&gt;Variables!$B$1,IF(C195&lt;&gt;"",$I$9-E195-F195,""),-D195)</f>
        <v/>
      </c>
      <c r="H195" s="29" t="str">
        <f t="shared" ca="1" si="26"/>
        <v/>
      </c>
      <c r="I195" s="31" t="str">
        <f ca="1">IF(C195&lt;&gt;"",IF(D195+$I$9-E195-F195&gt;=0,IF(ISERROR(INDEX($C$3:$C$6,MATCH(C195,$C$3:$C$6,0)+1,0)),Variables!$B$1,INDEX($C$3:$C$6,MATCH(C195,$C$3:$C$6,0)+1,0)),""),"")</f>
        <v/>
      </c>
      <c r="J195" s="29" t="str">
        <f ca="1">IF(ISERROR(VLOOKUP(I195,$C$3:$L$6,5,0)),"",IF(OR(VLOOKUP(I195,$C$3:$L$6,5,0)=Variables!$B$5,B195&gt;VLOOKUP(I195,$C$3:$L$6,8,0)),IF(VLOOKUP(I195,$C$3:$L$6,5,0)=Variables!$B$5,((YEAR(B195)-YEAR($B$12))*12+MONTH(B195)-MONTH($B$12)),((YEAR(B195)-YEAR(VLOOKUP(I195,$C$3:$L$6,8,0)))*12+MONTH(B195)-MONTH(VLOOKUP(I195,$C$3:$L$6,8,0))))*(VLOOKUP(I195,$C$3:$L$6,10,0)*VLOOKUP(I195,$C$3:$L$6,6,0)/12),0))</f>
        <v/>
      </c>
      <c r="K195" s="29" t="str">
        <f ca="1">IF(C195&lt;&gt;"",IF(I195&lt;&gt;"",IF(ISERROR(VLOOKUP(I195,$C$3:$L$6,10,0)),"",VLOOKUP(I195,$C$3:$L$6,10,0)+J195+IF(OR(VLOOKUP(I195,$C$3:$L$6,5,0)=Variables!$B$5,B195&gt;VLOOKUP(I195,$C$3:$L$6,8,0)),IF(VLOOKUP(I195,$C$3:$L$6,5,0)=Variables!$B$5,((YEAR(B195)-YEAR($B$12))*12+MONTH(B195)-MONTH($B$12)),((YEAR(B195)-YEAR(VLOOKUP(I195,$C$3:$L$6,8,0)))*12+MONTH(B195)-MONTH(VLOOKUP(I195,$C$3:$L$6,8,0))))*VLOOKUP(I195,$C$3:$L$6,7,0),0)),""),"")</f>
        <v/>
      </c>
      <c r="L195" s="29" t="str">
        <f t="shared" ca="1" si="24"/>
        <v/>
      </c>
      <c r="M195" s="10"/>
      <c r="N195" s="10"/>
    </row>
    <row r="196" spans="1:14" x14ac:dyDescent="0.25">
      <c r="A196" s="10"/>
      <c r="B196" s="14" t="str">
        <f t="shared" ca="1" si="25"/>
        <v/>
      </c>
      <c r="C196" s="14" t="str">
        <f ca="1">IF(I195&lt;&gt;Variables!$B$1,IF(H195&lt;&gt;0,C195,I195),"")</f>
        <v/>
      </c>
      <c r="D196" s="29" t="str">
        <f t="shared" ca="1" si="22"/>
        <v/>
      </c>
      <c r="E196" s="29" t="str">
        <f t="shared" ca="1" si="23"/>
        <v/>
      </c>
      <c r="F196" s="29" t="str">
        <f ca="1">IF(C196&lt;&gt;"",IF(OR(VLOOKUP(C196,$C$3:$L$6,5,0)=Variables!$B$5,B196&gt;VLOOKUP(C196,$C$3:$L$6,8,0)),-D196*VLOOKUP(C196,$C$3:$L$6,6,0)/12,0),"")</f>
        <v/>
      </c>
      <c r="G196" s="29" t="str">
        <f ca="1">IF(I196&lt;&gt;Variables!$B$1,IF(C196&lt;&gt;"",$I$9-E196-F196,""),-D196)</f>
        <v/>
      </c>
      <c r="H196" s="29" t="str">
        <f t="shared" ca="1" si="26"/>
        <v/>
      </c>
      <c r="I196" s="31" t="str">
        <f ca="1">IF(C196&lt;&gt;"",IF(D196+$I$9-E196-F196&gt;=0,IF(ISERROR(INDEX($C$3:$C$6,MATCH(C196,$C$3:$C$6,0)+1,0)),Variables!$B$1,INDEX($C$3:$C$6,MATCH(C196,$C$3:$C$6,0)+1,0)),""),"")</f>
        <v/>
      </c>
      <c r="J196" s="29" t="str">
        <f ca="1">IF(ISERROR(VLOOKUP(I196,$C$3:$L$6,5,0)),"",IF(OR(VLOOKUP(I196,$C$3:$L$6,5,0)=Variables!$B$5,B196&gt;VLOOKUP(I196,$C$3:$L$6,8,0)),IF(VLOOKUP(I196,$C$3:$L$6,5,0)=Variables!$B$5,((YEAR(B196)-YEAR($B$12))*12+MONTH(B196)-MONTH($B$12)),((YEAR(B196)-YEAR(VLOOKUP(I196,$C$3:$L$6,8,0)))*12+MONTH(B196)-MONTH(VLOOKUP(I196,$C$3:$L$6,8,0))))*(VLOOKUP(I196,$C$3:$L$6,10,0)*VLOOKUP(I196,$C$3:$L$6,6,0)/12),0))</f>
        <v/>
      </c>
      <c r="K196" s="29" t="str">
        <f ca="1">IF(C196&lt;&gt;"",IF(I196&lt;&gt;"",IF(ISERROR(VLOOKUP(I196,$C$3:$L$6,10,0)),"",VLOOKUP(I196,$C$3:$L$6,10,0)+J196+IF(OR(VLOOKUP(I196,$C$3:$L$6,5,0)=Variables!$B$5,B196&gt;VLOOKUP(I196,$C$3:$L$6,8,0)),IF(VLOOKUP(I196,$C$3:$L$6,5,0)=Variables!$B$5,((YEAR(B196)-YEAR($B$12))*12+MONTH(B196)-MONTH($B$12)),((YEAR(B196)-YEAR(VLOOKUP(I196,$C$3:$L$6,8,0)))*12+MONTH(B196)-MONTH(VLOOKUP(I196,$C$3:$L$6,8,0))))*VLOOKUP(I196,$C$3:$L$6,7,0),0)),""),"")</f>
        <v/>
      </c>
      <c r="L196" s="29" t="str">
        <f t="shared" ca="1" si="24"/>
        <v/>
      </c>
      <c r="M196" s="10"/>
      <c r="N196" s="10"/>
    </row>
    <row r="197" spans="1:14" x14ac:dyDescent="0.25">
      <c r="A197" s="10"/>
      <c r="B197" s="14" t="str">
        <f t="shared" ca="1" si="25"/>
        <v/>
      </c>
      <c r="C197" s="14" t="str">
        <f ca="1">IF(I196&lt;&gt;Variables!$B$1,IF(H196&lt;&gt;0,C196,I196),"")</f>
        <v/>
      </c>
      <c r="D197" s="29" t="str">
        <f t="shared" ca="1" si="22"/>
        <v/>
      </c>
      <c r="E197" s="29" t="str">
        <f t="shared" ca="1" si="23"/>
        <v/>
      </c>
      <c r="F197" s="29" t="str">
        <f ca="1">IF(C197&lt;&gt;"",IF(OR(VLOOKUP(C197,$C$3:$L$6,5,0)=Variables!$B$5,B197&gt;VLOOKUP(C197,$C$3:$L$6,8,0)),-D197*VLOOKUP(C197,$C$3:$L$6,6,0)/12,0),"")</f>
        <v/>
      </c>
      <c r="G197" s="29" t="str">
        <f ca="1">IF(I197&lt;&gt;Variables!$B$1,IF(C197&lt;&gt;"",$I$9-E197-F197,""),-D197)</f>
        <v/>
      </c>
      <c r="H197" s="29" t="str">
        <f t="shared" ca="1" si="26"/>
        <v/>
      </c>
      <c r="I197" s="31" t="str">
        <f ca="1">IF(C197&lt;&gt;"",IF(D197+$I$9-E197-F197&gt;=0,IF(ISERROR(INDEX($C$3:$C$6,MATCH(C197,$C$3:$C$6,0)+1,0)),Variables!$B$1,INDEX($C$3:$C$6,MATCH(C197,$C$3:$C$6,0)+1,0)),""),"")</f>
        <v/>
      </c>
      <c r="J197" s="29" t="str">
        <f ca="1">IF(ISERROR(VLOOKUP(I197,$C$3:$L$6,5,0)),"",IF(OR(VLOOKUP(I197,$C$3:$L$6,5,0)=Variables!$B$5,B197&gt;VLOOKUP(I197,$C$3:$L$6,8,0)),IF(VLOOKUP(I197,$C$3:$L$6,5,0)=Variables!$B$5,((YEAR(B197)-YEAR($B$12))*12+MONTH(B197)-MONTH($B$12)),((YEAR(B197)-YEAR(VLOOKUP(I197,$C$3:$L$6,8,0)))*12+MONTH(B197)-MONTH(VLOOKUP(I197,$C$3:$L$6,8,0))))*(VLOOKUP(I197,$C$3:$L$6,10,0)*VLOOKUP(I197,$C$3:$L$6,6,0)/12),0))</f>
        <v/>
      </c>
      <c r="K197" s="29" t="str">
        <f ca="1">IF(C197&lt;&gt;"",IF(I197&lt;&gt;"",IF(ISERROR(VLOOKUP(I197,$C$3:$L$6,10,0)),"",VLOOKUP(I197,$C$3:$L$6,10,0)+J197+IF(OR(VLOOKUP(I197,$C$3:$L$6,5,0)=Variables!$B$5,B197&gt;VLOOKUP(I197,$C$3:$L$6,8,0)),IF(VLOOKUP(I197,$C$3:$L$6,5,0)=Variables!$B$5,((YEAR(B197)-YEAR($B$12))*12+MONTH(B197)-MONTH($B$12)),((YEAR(B197)-YEAR(VLOOKUP(I197,$C$3:$L$6,8,0)))*12+MONTH(B197)-MONTH(VLOOKUP(I197,$C$3:$L$6,8,0))))*VLOOKUP(I197,$C$3:$L$6,7,0),0)),""),"")</f>
        <v/>
      </c>
      <c r="L197" s="29" t="str">
        <f t="shared" ca="1" si="24"/>
        <v/>
      </c>
      <c r="M197" s="10"/>
      <c r="N197" s="10"/>
    </row>
    <row r="198" spans="1:14" x14ac:dyDescent="0.25">
      <c r="A198" s="10"/>
      <c r="B198" s="14" t="str">
        <f t="shared" ca="1" si="25"/>
        <v/>
      </c>
      <c r="C198" s="14" t="str">
        <f ca="1">IF(I197&lt;&gt;Variables!$B$1,IF(H197&lt;&gt;0,C197,I197),"")</f>
        <v/>
      </c>
      <c r="D198" s="29" t="str">
        <f t="shared" ca="1" si="22"/>
        <v/>
      </c>
      <c r="E198" s="29" t="str">
        <f t="shared" ca="1" si="23"/>
        <v/>
      </c>
      <c r="F198" s="29" t="str">
        <f ca="1">IF(C198&lt;&gt;"",IF(OR(VLOOKUP(C198,$C$3:$L$6,5,0)=Variables!$B$5,B198&gt;VLOOKUP(C198,$C$3:$L$6,8,0)),-D198*VLOOKUP(C198,$C$3:$L$6,6,0)/12,0),"")</f>
        <v/>
      </c>
      <c r="G198" s="29" t="str">
        <f ca="1">IF(I198&lt;&gt;Variables!$B$1,IF(C198&lt;&gt;"",$I$9-E198-F198,""),-D198)</f>
        <v/>
      </c>
      <c r="H198" s="29" t="str">
        <f t="shared" ca="1" si="26"/>
        <v/>
      </c>
      <c r="I198" s="31" t="str">
        <f ca="1">IF(C198&lt;&gt;"",IF(D198+$I$9-E198-F198&gt;=0,IF(ISERROR(INDEX($C$3:$C$6,MATCH(C198,$C$3:$C$6,0)+1,0)),Variables!$B$1,INDEX($C$3:$C$6,MATCH(C198,$C$3:$C$6,0)+1,0)),""),"")</f>
        <v/>
      </c>
      <c r="J198" s="29" t="str">
        <f ca="1">IF(ISERROR(VLOOKUP(I198,$C$3:$L$6,5,0)),"",IF(OR(VLOOKUP(I198,$C$3:$L$6,5,0)=Variables!$B$5,B198&gt;VLOOKUP(I198,$C$3:$L$6,8,0)),IF(VLOOKUP(I198,$C$3:$L$6,5,0)=Variables!$B$5,((YEAR(B198)-YEAR($B$12))*12+MONTH(B198)-MONTH($B$12)),((YEAR(B198)-YEAR(VLOOKUP(I198,$C$3:$L$6,8,0)))*12+MONTH(B198)-MONTH(VLOOKUP(I198,$C$3:$L$6,8,0))))*(VLOOKUP(I198,$C$3:$L$6,10,0)*VLOOKUP(I198,$C$3:$L$6,6,0)/12),0))</f>
        <v/>
      </c>
      <c r="K198" s="29" t="str">
        <f ca="1">IF(C198&lt;&gt;"",IF(I198&lt;&gt;"",IF(ISERROR(VLOOKUP(I198,$C$3:$L$6,10,0)),"",VLOOKUP(I198,$C$3:$L$6,10,0)+J198+IF(OR(VLOOKUP(I198,$C$3:$L$6,5,0)=Variables!$B$5,B198&gt;VLOOKUP(I198,$C$3:$L$6,8,0)),IF(VLOOKUP(I198,$C$3:$L$6,5,0)=Variables!$B$5,((YEAR(B198)-YEAR($B$12))*12+MONTH(B198)-MONTH($B$12)),((YEAR(B198)-YEAR(VLOOKUP(I198,$C$3:$L$6,8,0)))*12+MONTH(B198)-MONTH(VLOOKUP(I198,$C$3:$L$6,8,0))))*VLOOKUP(I198,$C$3:$L$6,7,0),0)),""),"")</f>
        <v/>
      </c>
      <c r="L198" s="29" t="str">
        <f t="shared" ca="1" si="24"/>
        <v/>
      </c>
      <c r="M198" s="10"/>
      <c r="N198" s="10"/>
    </row>
    <row r="199" spans="1:14" x14ac:dyDescent="0.25">
      <c r="A199" s="10"/>
      <c r="B199" s="14" t="str">
        <f t="shared" ca="1" si="25"/>
        <v/>
      </c>
      <c r="C199" s="14" t="str">
        <f ca="1">IF(I198&lt;&gt;Variables!$B$1,IF(H198&lt;&gt;0,C198,I198),"")</f>
        <v/>
      </c>
      <c r="D199" s="29" t="str">
        <f t="shared" ca="1" si="22"/>
        <v/>
      </c>
      <c r="E199" s="29" t="str">
        <f t="shared" ca="1" si="23"/>
        <v/>
      </c>
      <c r="F199" s="29" t="str">
        <f ca="1">IF(C199&lt;&gt;"",IF(OR(VLOOKUP(C199,$C$3:$L$6,5,0)=Variables!$B$5,B199&gt;VLOOKUP(C199,$C$3:$L$6,8,0)),-D199*VLOOKUP(C199,$C$3:$L$6,6,0)/12,0),"")</f>
        <v/>
      </c>
      <c r="G199" s="29" t="str">
        <f ca="1">IF(I199&lt;&gt;Variables!$B$1,IF(C199&lt;&gt;"",$I$9-E199-F199,""),-D199)</f>
        <v/>
      </c>
      <c r="H199" s="29" t="str">
        <f t="shared" ca="1" si="26"/>
        <v/>
      </c>
      <c r="I199" s="31" t="str">
        <f ca="1">IF(C199&lt;&gt;"",IF(D199+$I$9-E199-F199&gt;=0,IF(ISERROR(INDEX($C$3:$C$6,MATCH(C199,$C$3:$C$6,0)+1,0)),Variables!$B$1,INDEX($C$3:$C$6,MATCH(C199,$C$3:$C$6,0)+1,0)),""),"")</f>
        <v/>
      </c>
      <c r="J199" s="29" t="str">
        <f ca="1">IF(ISERROR(VLOOKUP(I199,$C$3:$L$6,5,0)),"",IF(OR(VLOOKUP(I199,$C$3:$L$6,5,0)=Variables!$B$5,B199&gt;VLOOKUP(I199,$C$3:$L$6,8,0)),IF(VLOOKUP(I199,$C$3:$L$6,5,0)=Variables!$B$5,((YEAR(B199)-YEAR($B$12))*12+MONTH(B199)-MONTH($B$12)),((YEAR(B199)-YEAR(VLOOKUP(I199,$C$3:$L$6,8,0)))*12+MONTH(B199)-MONTH(VLOOKUP(I199,$C$3:$L$6,8,0))))*(VLOOKUP(I199,$C$3:$L$6,10,0)*VLOOKUP(I199,$C$3:$L$6,6,0)/12),0))</f>
        <v/>
      </c>
      <c r="K199" s="29" t="str">
        <f ca="1">IF(C199&lt;&gt;"",IF(I199&lt;&gt;"",IF(ISERROR(VLOOKUP(I199,$C$3:$L$6,10,0)),"",VLOOKUP(I199,$C$3:$L$6,10,0)+J199+IF(OR(VLOOKUP(I199,$C$3:$L$6,5,0)=Variables!$B$5,B199&gt;VLOOKUP(I199,$C$3:$L$6,8,0)),IF(VLOOKUP(I199,$C$3:$L$6,5,0)=Variables!$B$5,((YEAR(B199)-YEAR($B$12))*12+MONTH(B199)-MONTH($B$12)),((YEAR(B199)-YEAR(VLOOKUP(I199,$C$3:$L$6,8,0)))*12+MONTH(B199)-MONTH(VLOOKUP(I199,$C$3:$L$6,8,0))))*VLOOKUP(I199,$C$3:$L$6,7,0),0)),""),"")</f>
        <v/>
      </c>
      <c r="L199" s="29" t="str">
        <f t="shared" ca="1" si="24"/>
        <v/>
      </c>
      <c r="M199" s="10"/>
      <c r="N199" s="10"/>
    </row>
    <row r="200" spans="1:14" x14ac:dyDescent="0.25">
      <c r="A200" s="10"/>
      <c r="B200" s="14" t="str">
        <f t="shared" ca="1" si="25"/>
        <v/>
      </c>
      <c r="C200" s="14" t="str">
        <f ca="1">IF(I199&lt;&gt;Variables!$B$1,IF(H199&lt;&gt;0,C199,I199),"")</f>
        <v/>
      </c>
      <c r="D200" s="29" t="str">
        <f t="shared" ca="1" si="22"/>
        <v/>
      </c>
      <c r="E200" s="29" t="str">
        <f t="shared" ca="1" si="23"/>
        <v/>
      </c>
      <c r="F200" s="29" t="str">
        <f ca="1">IF(C200&lt;&gt;"",IF(OR(VLOOKUP(C200,$C$3:$L$6,5,0)=Variables!$B$5,B200&gt;VLOOKUP(C200,$C$3:$L$6,8,0)),-D200*VLOOKUP(C200,$C$3:$L$6,6,0)/12,0),"")</f>
        <v/>
      </c>
      <c r="G200" s="29" t="str">
        <f ca="1">IF(I200&lt;&gt;Variables!$B$1,IF(C200&lt;&gt;"",$I$9-E200-F200,""),-D200)</f>
        <v/>
      </c>
      <c r="H200" s="29" t="str">
        <f t="shared" ca="1" si="26"/>
        <v/>
      </c>
      <c r="I200" s="31" t="str">
        <f ca="1">IF(C200&lt;&gt;"",IF(D200+$I$9-E200-F200&gt;=0,IF(ISERROR(INDEX($C$3:$C$6,MATCH(C200,$C$3:$C$6,0)+1,0)),Variables!$B$1,INDEX($C$3:$C$6,MATCH(C200,$C$3:$C$6,0)+1,0)),""),"")</f>
        <v/>
      </c>
      <c r="J200" s="29" t="str">
        <f ca="1">IF(ISERROR(VLOOKUP(I200,$C$3:$L$6,5,0)),"",IF(OR(VLOOKUP(I200,$C$3:$L$6,5,0)=Variables!$B$5,B200&gt;VLOOKUP(I200,$C$3:$L$6,8,0)),IF(VLOOKUP(I200,$C$3:$L$6,5,0)=Variables!$B$5,((YEAR(B200)-YEAR($B$12))*12+MONTH(B200)-MONTH($B$12)),((YEAR(B200)-YEAR(VLOOKUP(I200,$C$3:$L$6,8,0)))*12+MONTH(B200)-MONTH(VLOOKUP(I200,$C$3:$L$6,8,0))))*(VLOOKUP(I200,$C$3:$L$6,10,0)*VLOOKUP(I200,$C$3:$L$6,6,0)/12),0))</f>
        <v/>
      </c>
      <c r="K200" s="29" t="str">
        <f ca="1">IF(C200&lt;&gt;"",IF(I200&lt;&gt;"",IF(ISERROR(VLOOKUP(I200,$C$3:$L$6,10,0)),"",VLOOKUP(I200,$C$3:$L$6,10,0)+J200+IF(OR(VLOOKUP(I200,$C$3:$L$6,5,0)=Variables!$B$5,B200&gt;VLOOKUP(I200,$C$3:$L$6,8,0)),IF(VLOOKUP(I200,$C$3:$L$6,5,0)=Variables!$B$5,((YEAR(B200)-YEAR($B$12))*12+MONTH(B200)-MONTH($B$12)),((YEAR(B200)-YEAR(VLOOKUP(I200,$C$3:$L$6,8,0)))*12+MONTH(B200)-MONTH(VLOOKUP(I200,$C$3:$L$6,8,0))))*VLOOKUP(I200,$C$3:$L$6,7,0),0)),""),"")</f>
        <v/>
      </c>
      <c r="L200" s="29" t="str">
        <f t="shared" ca="1" si="24"/>
        <v/>
      </c>
      <c r="M200" s="10"/>
      <c r="N200" s="10"/>
    </row>
    <row r="201" spans="1:14" x14ac:dyDescent="0.25">
      <c r="A201" s="10"/>
      <c r="B201" s="14" t="str">
        <f t="shared" ca="1" si="25"/>
        <v/>
      </c>
      <c r="C201" s="14" t="str">
        <f ca="1">IF(I200&lt;&gt;Variables!$B$1,IF(H200&lt;&gt;0,C200,I200),"")</f>
        <v/>
      </c>
      <c r="D201" s="29" t="str">
        <f t="shared" ca="1" si="22"/>
        <v/>
      </c>
      <c r="E201" s="29" t="str">
        <f t="shared" ca="1" si="23"/>
        <v/>
      </c>
      <c r="F201" s="29" t="str">
        <f ca="1">IF(C201&lt;&gt;"",IF(OR(VLOOKUP(C201,$C$3:$L$6,5,0)=Variables!$B$5,B201&gt;VLOOKUP(C201,$C$3:$L$6,8,0)),-D201*VLOOKUP(C201,$C$3:$L$6,6,0)/12,0),"")</f>
        <v/>
      </c>
      <c r="G201" s="29" t="str">
        <f ca="1">IF(I201&lt;&gt;Variables!$B$1,IF(C201&lt;&gt;"",$I$9-E201-F201,""),-D201)</f>
        <v/>
      </c>
      <c r="H201" s="29" t="str">
        <f t="shared" ca="1" si="26"/>
        <v/>
      </c>
      <c r="I201" s="31" t="str">
        <f ca="1">IF(C201&lt;&gt;"",IF(D201+$I$9-E201-F201&gt;=0,IF(ISERROR(INDEX($C$3:$C$6,MATCH(C201,$C$3:$C$6,0)+1,0)),Variables!$B$1,INDEX($C$3:$C$6,MATCH(C201,$C$3:$C$6,0)+1,0)),""),"")</f>
        <v/>
      </c>
      <c r="J201" s="29" t="str">
        <f ca="1">IF(ISERROR(VLOOKUP(I201,$C$3:$L$6,5,0)),"",IF(OR(VLOOKUP(I201,$C$3:$L$6,5,0)=Variables!$B$5,B201&gt;VLOOKUP(I201,$C$3:$L$6,8,0)),IF(VLOOKUP(I201,$C$3:$L$6,5,0)=Variables!$B$5,((YEAR(B201)-YEAR($B$12))*12+MONTH(B201)-MONTH($B$12)),((YEAR(B201)-YEAR(VLOOKUP(I201,$C$3:$L$6,8,0)))*12+MONTH(B201)-MONTH(VLOOKUP(I201,$C$3:$L$6,8,0))))*(VLOOKUP(I201,$C$3:$L$6,10,0)*VLOOKUP(I201,$C$3:$L$6,6,0)/12),0))</f>
        <v/>
      </c>
      <c r="K201" s="29" t="str">
        <f ca="1">IF(C201&lt;&gt;"",IF(I201&lt;&gt;"",IF(ISERROR(VLOOKUP(I201,$C$3:$L$6,10,0)),"",VLOOKUP(I201,$C$3:$L$6,10,0)+J201+IF(OR(VLOOKUP(I201,$C$3:$L$6,5,0)=Variables!$B$5,B201&gt;VLOOKUP(I201,$C$3:$L$6,8,0)),IF(VLOOKUP(I201,$C$3:$L$6,5,0)=Variables!$B$5,((YEAR(B201)-YEAR($B$12))*12+MONTH(B201)-MONTH($B$12)),((YEAR(B201)-YEAR(VLOOKUP(I201,$C$3:$L$6,8,0)))*12+MONTH(B201)-MONTH(VLOOKUP(I201,$C$3:$L$6,8,0))))*VLOOKUP(I201,$C$3:$L$6,7,0),0)),""),"")</f>
        <v/>
      </c>
      <c r="L201" s="29" t="str">
        <f t="shared" ca="1" si="24"/>
        <v/>
      </c>
      <c r="M201" s="10"/>
      <c r="N201" s="10"/>
    </row>
    <row r="202" spans="1:14" x14ac:dyDescent="0.25">
      <c r="A202" s="10"/>
      <c r="B202" s="14" t="str">
        <f t="shared" ca="1" si="25"/>
        <v/>
      </c>
      <c r="C202" s="14" t="str">
        <f ca="1">IF(I201&lt;&gt;Variables!$B$1,IF(H201&lt;&gt;0,C201,I201),"")</f>
        <v/>
      </c>
      <c r="D202" s="29" t="str">
        <f t="shared" ca="1" si="22"/>
        <v/>
      </c>
      <c r="E202" s="29" t="str">
        <f t="shared" ca="1" si="23"/>
        <v/>
      </c>
      <c r="F202" s="29" t="str">
        <f ca="1">IF(C202&lt;&gt;"",IF(OR(VLOOKUP(C202,$C$3:$L$6,5,0)=Variables!$B$5,B202&gt;VLOOKUP(C202,$C$3:$L$6,8,0)),-D202*VLOOKUP(C202,$C$3:$L$6,6,0)/12,0),"")</f>
        <v/>
      </c>
      <c r="G202" s="29" t="str">
        <f ca="1">IF(I202&lt;&gt;Variables!$B$1,IF(C202&lt;&gt;"",$I$9-E202-F202,""),-D202)</f>
        <v/>
      </c>
      <c r="H202" s="29" t="str">
        <f t="shared" ca="1" si="26"/>
        <v/>
      </c>
      <c r="I202" s="31" t="str">
        <f ca="1">IF(C202&lt;&gt;"",IF(D202+$I$9-E202-F202&gt;=0,IF(ISERROR(INDEX($C$3:$C$6,MATCH(C202,$C$3:$C$6,0)+1,0)),Variables!$B$1,INDEX($C$3:$C$6,MATCH(C202,$C$3:$C$6,0)+1,0)),""),"")</f>
        <v/>
      </c>
      <c r="J202" s="29" t="str">
        <f ca="1">IF(ISERROR(VLOOKUP(I202,$C$3:$L$6,5,0)),"",IF(OR(VLOOKUP(I202,$C$3:$L$6,5,0)=Variables!$B$5,B202&gt;VLOOKUP(I202,$C$3:$L$6,8,0)),IF(VLOOKUP(I202,$C$3:$L$6,5,0)=Variables!$B$5,((YEAR(B202)-YEAR($B$12))*12+MONTH(B202)-MONTH($B$12)),((YEAR(B202)-YEAR(VLOOKUP(I202,$C$3:$L$6,8,0)))*12+MONTH(B202)-MONTH(VLOOKUP(I202,$C$3:$L$6,8,0))))*(VLOOKUP(I202,$C$3:$L$6,10,0)*VLOOKUP(I202,$C$3:$L$6,6,0)/12),0))</f>
        <v/>
      </c>
      <c r="K202" s="29" t="str">
        <f ca="1">IF(C202&lt;&gt;"",IF(I202&lt;&gt;"",IF(ISERROR(VLOOKUP(I202,$C$3:$L$6,10,0)),"",VLOOKUP(I202,$C$3:$L$6,10,0)+J202+IF(OR(VLOOKUP(I202,$C$3:$L$6,5,0)=Variables!$B$5,B202&gt;VLOOKUP(I202,$C$3:$L$6,8,0)),IF(VLOOKUP(I202,$C$3:$L$6,5,0)=Variables!$B$5,((YEAR(B202)-YEAR($B$12))*12+MONTH(B202)-MONTH($B$12)),((YEAR(B202)-YEAR(VLOOKUP(I202,$C$3:$L$6,8,0)))*12+MONTH(B202)-MONTH(VLOOKUP(I202,$C$3:$L$6,8,0))))*VLOOKUP(I202,$C$3:$L$6,7,0),0)),""),"")</f>
        <v/>
      </c>
      <c r="L202" s="29" t="str">
        <f t="shared" ca="1" si="24"/>
        <v/>
      </c>
      <c r="M202" s="10"/>
      <c r="N202" s="10"/>
    </row>
    <row r="203" spans="1:14" x14ac:dyDescent="0.25">
      <c r="A203" s="10"/>
      <c r="B203" s="14" t="str">
        <f t="shared" ca="1" si="25"/>
        <v/>
      </c>
      <c r="C203" s="14" t="str">
        <f ca="1">IF(I202&lt;&gt;Variables!$B$1,IF(H202&lt;&gt;0,C202,I202),"")</f>
        <v/>
      </c>
      <c r="D203" s="29" t="str">
        <f t="shared" ca="1" si="22"/>
        <v/>
      </c>
      <c r="E203" s="29" t="str">
        <f t="shared" ca="1" si="23"/>
        <v/>
      </c>
      <c r="F203" s="29" t="str">
        <f ca="1">IF(C203&lt;&gt;"",IF(OR(VLOOKUP(C203,$C$3:$L$6,5,0)=Variables!$B$5,B203&gt;VLOOKUP(C203,$C$3:$L$6,8,0)),-D203*VLOOKUP(C203,$C$3:$L$6,6,0)/12,0),"")</f>
        <v/>
      </c>
      <c r="G203" s="29" t="str">
        <f ca="1">IF(I203&lt;&gt;Variables!$B$1,IF(C203&lt;&gt;"",$I$9-E203-F203,""),-D203)</f>
        <v/>
      </c>
      <c r="H203" s="29" t="str">
        <f t="shared" ca="1" si="26"/>
        <v/>
      </c>
      <c r="I203" s="31" t="str">
        <f ca="1">IF(C203&lt;&gt;"",IF(D203+$I$9-E203-F203&gt;=0,IF(ISERROR(INDEX($C$3:$C$6,MATCH(C203,$C$3:$C$6,0)+1,0)),Variables!$B$1,INDEX($C$3:$C$6,MATCH(C203,$C$3:$C$6,0)+1,0)),""),"")</f>
        <v/>
      </c>
      <c r="J203" s="29" t="str">
        <f ca="1">IF(ISERROR(VLOOKUP(I203,$C$3:$L$6,5,0)),"",IF(OR(VLOOKUP(I203,$C$3:$L$6,5,0)=Variables!$B$5,B203&gt;VLOOKUP(I203,$C$3:$L$6,8,0)),IF(VLOOKUP(I203,$C$3:$L$6,5,0)=Variables!$B$5,((YEAR(B203)-YEAR($B$12))*12+MONTH(B203)-MONTH($B$12)),((YEAR(B203)-YEAR(VLOOKUP(I203,$C$3:$L$6,8,0)))*12+MONTH(B203)-MONTH(VLOOKUP(I203,$C$3:$L$6,8,0))))*(VLOOKUP(I203,$C$3:$L$6,10,0)*VLOOKUP(I203,$C$3:$L$6,6,0)/12),0))</f>
        <v/>
      </c>
      <c r="K203" s="29" t="str">
        <f ca="1">IF(C203&lt;&gt;"",IF(I203&lt;&gt;"",IF(ISERROR(VLOOKUP(I203,$C$3:$L$6,10,0)),"",VLOOKUP(I203,$C$3:$L$6,10,0)+J203+IF(OR(VLOOKUP(I203,$C$3:$L$6,5,0)=Variables!$B$5,B203&gt;VLOOKUP(I203,$C$3:$L$6,8,0)),IF(VLOOKUP(I203,$C$3:$L$6,5,0)=Variables!$B$5,((YEAR(B203)-YEAR($B$12))*12+MONTH(B203)-MONTH($B$12)),((YEAR(B203)-YEAR(VLOOKUP(I203,$C$3:$L$6,8,0)))*12+MONTH(B203)-MONTH(VLOOKUP(I203,$C$3:$L$6,8,0))))*VLOOKUP(I203,$C$3:$L$6,7,0),0)),""),"")</f>
        <v/>
      </c>
      <c r="L203" s="29" t="str">
        <f t="shared" ca="1" si="24"/>
        <v/>
      </c>
      <c r="M203" s="10"/>
      <c r="N203" s="10"/>
    </row>
    <row r="204" spans="1:14" x14ac:dyDescent="0.25">
      <c r="A204" s="10"/>
      <c r="B204" s="14" t="str">
        <f t="shared" ca="1" si="25"/>
        <v/>
      </c>
      <c r="C204" s="14" t="str">
        <f ca="1">IF(I203&lt;&gt;Variables!$B$1,IF(H203&lt;&gt;0,C203,I203),"")</f>
        <v/>
      </c>
      <c r="D204" s="29" t="str">
        <f t="shared" ca="1" si="22"/>
        <v/>
      </c>
      <c r="E204" s="29" t="str">
        <f t="shared" ca="1" si="23"/>
        <v/>
      </c>
      <c r="F204" s="29" t="str">
        <f ca="1">IF(C204&lt;&gt;"",IF(OR(VLOOKUP(C204,$C$3:$L$6,5,0)=Variables!$B$5,B204&gt;VLOOKUP(C204,$C$3:$L$6,8,0)),-D204*VLOOKUP(C204,$C$3:$L$6,6,0)/12,0),"")</f>
        <v/>
      </c>
      <c r="G204" s="29" t="str">
        <f ca="1">IF(I204&lt;&gt;Variables!$B$1,IF(C204&lt;&gt;"",$I$9-E204-F204,""),-D204)</f>
        <v/>
      </c>
      <c r="H204" s="29" t="str">
        <f t="shared" ca="1" si="26"/>
        <v/>
      </c>
      <c r="I204" s="31" t="str">
        <f ca="1">IF(C204&lt;&gt;"",IF(D204+$I$9-E204-F204&gt;=0,IF(ISERROR(INDEX($C$3:$C$6,MATCH(C204,$C$3:$C$6,0)+1,0)),Variables!$B$1,INDEX($C$3:$C$6,MATCH(C204,$C$3:$C$6,0)+1,0)),""),"")</f>
        <v/>
      </c>
      <c r="J204" s="29" t="str">
        <f ca="1">IF(ISERROR(VLOOKUP(I204,$C$3:$L$6,5,0)),"",IF(OR(VLOOKUP(I204,$C$3:$L$6,5,0)=Variables!$B$5,B204&gt;VLOOKUP(I204,$C$3:$L$6,8,0)),IF(VLOOKUP(I204,$C$3:$L$6,5,0)=Variables!$B$5,((YEAR(B204)-YEAR($B$12))*12+MONTH(B204)-MONTH($B$12)),((YEAR(B204)-YEAR(VLOOKUP(I204,$C$3:$L$6,8,0)))*12+MONTH(B204)-MONTH(VLOOKUP(I204,$C$3:$L$6,8,0))))*(VLOOKUP(I204,$C$3:$L$6,10,0)*VLOOKUP(I204,$C$3:$L$6,6,0)/12),0))</f>
        <v/>
      </c>
      <c r="K204" s="29" t="str">
        <f ca="1">IF(C204&lt;&gt;"",IF(I204&lt;&gt;"",IF(ISERROR(VLOOKUP(I204,$C$3:$L$6,10,0)),"",VLOOKUP(I204,$C$3:$L$6,10,0)+J204+IF(OR(VLOOKUP(I204,$C$3:$L$6,5,0)=Variables!$B$5,B204&gt;VLOOKUP(I204,$C$3:$L$6,8,0)),IF(VLOOKUP(I204,$C$3:$L$6,5,0)=Variables!$B$5,((YEAR(B204)-YEAR($B$12))*12+MONTH(B204)-MONTH($B$12)),((YEAR(B204)-YEAR(VLOOKUP(I204,$C$3:$L$6,8,0)))*12+MONTH(B204)-MONTH(VLOOKUP(I204,$C$3:$L$6,8,0))))*VLOOKUP(I204,$C$3:$L$6,7,0),0)),""),"")</f>
        <v/>
      </c>
      <c r="L204" s="29" t="str">
        <f t="shared" ca="1" si="24"/>
        <v/>
      </c>
      <c r="M204" s="10"/>
      <c r="N204" s="10"/>
    </row>
    <row r="205" spans="1:14" x14ac:dyDescent="0.25">
      <c r="A205" s="10"/>
      <c r="B205" s="14" t="str">
        <f t="shared" ca="1" si="25"/>
        <v/>
      </c>
      <c r="C205" s="14" t="str">
        <f ca="1">IF(I204&lt;&gt;Variables!$B$1,IF(H204&lt;&gt;0,C204,I204),"")</f>
        <v/>
      </c>
      <c r="D205" s="29" t="str">
        <f t="shared" ca="1" si="22"/>
        <v/>
      </c>
      <c r="E205" s="29" t="str">
        <f t="shared" ca="1" si="23"/>
        <v/>
      </c>
      <c r="F205" s="29" t="str">
        <f ca="1">IF(C205&lt;&gt;"",IF(OR(VLOOKUP(C205,$C$3:$L$6,5,0)=Variables!$B$5,B205&gt;VLOOKUP(C205,$C$3:$L$6,8,0)),-D205*VLOOKUP(C205,$C$3:$L$6,6,0)/12,0),"")</f>
        <v/>
      </c>
      <c r="G205" s="29" t="str">
        <f ca="1">IF(I205&lt;&gt;Variables!$B$1,IF(C205&lt;&gt;"",$I$9-E205-F205,""),-D205)</f>
        <v/>
      </c>
      <c r="H205" s="29" t="str">
        <f t="shared" ca="1" si="26"/>
        <v/>
      </c>
      <c r="I205" s="31" t="str">
        <f ca="1">IF(C205&lt;&gt;"",IF(D205+$I$9-E205-F205&gt;=0,IF(ISERROR(INDEX($C$3:$C$6,MATCH(C205,$C$3:$C$6,0)+1,0)),Variables!$B$1,INDEX($C$3:$C$6,MATCH(C205,$C$3:$C$6,0)+1,0)),""),"")</f>
        <v/>
      </c>
      <c r="J205" s="29" t="str">
        <f ca="1">IF(ISERROR(VLOOKUP(I205,$C$3:$L$6,5,0)),"",IF(OR(VLOOKUP(I205,$C$3:$L$6,5,0)=Variables!$B$5,B205&gt;VLOOKUP(I205,$C$3:$L$6,8,0)),IF(VLOOKUP(I205,$C$3:$L$6,5,0)=Variables!$B$5,((YEAR(B205)-YEAR($B$12))*12+MONTH(B205)-MONTH($B$12)),((YEAR(B205)-YEAR(VLOOKUP(I205,$C$3:$L$6,8,0)))*12+MONTH(B205)-MONTH(VLOOKUP(I205,$C$3:$L$6,8,0))))*(VLOOKUP(I205,$C$3:$L$6,10,0)*VLOOKUP(I205,$C$3:$L$6,6,0)/12),0))</f>
        <v/>
      </c>
      <c r="K205" s="29" t="str">
        <f ca="1">IF(C205&lt;&gt;"",IF(I205&lt;&gt;"",IF(ISERROR(VLOOKUP(I205,$C$3:$L$6,10,0)),"",VLOOKUP(I205,$C$3:$L$6,10,0)+J205+IF(OR(VLOOKUP(I205,$C$3:$L$6,5,0)=Variables!$B$5,B205&gt;VLOOKUP(I205,$C$3:$L$6,8,0)),IF(VLOOKUP(I205,$C$3:$L$6,5,0)=Variables!$B$5,((YEAR(B205)-YEAR($B$12))*12+MONTH(B205)-MONTH($B$12)),((YEAR(B205)-YEAR(VLOOKUP(I205,$C$3:$L$6,8,0)))*12+MONTH(B205)-MONTH(VLOOKUP(I205,$C$3:$L$6,8,0))))*VLOOKUP(I205,$C$3:$L$6,7,0),0)),""),"")</f>
        <v/>
      </c>
      <c r="L205" s="29" t="str">
        <f t="shared" ca="1" si="24"/>
        <v/>
      </c>
      <c r="M205" s="10"/>
      <c r="N205" s="10"/>
    </row>
    <row r="206" spans="1:14" x14ac:dyDescent="0.25">
      <c r="A206" s="10"/>
      <c r="B206" s="14" t="str">
        <f t="shared" ca="1" si="25"/>
        <v/>
      </c>
      <c r="C206" s="14" t="str">
        <f ca="1">IF(I205&lt;&gt;Variables!$B$1,IF(H205&lt;&gt;0,C205,I205),"")</f>
        <v/>
      </c>
      <c r="D206" s="29" t="str">
        <f t="shared" ca="1" si="22"/>
        <v/>
      </c>
      <c r="E206" s="29" t="str">
        <f t="shared" ca="1" si="23"/>
        <v/>
      </c>
      <c r="F206" s="29" t="str">
        <f ca="1">IF(C206&lt;&gt;"",IF(OR(VLOOKUP(C206,$C$3:$L$6,5,0)=Variables!$B$5,B206&gt;VLOOKUP(C206,$C$3:$L$6,8,0)),-D206*VLOOKUP(C206,$C$3:$L$6,6,0)/12,0),"")</f>
        <v/>
      </c>
      <c r="G206" s="29" t="str">
        <f ca="1">IF(I206&lt;&gt;Variables!$B$1,IF(C206&lt;&gt;"",$I$9-E206-F206,""),-D206)</f>
        <v/>
      </c>
      <c r="H206" s="29" t="str">
        <f t="shared" ca="1" si="26"/>
        <v/>
      </c>
      <c r="I206" s="31" t="str">
        <f ca="1">IF(C206&lt;&gt;"",IF(D206+$I$9-E206-F206&gt;=0,IF(ISERROR(INDEX($C$3:$C$6,MATCH(C206,$C$3:$C$6,0)+1,0)),Variables!$B$1,INDEX($C$3:$C$6,MATCH(C206,$C$3:$C$6,0)+1,0)),""),"")</f>
        <v/>
      </c>
      <c r="J206" s="29" t="str">
        <f ca="1">IF(ISERROR(VLOOKUP(I206,$C$3:$L$6,5,0)),"",IF(OR(VLOOKUP(I206,$C$3:$L$6,5,0)=Variables!$B$5,B206&gt;VLOOKUP(I206,$C$3:$L$6,8,0)),IF(VLOOKUP(I206,$C$3:$L$6,5,0)=Variables!$B$5,((YEAR(B206)-YEAR($B$12))*12+MONTH(B206)-MONTH($B$12)),((YEAR(B206)-YEAR(VLOOKUP(I206,$C$3:$L$6,8,0)))*12+MONTH(B206)-MONTH(VLOOKUP(I206,$C$3:$L$6,8,0))))*(VLOOKUP(I206,$C$3:$L$6,10,0)*VLOOKUP(I206,$C$3:$L$6,6,0)/12),0))</f>
        <v/>
      </c>
      <c r="K206" s="29" t="str">
        <f ca="1">IF(C206&lt;&gt;"",IF(I206&lt;&gt;"",IF(ISERROR(VLOOKUP(I206,$C$3:$L$6,10,0)),"",VLOOKUP(I206,$C$3:$L$6,10,0)+J206+IF(OR(VLOOKUP(I206,$C$3:$L$6,5,0)=Variables!$B$5,B206&gt;VLOOKUP(I206,$C$3:$L$6,8,0)),IF(VLOOKUP(I206,$C$3:$L$6,5,0)=Variables!$B$5,((YEAR(B206)-YEAR($B$12))*12+MONTH(B206)-MONTH($B$12)),((YEAR(B206)-YEAR(VLOOKUP(I206,$C$3:$L$6,8,0)))*12+MONTH(B206)-MONTH(VLOOKUP(I206,$C$3:$L$6,8,0))))*VLOOKUP(I206,$C$3:$L$6,7,0),0)),""),"")</f>
        <v/>
      </c>
      <c r="L206" s="29" t="str">
        <f t="shared" ca="1" si="24"/>
        <v/>
      </c>
      <c r="M206" s="10"/>
      <c r="N206" s="10"/>
    </row>
    <row r="207" spans="1:14" x14ac:dyDescent="0.25">
      <c r="A207" s="10"/>
      <c r="B207" s="14" t="str">
        <f t="shared" ca="1" si="25"/>
        <v/>
      </c>
      <c r="C207" s="14" t="str">
        <f ca="1">IF(I206&lt;&gt;Variables!$B$1,IF(H206&lt;&gt;0,C206,I206),"")</f>
        <v/>
      </c>
      <c r="D207" s="29" t="str">
        <f t="shared" ca="1" si="22"/>
        <v/>
      </c>
      <c r="E207" s="29" t="str">
        <f t="shared" ca="1" si="23"/>
        <v/>
      </c>
      <c r="F207" s="29" t="str">
        <f ca="1">IF(C207&lt;&gt;"",IF(OR(VLOOKUP(C207,$C$3:$L$6,5,0)=Variables!$B$5,B207&gt;VLOOKUP(C207,$C$3:$L$6,8,0)),-D207*VLOOKUP(C207,$C$3:$L$6,6,0)/12,0),"")</f>
        <v/>
      </c>
      <c r="G207" s="29" t="str">
        <f ca="1">IF(I207&lt;&gt;Variables!$B$1,IF(C207&lt;&gt;"",$I$9-E207-F207,""),-D207)</f>
        <v/>
      </c>
      <c r="H207" s="29" t="str">
        <f t="shared" ca="1" si="26"/>
        <v/>
      </c>
      <c r="I207" s="31" t="str">
        <f ca="1">IF(C207&lt;&gt;"",IF(D207+$I$9-E207-F207&gt;=0,IF(ISERROR(INDEX($C$3:$C$6,MATCH(C207,$C$3:$C$6,0)+1,0)),Variables!$B$1,INDEX($C$3:$C$6,MATCH(C207,$C$3:$C$6,0)+1,0)),""),"")</f>
        <v/>
      </c>
      <c r="J207" s="29" t="str">
        <f ca="1">IF(ISERROR(VLOOKUP(I207,$C$3:$L$6,5,0)),"",IF(OR(VLOOKUP(I207,$C$3:$L$6,5,0)=Variables!$B$5,B207&gt;VLOOKUP(I207,$C$3:$L$6,8,0)),IF(VLOOKUP(I207,$C$3:$L$6,5,0)=Variables!$B$5,((YEAR(B207)-YEAR($B$12))*12+MONTH(B207)-MONTH($B$12)),((YEAR(B207)-YEAR(VLOOKUP(I207,$C$3:$L$6,8,0)))*12+MONTH(B207)-MONTH(VLOOKUP(I207,$C$3:$L$6,8,0))))*(VLOOKUP(I207,$C$3:$L$6,10,0)*VLOOKUP(I207,$C$3:$L$6,6,0)/12),0))</f>
        <v/>
      </c>
      <c r="K207" s="29" t="str">
        <f ca="1">IF(C207&lt;&gt;"",IF(I207&lt;&gt;"",IF(ISERROR(VLOOKUP(I207,$C$3:$L$6,10,0)),"",VLOOKUP(I207,$C$3:$L$6,10,0)+J207+IF(OR(VLOOKUP(I207,$C$3:$L$6,5,0)=Variables!$B$5,B207&gt;VLOOKUP(I207,$C$3:$L$6,8,0)),IF(VLOOKUP(I207,$C$3:$L$6,5,0)=Variables!$B$5,((YEAR(B207)-YEAR($B$12))*12+MONTH(B207)-MONTH($B$12)),((YEAR(B207)-YEAR(VLOOKUP(I207,$C$3:$L$6,8,0)))*12+MONTH(B207)-MONTH(VLOOKUP(I207,$C$3:$L$6,8,0))))*VLOOKUP(I207,$C$3:$L$6,7,0),0)),""),"")</f>
        <v/>
      </c>
      <c r="L207" s="29" t="str">
        <f t="shared" ca="1" si="24"/>
        <v/>
      </c>
      <c r="M207" s="10"/>
      <c r="N207" s="10"/>
    </row>
    <row r="208" spans="1:14" x14ac:dyDescent="0.25">
      <c r="A208" s="10"/>
      <c r="B208" s="14" t="str">
        <f t="shared" ca="1" si="25"/>
        <v/>
      </c>
      <c r="C208" s="14" t="str">
        <f ca="1">IF(I207&lt;&gt;Variables!$B$1,IF(H207&lt;&gt;0,C207,I207),"")</f>
        <v/>
      </c>
      <c r="D208" s="29" t="str">
        <f t="shared" ca="1" si="22"/>
        <v/>
      </c>
      <c r="E208" s="29" t="str">
        <f t="shared" ca="1" si="23"/>
        <v/>
      </c>
      <c r="F208" s="29" t="str">
        <f ca="1">IF(C208&lt;&gt;"",IF(OR(VLOOKUP(C208,$C$3:$L$6,5,0)=Variables!$B$5,B208&gt;VLOOKUP(C208,$C$3:$L$6,8,0)),-D208*VLOOKUP(C208,$C$3:$L$6,6,0)/12,0),"")</f>
        <v/>
      </c>
      <c r="G208" s="29" t="str">
        <f ca="1">IF(I208&lt;&gt;Variables!$B$1,IF(C208&lt;&gt;"",$I$9-E208-F208,""),-D208)</f>
        <v/>
      </c>
      <c r="H208" s="29" t="str">
        <f t="shared" ca="1" si="26"/>
        <v/>
      </c>
      <c r="I208" s="31" t="str">
        <f ca="1">IF(C208&lt;&gt;"",IF(D208+$I$9-E208-F208&gt;=0,IF(ISERROR(INDEX($C$3:$C$6,MATCH(C208,$C$3:$C$6,0)+1,0)),Variables!$B$1,INDEX($C$3:$C$6,MATCH(C208,$C$3:$C$6,0)+1,0)),""),"")</f>
        <v/>
      </c>
      <c r="J208" s="29" t="str">
        <f ca="1">IF(ISERROR(VLOOKUP(I208,$C$3:$L$6,5,0)),"",IF(OR(VLOOKUP(I208,$C$3:$L$6,5,0)=Variables!$B$5,B208&gt;VLOOKUP(I208,$C$3:$L$6,8,0)),IF(VLOOKUP(I208,$C$3:$L$6,5,0)=Variables!$B$5,((YEAR(B208)-YEAR($B$12))*12+MONTH(B208)-MONTH($B$12)),((YEAR(B208)-YEAR(VLOOKUP(I208,$C$3:$L$6,8,0)))*12+MONTH(B208)-MONTH(VLOOKUP(I208,$C$3:$L$6,8,0))))*(VLOOKUP(I208,$C$3:$L$6,10,0)*VLOOKUP(I208,$C$3:$L$6,6,0)/12),0))</f>
        <v/>
      </c>
      <c r="K208" s="29" t="str">
        <f ca="1">IF(C208&lt;&gt;"",IF(I208&lt;&gt;"",IF(ISERROR(VLOOKUP(I208,$C$3:$L$6,10,0)),"",VLOOKUP(I208,$C$3:$L$6,10,0)+J208+IF(OR(VLOOKUP(I208,$C$3:$L$6,5,0)=Variables!$B$5,B208&gt;VLOOKUP(I208,$C$3:$L$6,8,0)),IF(VLOOKUP(I208,$C$3:$L$6,5,0)=Variables!$B$5,((YEAR(B208)-YEAR($B$12))*12+MONTH(B208)-MONTH($B$12)),((YEAR(B208)-YEAR(VLOOKUP(I208,$C$3:$L$6,8,0)))*12+MONTH(B208)-MONTH(VLOOKUP(I208,$C$3:$L$6,8,0))))*VLOOKUP(I208,$C$3:$L$6,7,0),0)),""),"")</f>
        <v/>
      </c>
      <c r="L208" s="29" t="str">
        <f t="shared" ca="1" si="24"/>
        <v/>
      </c>
      <c r="M208" s="10"/>
      <c r="N208" s="10"/>
    </row>
    <row r="209" spans="1:14" x14ac:dyDescent="0.25">
      <c r="A209" s="10"/>
      <c r="B209" s="14" t="str">
        <f t="shared" ca="1" si="25"/>
        <v/>
      </c>
      <c r="C209" s="14" t="str">
        <f ca="1">IF(I208&lt;&gt;Variables!$B$1,IF(H208&lt;&gt;0,C208,I208),"")</f>
        <v/>
      </c>
      <c r="D209" s="29" t="str">
        <f t="shared" ca="1" si="22"/>
        <v/>
      </c>
      <c r="E209" s="29" t="str">
        <f t="shared" ca="1" si="23"/>
        <v/>
      </c>
      <c r="F209" s="29" t="str">
        <f ca="1">IF(C209&lt;&gt;"",IF(OR(VLOOKUP(C209,$C$3:$L$6,5,0)=Variables!$B$5,B209&gt;VLOOKUP(C209,$C$3:$L$6,8,0)),-D209*VLOOKUP(C209,$C$3:$L$6,6,0)/12,0),"")</f>
        <v/>
      </c>
      <c r="G209" s="29" t="str">
        <f ca="1">IF(I209&lt;&gt;Variables!$B$1,IF(C209&lt;&gt;"",$I$9-E209-F209,""),-D209)</f>
        <v/>
      </c>
      <c r="H209" s="29" t="str">
        <f t="shared" ca="1" si="26"/>
        <v/>
      </c>
      <c r="I209" s="31" t="str">
        <f ca="1">IF(C209&lt;&gt;"",IF(D209+$I$9-E209-F209&gt;=0,IF(ISERROR(INDEX($C$3:$C$6,MATCH(C209,$C$3:$C$6,0)+1,0)),Variables!$B$1,INDEX($C$3:$C$6,MATCH(C209,$C$3:$C$6,0)+1,0)),""),"")</f>
        <v/>
      </c>
      <c r="J209" s="29" t="str">
        <f ca="1">IF(ISERROR(VLOOKUP(I209,$C$3:$L$6,5,0)),"",IF(OR(VLOOKUP(I209,$C$3:$L$6,5,0)=Variables!$B$5,B209&gt;VLOOKUP(I209,$C$3:$L$6,8,0)),IF(VLOOKUP(I209,$C$3:$L$6,5,0)=Variables!$B$5,((YEAR(B209)-YEAR($B$12))*12+MONTH(B209)-MONTH($B$12)),((YEAR(B209)-YEAR(VLOOKUP(I209,$C$3:$L$6,8,0)))*12+MONTH(B209)-MONTH(VLOOKUP(I209,$C$3:$L$6,8,0))))*(VLOOKUP(I209,$C$3:$L$6,10,0)*VLOOKUP(I209,$C$3:$L$6,6,0)/12),0))</f>
        <v/>
      </c>
      <c r="K209" s="29" t="str">
        <f ca="1">IF(C209&lt;&gt;"",IF(I209&lt;&gt;"",IF(ISERROR(VLOOKUP(I209,$C$3:$L$6,10,0)),"",VLOOKUP(I209,$C$3:$L$6,10,0)+J209+IF(OR(VLOOKUP(I209,$C$3:$L$6,5,0)=Variables!$B$5,B209&gt;VLOOKUP(I209,$C$3:$L$6,8,0)),IF(VLOOKUP(I209,$C$3:$L$6,5,0)=Variables!$B$5,((YEAR(B209)-YEAR($B$12))*12+MONTH(B209)-MONTH($B$12)),((YEAR(B209)-YEAR(VLOOKUP(I209,$C$3:$L$6,8,0)))*12+MONTH(B209)-MONTH(VLOOKUP(I209,$C$3:$L$6,8,0))))*VLOOKUP(I209,$C$3:$L$6,7,0),0)),""),"")</f>
        <v/>
      </c>
      <c r="L209" s="29" t="str">
        <f t="shared" ca="1" si="24"/>
        <v/>
      </c>
      <c r="M209" s="10"/>
      <c r="N209" s="10"/>
    </row>
    <row r="210" spans="1:14" x14ac:dyDescent="0.25">
      <c r="A210" s="10"/>
      <c r="B210" s="14" t="str">
        <f t="shared" ca="1" si="25"/>
        <v/>
      </c>
      <c r="C210" s="14" t="str">
        <f ca="1">IF(I209&lt;&gt;Variables!$B$1,IF(H209&lt;&gt;0,C209,I209),"")</f>
        <v/>
      </c>
      <c r="D210" s="29" t="str">
        <f t="shared" ca="1" si="22"/>
        <v/>
      </c>
      <c r="E210" s="29" t="str">
        <f t="shared" ca="1" si="23"/>
        <v/>
      </c>
      <c r="F210" s="29" t="str">
        <f ca="1">IF(C210&lt;&gt;"",IF(OR(VLOOKUP(C210,$C$3:$L$6,5,0)=Variables!$B$5,B210&gt;VLOOKUP(C210,$C$3:$L$6,8,0)),-D210*VLOOKUP(C210,$C$3:$L$6,6,0)/12,0),"")</f>
        <v/>
      </c>
      <c r="G210" s="29" t="str">
        <f ca="1">IF(I210&lt;&gt;Variables!$B$1,IF(C210&lt;&gt;"",$I$9-E210-F210,""),-D210)</f>
        <v/>
      </c>
      <c r="H210" s="29" t="str">
        <f t="shared" ca="1" si="26"/>
        <v/>
      </c>
      <c r="I210" s="31" t="str">
        <f ca="1">IF(C210&lt;&gt;"",IF(D210+$I$9-E210-F210&gt;=0,IF(ISERROR(INDEX($C$3:$C$6,MATCH(C210,$C$3:$C$6,0)+1,0)),Variables!$B$1,INDEX($C$3:$C$6,MATCH(C210,$C$3:$C$6,0)+1,0)),""),"")</f>
        <v/>
      </c>
      <c r="J210" s="29" t="str">
        <f ca="1">IF(ISERROR(VLOOKUP(I210,$C$3:$L$6,5,0)),"",IF(OR(VLOOKUP(I210,$C$3:$L$6,5,0)=Variables!$B$5,B210&gt;VLOOKUP(I210,$C$3:$L$6,8,0)),IF(VLOOKUP(I210,$C$3:$L$6,5,0)=Variables!$B$5,((YEAR(B210)-YEAR($B$12))*12+MONTH(B210)-MONTH($B$12)),((YEAR(B210)-YEAR(VLOOKUP(I210,$C$3:$L$6,8,0)))*12+MONTH(B210)-MONTH(VLOOKUP(I210,$C$3:$L$6,8,0))))*(VLOOKUP(I210,$C$3:$L$6,10,0)*VLOOKUP(I210,$C$3:$L$6,6,0)/12),0))</f>
        <v/>
      </c>
      <c r="K210" s="29" t="str">
        <f ca="1">IF(C210&lt;&gt;"",IF(I210&lt;&gt;"",IF(ISERROR(VLOOKUP(I210,$C$3:$L$6,10,0)),"",VLOOKUP(I210,$C$3:$L$6,10,0)+J210+IF(OR(VLOOKUP(I210,$C$3:$L$6,5,0)=Variables!$B$5,B210&gt;VLOOKUP(I210,$C$3:$L$6,8,0)),IF(VLOOKUP(I210,$C$3:$L$6,5,0)=Variables!$B$5,((YEAR(B210)-YEAR($B$12))*12+MONTH(B210)-MONTH($B$12)),((YEAR(B210)-YEAR(VLOOKUP(I210,$C$3:$L$6,8,0)))*12+MONTH(B210)-MONTH(VLOOKUP(I210,$C$3:$L$6,8,0))))*VLOOKUP(I210,$C$3:$L$6,7,0),0)),""),"")</f>
        <v/>
      </c>
      <c r="L210" s="29" t="str">
        <f t="shared" ca="1" si="24"/>
        <v/>
      </c>
      <c r="M210" s="10"/>
      <c r="N210" s="10"/>
    </row>
    <row r="211" spans="1:14" x14ac:dyDescent="0.25">
      <c r="A211" s="10"/>
      <c r="B211" s="14" t="str">
        <f t="shared" ca="1" si="25"/>
        <v/>
      </c>
      <c r="C211" s="14" t="str">
        <f ca="1">IF(I210&lt;&gt;Variables!$B$1,IF(H210&lt;&gt;0,C210,I210),"")</f>
        <v/>
      </c>
      <c r="D211" s="29" t="str">
        <f t="shared" ca="1" si="22"/>
        <v/>
      </c>
      <c r="E211" s="29" t="str">
        <f t="shared" ca="1" si="23"/>
        <v/>
      </c>
      <c r="F211" s="29" t="str">
        <f ca="1">IF(C211&lt;&gt;"",IF(OR(VLOOKUP(C211,$C$3:$L$6,5,0)=Variables!$B$5,B211&gt;VLOOKUP(C211,$C$3:$L$6,8,0)),-D211*VLOOKUP(C211,$C$3:$L$6,6,0)/12,0),"")</f>
        <v/>
      </c>
      <c r="G211" s="29" t="str">
        <f ca="1">IF(I211&lt;&gt;Variables!$B$1,IF(C211&lt;&gt;"",$I$9-E211-F211,""),-D211)</f>
        <v/>
      </c>
      <c r="H211" s="29" t="str">
        <f t="shared" ca="1" si="26"/>
        <v/>
      </c>
      <c r="I211" s="31" t="str">
        <f ca="1">IF(C211&lt;&gt;"",IF(D211+$I$9-E211-F211&gt;=0,IF(ISERROR(INDEX($C$3:$C$6,MATCH(C211,$C$3:$C$6,0)+1,0)),Variables!$B$1,INDEX($C$3:$C$6,MATCH(C211,$C$3:$C$6,0)+1,0)),""),"")</f>
        <v/>
      </c>
      <c r="J211" s="29" t="str">
        <f ca="1">IF(ISERROR(VLOOKUP(I211,$C$3:$L$6,5,0)),"",IF(OR(VLOOKUP(I211,$C$3:$L$6,5,0)=Variables!$B$5,B211&gt;VLOOKUP(I211,$C$3:$L$6,8,0)),IF(VLOOKUP(I211,$C$3:$L$6,5,0)=Variables!$B$5,((YEAR(B211)-YEAR($B$12))*12+MONTH(B211)-MONTH($B$12)),((YEAR(B211)-YEAR(VLOOKUP(I211,$C$3:$L$6,8,0)))*12+MONTH(B211)-MONTH(VLOOKUP(I211,$C$3:$L$6,8,0))))*(VLOOKUP(I211,$C$3:$L$6,10,0)*VLOOKUP(I211,$C$3:$L$6,6,0)/12),0))</f>
        <v/>
      </c>
      <c r="K211" s="29" t="str">
        <f ca="1">IF(C211&lt;&gt;"",IF(I211&lt;&gt;"",IF(ISERROR(VLOOKUP(I211,$C$3:$L$6,10,0)),"",VLOOKUP(I211,$C$3:$L$6,10,0)+J211+IF(OR(VLOOKUP(I211,$C$3:$L$6,5,0)=Variables!$B$5,B211&gt;VLOOKUP(I211,$C$3:$L$6,8,0)),IF(VLOOKUP(I211,$C$3:$L$6,5,0)=Variables!$B$5,((YEAR(B211)-YEAR($B$12))*12+MONTH(B211)-MONTH($B$12)),((YEAR(B211)-YEAR(VLOOKUP(I211,$C$3:$L$6,8,0)))*12+MONTH(B211)-MONTH(VLOOKUP(I211,$C$3:$L$6,8,0))))*VLOOKUP(I211,$C$3:$L$6,7,0),0)),""),"")</f>
        <v/>
      </c>
      <c r="L211" s="29" t="str">
        <f t="shared" ca="1" si="24"/>
        <v/>
      </c>
      <c r="M211" s="10"/>
      <c r="N211" s="10"/>
    </row>
    <row r="212" spans="1:14" x14ac:dyDescent="0.25">
      <c r="A212" s="10"/>
      <c r="B212" s="14" t="str">
        <f t="shared" ca="1" si="25"/>
        <v/>
      </c>
      <c r="C212" s="14" t="str">
        <f ca="1">IF(I211&lt;&gt;Variables!$B$1,IF(H211&lt;&gt;0,C211,I211),"")</f>
        <v/>
      </c>
      <c r="D212" s="29" t="str">
        <f t="shared" ca="1" si="22"/>
        <v/>
      </c>
      <c r="E212" s="29" t="str">
        <f t="shared" ca="1" si="23"/>
        <v/>
      </c>
      <c r="F212" s="29" t="str">
        <f ca="1">IF(C212&lt;&gt;"",IF(OR(VLOOKUP(C212,$C$3:$L$6,5,0)=Variables!$B$5,B212&gt;VLOOKUP(C212,$C$3:$L$6,8,0)),-D212*VLOOKUP(C212,$C$3:$L$6,6,0)/12,0),"")</f>
        <v/>
      </c>
      <c r="G212" s="29" t="str">
        <f ca="1">IF(I212&lt;&gt;Variables!$B$1,IF(C212&lt;&gt;"",$I$9-E212-F212,""),-D212)</f>
        <v/>
      </c>
      <c r="H212" s="29" t="str">
        <f t="shared" ca="1" si="26"/>
        <v/>
      </c>
      <c r="I212" s="31" t="str">
        <f ca="1">IF(C212&lt;&gt;"",IF(D212+$I$9-E212-F212&gt;=0,IF(ISERROR(INDEX($C$3:$C$6,MATCH(C212,$C$3:$C$6,0)+1,0)),Variables!$B$1,INDEX($C$3:$C$6,MATCH(C212,$C$3:$C$6,0)+1,0)),""),"")</f>
        <v/>
      </c>
      <c r="J212" s="29" t="str">
        <f ca="1">IF(ISERROR(VLOOKUP(I212,$C$3:$L$6,5,0)),"",IF(OR(VLOOKUP(I212,$C$3:$L$6,5,0)=Variables!$B$5,B212&gt;VLOOKUP(I212,$C$3:$L$6,8,0)),IF(VLOOKUP(I212,$C$3:$L$6,5,0)=Variables!$B$5,((YEAR(B212)-YEAR($B$12))*12+MONTH(B212)-MONTH($B$12)),((YEAR(B212)-YEAR(VLOOKUP(I212,$C$3:$L$6,8,0)))*12+MONTH(B212)-MONTH(VLOOKUP(I212,$C$3:$L$6,8,0))))*(VLOOKUP(I212,$C$3:$L$6,10,0)*VLOOKUP(I212,$C$3:$L$6,6,0)/12),0))</f>
        <v/>
      </c>
      <c r="K212" s="29" t="str">
        <f ca="1">IF(C212&lt;&gt;"",IF(I212&lt;&gt;"",IF(ISERROR(VLOOKUP(I212,$C$3:$L$6,10,0)),"",VLOOKUP(I212,$C$3:$L$6,10,0)+J212+IF(OR(VLOOKUP(I212,$C$3:$L$6,5,0)=Variables!$B$5,B212&gt;VLOOKUP(I212,$C$3:$L$6,8,0)),IF(VLOOKUP(I212,$C$3:$L$6,5,0)=Variables!$B$5,((YEAR(B212)-YEAR($B$12))*12+MONTH(B212)-MONTH($B$12)),((YEAR(B212)-YEAR(VLOOKUP(I212,$C$3:$L$6,8,0)))*12+MONTH(B212)-MONTH(VLOOKUP(I212,$C$3:$L$6,8,0))))*VLOOKUP(I212,$C$3:$L$6,7,0),0)),""),"")</f>
        <v/>
      </c>
      <c r="L212" s="29" t="str">
        <f t="shared" ca="1" si="24"/>
        <v/>
      </c>
      <c r="M212" s="10"/>
      <c r="N212" s="10"/>
    </row>
    <row r="213" spans="1:14" x14ac:dyDescent="0.25">
      <c r="A213" s="10"/>
      <c r="B213" s="14" t="str">
        <f t="shared" ca="1" si="25"/>
        <v/>
      </c>
      <c r="C213" s="14" t="str">
        <f ca="1">IF(I212&lt;&gt;Variables!$B$1,IF(H212&lt;&gt;0,C212,I212),"")</f>
        <v/>
      </c>
      <c r="D213" s="29" t="str">
        <f t="shared" ca="1" si="22"/>
        <v/>
      </c>
      <c r="E213" s="29" t="str">
        <f t="shared" ca="1" si="23"/>
        <v/>
      </c>
      <c r="F213" s="29" t="str">
        <f ca="1">IF(C213&lt;&gt;"",IF(OR(VLOOKUP(C213,$C$3:$L$6,5,0)=Variables!$B$5,B213&gt;VLOOKUP(C213,$C$3:$L$6,8,0)),-D213*VLOOKUP(C213,$C$3:$L$6,6,0)/12,0),"")</f>
        <v/>
      </c>
      <c r="G213" s="29" t="str">
        <f ca="1">IF(I213&lt;&gt;Variables!$B$1,IF(C213&lt;&gt;"",$I$9-E213-F213,""),-D213)</f>
        <v/>
      </c>
      <c r="H213" s="29" t="str">
        <f t="shared" ca="1" si="26"/>
        <v/>
      </c>
      <c r="I213" s="31" t="str">
        <f ca="1">IF(C213&lt;&gt;"",IF(D213+$I$9-E213-F213&gt;=0,IF(ISERROR(INDEX($C$3:$C$6,MATCH(C213,$C$3:$C$6,0)+1,0)),Variables!$B$1,INDEX($C$3:$C$6,MATCH(C213,$C$3:$C$6,0)+1,0)),""),"")</f>
        <v/>
      </c>
      <c r="J213" s="29" t="str">
        <f ca="1">IF(ISERROR(VLOOKUP(I213,$C$3:$L$6,5,0)),"",IF(OR(VLOOKUP(I213,$C$3:$L$6,5,0)=Variables!$B$5,B213&gt;VLOOKUP(I213,$C$3:$L$6,8,0)),IF(VLOOKUP(I213,$C$3:$L$6,5,0)=Variables!$B$5,((YEAR(B213)-YEAR($B$12))*12+MONTH(B213)-MONTH($B$12)),((YEAR(B213)-YEAR(VLOOKUP(I213,$C$3:$L$6,8,0)))*12+MONTH(B213)-MONTH(VLOOKUP(I213,$C$3:$L$6,8,0))))*(VLOOKUP(I213,$C$3:$L$6,10,0)*VLOOKUP(I213,$C$3:$L$6,6,0)/12),0))</f>
        <v/>
      </c>
      <c r="K213" s="29" t="str">
        <f ca="1">IF(C213&lt;&gt;"",IF(I213&lt;&gt;"",IF(ISERROR(VLOOKUP(I213,$C$3:$L$6,10,0)),"",VLOOKUP(I213,$C$3:$L$6,10,0)+J213+IF(OR(VLOOKUP(I213,$C$3:$L$6,5,0)=Variables!$B$5,B213&gt;VLOOKUP(I213,$C$3:$L$6,8,0)),IF(VLOOKUP(I213,$C$3:$L$6,5,0)=Variables!$B$5,((YEAR(B213)-YEAR($B$12))*12+MONTH(B213)-MONTH($B$12)),((YEAR(B213)-YEAR(VLOOKUP(I213,$C$3:$L$6,8,0)))*12+MONTH(B213)-MONTH(VLOOKUP(I213,$C$3:$L$6,8,0))))*VLOOKUP(I213,$C$3:$L$6,7,0),0)),""),"")</f>
        <v/>
      </c>
      <c r="L213" s="29" t="str">
        <f t="shared" ca="1" si="24"/>
        <v/>
      </c>
      <c r="M213" s="10"/>
      <c r="N213" s="10"/>
    </row>
    <row r="214" spans="1:14" x14ac:dyDescent="0.25">
      <c r="A214" s="10"/>
      <c r="B214" s="14" t="str">
        <f t="shared" ca="1" si="25"/>
        <v/>
      </c>
      <c r="C214" s="14" t="str">
        <f ca="1">IF(I213&lt;&gt;Variables!$B$1,IF(H213&lt;&gt;0,C213,I213),"")</f>
        <v/>
      </c>
      <c r="D214" s="29" t="str">
        <f t="shared" ca="1" si="22"/>
        <v/>
      </c>
      <c r="E214" s="29" t="str">
        <f t="shared" ca="1" si="23"/>
        <v/>
      </c>
      <c r="F214" s="29" t="str">
        <f ca="1">IF(C214&lt;&gt;"",IF(OR(VLOOKUP(C214,$C$3:$L$6,5,0)=Variables!$B$5,B214&gt;VLOOKUP(C214,$C$3:$L$6,8,0)),-D214*VLOOKUP(C214,$C$3:$L$6,6,0)/12,0),"")</f>
        <v/>
      </c>
      <c r="G214" s="29" t="str">
        <f ca="1">IF(I214&lt;&gt;Variables!$B$1,IF(C214&lt;&gt;"",$I$9-E214-F214,""),-D214)</f>
        <v/>
      </c>
      <c r="H214" s="29" t="str">
        <f t="shared" ca="1" si="26"/>
        <v/>
      </c>
      <c r="I214" s="31" t="str">
        <f ca="1">IF(C214&lt;&gt;"",IF(D214+$I$9-E214-F214&gt;=0,IF(ISERROR(INDEX($C$3:$C$6,MATCH(C214,$C$3:$C$6,0)+1,0)),Variables!$B$1,INDEX($C$3:$C$6,MATCH(C214,$C$3:$C$6,0)+1,0)),""),"")</f>
        <v/>
      </c>
      <c r="J214" s="29" t="str">
        <f ca="1">IF(ISERROR(VLOOKUP(I214,$C$3:$L$6,5,0)),"",IF(OR(VLOOKUP(I214,$C$3:$L$6,5,0)=Variables!$B$5,B214&gt;VLOOKUP(I214,$C$3:$L$6,8,0)),IF(VLOOKUP(I214,$C$3:$L$6,5,0)=Variables!$B$5,((YEAR(B214)-YEAR($B$12))*12+MONTH(B214)-MONTH($B$12)),((YEAR(B214)-YEAR(VLOOKUP(I214,$C$3:$L$6,8,0)))*12+MONTH(B214)-MONTH(VLOOKUP(I214,$C$3:$L$6,8,0))))*(VLOOKUP(I214,$C$3:$L$6,10,0)*VLOOKUP(I214,$C$3:$L$6,6,0)/12),0))</f>
        <v/>
      </c>
      <c r="K214" s="29" t="str">
        <f ca="1">IF(C214&lt;&gt;"",IF(I214&lt;&gt;"",IF(ISERROR(VLOOKUP(I214,$C$3:$L$6,10,0)),"",VLOOKUP(I214,$C$3:$L$6,10,0)+J214+IF(OR(VLOOKUP(I214,$C$3:$L$6,5,0)=Variables!$B$5,B214&gt;VLOOKUP(I214,$C$3:$L$6,8,0)),IF(VLOOKUP(I214,$C$3:$L$6,5,0)=Variables!$B$5,((YEAR(B214)-YEAR($B$12))*12+MONTH(B214)-MONTH($B$12)),((YEAR(B214)-YEAR(VLOOKUP(I214,$C$3:$L$6,8,0)))*12+MONTH(B214)-MONTH(VLOOKUP(I214,$C$3:$L$6,8,0))))*VLOOKUP(I214,$C$3:$L$6,7,0),0)),""),"")</f>
        <v/>
      </c>
      <c r="L214" s="29" t="str">
        <f t="shared" ca="1" si="24"/>
        <v/>
      </c>
      <c r="M214" s="10"/>
      <c r="N214" s="10"/>
    </row>
    <row r="215" spans="1:14" x14ac:dyDescent="0.25">
      <c r="A215" s="10"/>
      <c r="B215" s="14" t="str">
        <f t="shared" ca="1" si="25"/>
        <v/>
      </c>
      <c r="C215" s="14" t="str">
        <f ca="1">IF(I214&lt;&gt;Variables!$B$1,IF(H214&lt;&gt;0,C214,I214),"")</f>
        <v/>
      </c>
      <c r="D215" s="29" t="str">
        <f t="shared" ca="1" si="22"/>
        <v/>
      </c>
      <c r="E215" s="29" t="str">
        <f t="shared" ca="1" si="23"/>
        <v/>
      </c>
      <c r="F215" s="29" t="str">
        <f ca="1">IF(C215&lt;&gt;"",IF(OR(VLOOKUP(C215,$C$3:$L$6,5,0)=Variables!$B$5,B215&gt;VLOOKUP(C215,$C$3:$L$6,8,0)),-D215*VLOOKUP(C215,$C$3:$L$6,6,0)/12,0),"")</f>
        <v/>
      </c>
      <c r="G215" s="29" t="str">
        <f ca="1">IF(I215&lt;&gt;Variables!$B$1,IF(C215&lt;&gt;"",$I$9-E215-F215,""),-D215)</f>
        <v/>
      </c>
      <c r="H215" s="29" t="str">
        <f t="shared" ca="1" si="26"/>
        <v/>
      </c>
      <c r="I215" s="31" t="str">
        <f ca="1">IF(C215&lt;&gt;"",IF(D215+$I$9-E215-F215&gt;=0,IF(ISERROR(INDEX($C$3:$C$6,MATCH(C215,$C$3:$C$6,0)+1,0)),Variables!$B$1,INDEX($C$3:$C$6,MATCH(C215,$C$3:$C$6,0)+1,0)),""),"")</f>
        <v/>
      </c>
      <c r="J215" s="29" t="str">
        <f ca="1">IF(ISERROR(VLOOKUP(I215,$C$3:$L$6,5,0)),"",IF(OR(VLOOKUP(I215,$C$3:$L$6,5,0)=Variables!$B$5,B215&gt;VLOOKUP(I215,$C$3:$L$6,8,0)),IF(VLOOKUP(I215,$C$3:$L$6,5,0)=Variables!$B$5,((YEAR(B215)-YEAR($B$12))*12+MONTH(B215)-MONTH($B$12)),((YEAR(B215)-YEAR(VLOOKUP(I215,$C$3:$L$6,8,0)))*12+MONTH(B215)-MONTH(VLOOKUP(I215,$C$3:$L$6,8,0))))*(VLOOKUP(I215,$C$3:$L$6,10,0)*VLOOKUP(I215,$C$3:$L$6,6,0)/12),0))</f>
        <v/>
      </c>
      <c r="K215" s="29" t="str">
        <f ca="1">IF(C215&lt;&gt;"",IF(I215&lt;&gt;"",IF(ISERROR(VLOOKUP(I215,$C$3:$L$6,10,0)),"",VLOOKUP(I215,$C$3:$L$6,10,0)+J215+IF(OR(VLOOKUP(I215,$C$3:$L$6,5,0)=Variables!$B$5,B215&gt;VLOOKUP(I215,$C$3:$L$6,8,0)),IF(VLOOKUP(I215,$C$3:$L$6,5,0)=Variables!$B$5,((YEAR(B215)-YEAR($B$12))*12+MONTH(B215)-MONTH($B$12)),((YEAR(B215)-YEAR(VLOOKUP(I215,$C$3:$L$6,8,0)))*12+MONTH(B215)-MONTH(VLOOKUP(I215,$C$3:$L$6,8,0))))*VLOOKUP(I215,$C$3:$L$6,7,0),0)),""),"")</f>
        <v/>
      </c>
      <c r="L215" s="29" t="str">
        <f t="shared" ca="1" si="24"/>
        <v/>
      </c>
      <c r="M215" s="10"/>
      <c r="N215" s="10"/>
    </row>
    <row r="216" spans="1:14" x14ac:dyDescent="0.25">
      <c r="A216" s="10"/>
      <c r="B216" s="14" t="str">
        <f t="shared" ca="1" si="25"/>
        <v/>
      </c>
      <c r="C216" s="14" t="str">
        <f ca="1">IF(I215&lt;&gt;Variables!$B$1,IF(H215&lt;&gt;0,C215,I215),"")</f>
        <v/>
      </c>
      <c r="D216" s="29" t="str">
        <f t="shared" ca="1" si="22"/>
        <v/>
      </c>
      <c r="E216" s="29" t="str">
        <f t="shared" ca="1" si="23"/>
        <v/>
      </c>
      <c r="F216" s="29" t="str">
        <f ca="1">IF(C216&lt;&gt;"",IF(OR(VLOOKUP(C216,$C$3:$L$6,5,0)=Variables!$B$5,B216&gt;VLOOKUP(C216,$C$3:$L$6,8,0)),-D216*VLOOKUP(C216,$C$3:$L$6,6,0)/12,0),"")</f>
        <v/>
      </c>
      <c r="G216" s="29" t="str">
        <f ca="1">IF(I216&lt;&gt;Variables!$B$1,IF(C216&lt;&gt;"",$I$9-E216-F216,""),-D216)</f>
        <v/>
      </c>
      <c r="H216" s="29" t="str">
        <f t="shared" ca="1" si="26"/>
        <v/>
      </c>
      <c r="I216" s="31" t="str">
        <f ca="1">IF(C216&lt;&gt;"",IF(D216+$I$9-E216-F216&gt;=0,IF(ISERROR(INDEX($C$3:$C$6,MATCH(C216,$C$3:$C$6,0)+1,0)),Variables!$B$1,INDEX($C$3:$C$6,MATCH(C216,$C$3:$C$6,0)+1,0)),""),"")</f>
        <v/>
      </c>
      <c r="J216" s="29" t="str">
        <f ca="1">IF(ISERROR(VLOOKUP(I216,$C$3:$L$6,5,0)),"",IF(OR(VLOOKUP(I216,$C$3:$L$6,5,0)=Variables!$B$5,B216&gt;VLOOKUP(I216,$C$3:$L$6,8,0)),IF(VLOOKUP(I216,$C$3:$L$6,5,0)=Variables!$B$5,((YEAR(B216)-YEAR($B$12))*12+MONTH(B216)-MONTH($B$12)),((YEAR(B216)-YEAR(VLOOKUP(I216,$C$3:$L$6,8,0)))*12+MONTH(B216)-MONTH(VLOOKUP(I216,$C$3:$L$6,8,0))))*(VLOOKUP(I216,$C$3:$L$6,10,0)*VLOOKUP(I216,$C$3:$L$6,6,0)/12),0))</f>
        <v/>
      </c>
      <c r="K216" s="29" t="str">
        <f ca="1">IF(C216&lt;&gt;"",IF(I216&lt;&gt;"",IF(ISERROR(VLOOKUP(I216,$C$3:$L$6,10,0)),"",VLOOKUP(I216,$C$3:$L$6,10,0)+J216+IF(OR(VLOOKUP(I216,$C$3:$L$6,5,0)=Variables!$B$5,B216&gt;VLOOKUP(I216,$C$3:$L$6,8,0)),IF(VLOOKUP(I216,$C$3:$L$6,5,0)=Variables!$B$5,((YEAR(B216)-YEAR($B$12))*12+MONTH(B216)-MONTH($B$12)),((YEAR(B216)-YEAR(VLOOKUP(I216,$C$3:$L$6,8,0)))*12+MONTH(B216)-MONTH(VLOOKUP(I216,$C$3:$L$6,8,0))))*VLOOKUP(I216,$C$3:$L$6,7,0),0)),""),"")</f>
        <v/>
      </c>
      <c r="L216" s="29" t="str">
        <f t="shared" ca="1" si="24"/>
        <v/>
      </c>
      <c r="M216" s="10"/>
      <c r="N216" s="10"/>
    </row>
    <row r="217" spans="1:14" x14ac:dyDescent="0.25">
      <c r="A217" s="10"/>
      <c r="B217" s="14" t="str">
        <f t="shared" ca="1" si="25"/>
        <v/>
      </c>
      <c r="C217" s="14" t="str">
        <f ca="1">IF(I216&lt;&gt;Variables!$B$1,IF(H216&lt;&gt;0,C216,I216),"")</f>
        <v/>
      </c>
      <c r="D217" s="29" t="str">
        <f t="shared" ca="1" si="22"/>
        <v/>
      </c>
      <c r="E217" s="29" t="str">
        <f t="shared" ca="1" si="23"/>
        <v/>
      </c>
      <c r="F217" s="29" t="str">
        <f ca="1">IF(C217&lt;&gt;"",IF(OR(VLOOKUP(C217,$C$3:$L$6,5,0)=Variables!$B$5,B217&gt;VLOOKUP(C217,$C$3:$L$6,8,0)),-D217*VLOOKUP(C217,$C$3:$L$6,6,0)/12,0),"")</f>
        <v/>
      </c>
      <c r="G217" s="29" t="str">
        <f ca="1">IF(I217&lt;&gt;Variables!$B$1,IF(C217&lt;&gt;"",$I$9-E217-F217,""),-D217)</f>
        <v/>
      </c>
      <c r="H217" s="29" t="str">
        <f t="shared" ca="1" si="26"/>
        <v/>
      </c>
      <c r="I217" s="31" t="str">
        <f ca="1">IF(C217&lt;&gt;"",IF(D217+$I$9-E217-F217&gt;=0,IF(ISERROR(INDEX($C$3:$C$6,MATCH(C217,$C$3:$C$6,0)+1,0)),Variables!$B$1,INDEX($C$3:$C$6,MATCH(C217,$C$3:$C$6,0)+1,0)),""),"")</f>
        <v/>
      </c>
      <c r="J217" s="29" t="str">
        <f ca="1">IF(ISERROR(VLOOKUP(I217,$C$3:$L$6,5,0)),"",IF(OR(VLOOKUP(I217,$C$3:$L$6,5,0)=Variables!$B$5,B217&gt;VLOOKUP(I217,$C$3:$L$6,8,0)),IF(VLOOKUP(I217,$C$3:$L$6,5,0)=Variables!$B$5,((YEAR(B217)-YEAR($B$12))*12+MONTH(B217)-MONTH($B$12)),((YEAR(B217)-YEAR(VLOOKUP(I217,$C$3:$L$6,8,0)))*12+MONTH(B217)-MONTH(VLOOKUP(I217,$C$3:$L$6,8,0))))*(VLOOKUP(I217,$C$3:$L$6,10,0)*VLOOKUP(I217,$C$3:$L$6,6,0)/12),0))</f>
        <v/>
      </c>
      <c r="K217" s="29" t="str">
        <f ca="1">IF(C217&lt;&gt;"",IF(I217&lt;&gt;"",IF(ISERROR(VLOOKUP(I217,$C$3:$L$6,10,0)),"",VLOOKUP(I217,$C$3:$L$6,10,0)+J217+IF(OR(VLOOKUP(I217,$C$3:$L$6,5,0)=Variables!$B$5,B217&gt;VLOOKUP(I217,$C$3:$L$6,8,0)),IF(VLOOKUP(I217,$C$3:$L$6,5,0)=Variables!$B$5,((YEAR(B217)-YEAR($B$12))*12+MONTH(B217)-MONTH($B$12)),((YEAR(B217)-YEAR(VLOOKUP(I217,$C$3:$L$6,8,0)))*12+MONTH(B217)-MONTH(VLOOKUP(I217,$C$3:$L$6,8,0))))*VLOOKUP(I217,$C$3:$L$6,7,0),0)),""),"")</f>
        <v/>
      </c>
      <c r="L217" s="29" t="str">
        <f t="shared" ca="1" si="24"/>
        <v/>
      </c>
      <c r="M217" s="10"/>
      <c r="N217" s="10"/>
    </row>
    <row r="218" spans="1:14" x14ac:dyDescent="0.25">
      <c r="A218" s="10"/>
      <c r="B218" s="14" t="str">
        <f t="shared" ca="1" si="25"/>
        <v/>
      </c>
      <c r="C218" s="14" t="str">
        <f ca="1">IF(I217&lt;&gt;Variables!$B$1,IF(H217&lt;&gt;0,C217,I217),"")</f>
        <v/>
      </c>
      <c r="D218" s="29" t="str">
        <f t="shared" ca="1" si="22"/>
        <v/>
      </c>
      <c r="E218" s="29" t="str">
        <f t="shared" ca="1" si="23"/>
        <v/>
      </c>
      <c r="F218" s="29" t="str">
        <f ca="1">IF(C218&lt;&gt;"",IF(OR(VLOOKUP(C218,$C$3:$L$6,5,0)=Variables!$B$5,B218&gt;VLOOKUP(C218,$C$3:$L$6,8,0)),-D218*VLOOKUP(C218,$C$3:$L$6,6,0)/12,0),"")</f>
        <v/>
      </c>
      <c r="G218" s="29" t="str">
        <f ca="1">IF(I218&lt;&gt;Variables!$B$1,IF(C218&lt;&gt;"",$I$9-E218-F218,""),-D218)</f>
        <v/>
      </c>
      <c r="H218" s="29" t="str">
        <f t="shared" ca="1" si="26"/>
        <v/>
      </c>
      <c r="I218" s="31" t="str">
        <f ca="1">IF(C218&lt;&gt;"",IF(D218+$I$9-E218-F218&gt;=0,IF(ISERROR(INDEX($C$3:$C$6,MATCH(C218,$C$3:$C$6,0)+1,0)),Variables!$B$1,INDEX($C$3:$C$6,MATCH(C218,$C$3:$C$6,0)+1,0)),""),"")</f>
        <v/>
      </c>
      <c r="J218" s="29" t="str">
        <f ca="1">IF(ISERROR(VLOOKUP(I218,$C$3:$L$6,5,0)),"",IF(OR(VLOOKUP(I218,$C$3:$L$6,5,0)=Variables!$B$5,B218&gt;VLOOKUP(I218,$C$3:$L$6,8,0)),IF(VLOOKUP(I218,$C$3:$L$6,5,0)=Variables!$B$5,((YEAR(B218)-YEAR($B$12))*12+MONTH(B218)-MONTH($B$12)),((YEAR(B218)-YEAR(VLOOKUP(I218,$C$3:$L$6,8,0)))*12+MONTH(B218)-MONTH(VLOOKUP(I218,$C$3:$L$6,8,0))))*(VLOOKUP(I218,$C$3:$L$6,10,0)*VLOOKUP(I218,$C$3:$L$6,6,0)/12),0))</f>
        <v/>
      </c>
      <c r="K218" s="29" t="str">
        <f ca="1">IF(C218&lt;&gt;"",IF(I218&lt;&gt;"",IF(ISERROR(VLOOKUP(I218,$C$3:$L$6,10,0)),"",VLOOKUP(I218,$C$3:$L$6,10,0)+J218+IF(OR(VLOOKUP(I218,$C$3:$L$6,5,0)=Variables!$B$5,B218&gt;VLOOKUP(I218,$C$3:$L$6,8,0)),IF(VLOOKUP(I218,$C$3:$L$6,5,0)=Variables!$B$5,((YEAR(B218)-YEAR($B$12))*12+MONTH(B218)-MONTH($B$12)),((YEAR(B218)-YEAR(VLOOKUP(I218,$C$3:$L$6,8,0)))*12+MONTH(B218)-MONTH(VLOOKUP(I218,$C$3:$L$6,8,0))))*VLOOKUP(I218,$C$3:$L$6,7,0),0)),""),"")</f>
        <v/>
      </c>
      <c r="L218" s="29" t="str">
        <f t="shared" ca="1" si="24"/>
        <v/>
      </c>
      <c r="M218" s="10"/>
      <c r="N218" s="10"/>
    </row>
    <row r="219" spans="1:14" x14ac:dyDescent="0.25">
      <c r="A219" s="10"/>
      <c r="B219" s="14" t="str">
        <f t="shared" ca="1" si="25"/>
        <v/>
      </c>
      <c r="C219" s="14" t="str">
        <f ca="1">IF(I218&lt;&gt;Variables!$B$1,IF(H218&lt;&gt;0,C218,I218),"")</f>
        <v/>
      </c>
      <c r="D219" s="29" t="str">
        <f t="shared" ca="1" si="22"/>
        <v/>
      </c>
      <c r="E219" s="29" t="str">
        <f t="shared" ca="1" si="23"/>
        <v/>
      </c>
      <c r="F219" s="29" t="str">
        <f ca="1">IF(C219&lt;&gt;"",IF(OR(VLOOKUP(C219,$C$3:$L$6,5,0)=Variables!$B$5,B219&gt;VLOOKUP(C219,$C$3:$L$6,8,0)),-D219*VLOOKUP(C219,$C$3:$L$6,6,0)/12,0),"")</f>
        <v/>
      </c>
      <c r="G219" s="29" t="str">
        <f ca="1">IF(I219&lt;&gt;Variables!$B$1,IF(C219&lt;&gt;"",$I$9-E219-F219,""),-D219)</f>
        <v/>
      </c>
      <c r="H219" s="29" t="str">
        <f t="shared" ca="1" si="26"/>
        <v/>
      </c>
      <c r="I219" s="31" t="str">
        <f ca="1">IF(C219&lt;&gt;"",IF(D219+$I$9-E219-F219&gt;=0,IF(ISERROR(INDEX($C$3:$C$6,MATCH(C219,$C$3:$C$6,0)+1,0)),Variables!$B$1,INDEX($C$3:$C$6,MATCH(C219,$C$3:$C$6,0)+1,0)),""),"")</f>
        <v/>
      </c>
      <c r="J219" s="29" t="str">
        <f ca="1">IF(ISERROR(VLOOKUP(I219,$C$3:$L$6,5,0)),"",IF(OR(VLOOKUP(I219,$C$3:$L$6,5,0)=Variables!$B$5,B219&gt;VLOOKUP(I219,$C$3:$L$6,8,0)),IF(VLOOKUP(I219,$C$3:$L$6,5,0)=Variables!$B$5,((YEAR(B219)-YEAR($B$12))*12+MONTH(B219)-MONTH($B$12)),((YEAR(B219)-YEAR(VLOOKUP(I219,$C$3:$L$6,8,0)))*12+MONTH(B219)-MONTH(VLOOKUP(I219,$C$3:$L$6,8,0))))*(VLOOKUP(I219,$C$3:$L$6,10,0)*VLOOKUP(I219,$C$3:$L$6,6,0)/12),0))</f>
        <v/>
      </c>
      <c r="K219" s="29" t="str">
        <f ca="1">IF(C219&lt;&gt;"",IF(I219&lt;&gt;"",IF(ISERROR(VLOOKUP(I219,$C$3:$L$6,10,0)),"",VLOOKUP(I219,$C$3:$L$6,10,0)+J219+IF(OR(VLOOKUP(I219,$C$3:$L$6,5,0)=Variables!$B$5,B219&gt;VLOOKUP(I219,$C$3:$L$6,8,0)),IF(VLOOKUP(I219,$C$3:$L$6,5,0)=Variables!$B$5,((YEAR(B219)-YEAR($B$12))*12+MONTH(B219)-MONTH($B$12)),((YEAR(B219)-YEAR(VLOOKUP(I219,$C$3:$L$6,8,0)))*12+MONTH(B219)-MONTH(VLOOKUP(I219,$C$3:$L$6,8,0))))*VLOOKUP(I219,$C$3:$L$6,7,0),0)),""),"")</f>
        <v/>
      </c>
      <c r="L219" s="29" t="str">
        <f t="shared" ca="1" si="24"/>
        <v/>
      </c>
      <c r="M219" s="10"/>
      <c r="N219" s="10"/>
    </row>
    <row r="220" spans="1:14" x14ac:dyDescent="0.25">
      <c r="A220" s="10"/>
      <c r="B220" s="14" t="str">
        <f t="shared" ca="1" si="25"/>
        <v/>
      </c>
      <c r="C220" s="14" t="str">
        <f ca="1">IF(I219&lt;&gt;Variables!$B$1,IF(H219&lt;&gt;0,C219,I219),"")</f>
        <v/>
      </c>
      <c r="D220" s="29" t="str">
        <f t="shared" ref="D220:D283" ca="1" si="27">IF(C220&lt;&gt;"",IF(H219&lt;&gt;0,H219,L219),"")</f>
        <v/>
      </c>
      <c r="E220" s="29" t="str">
        <f t="shared" ref="E220:E283" ca="1" si="28">IF(C220&lt;&gt;"",MINPAYMENT(C220,ROW(B220),COLUMN(B220)),"")</f>
        <v/>
      </c>
      <c r="F220" s="29" t="str">
        <f ca="1">IF(C220&lt;&gt;"",IF(OR(VLOOKUP(C220,$C$3:$L$6,5,0)=Variables!$B$5,B220&gt;VLOOKUP(C220,$C$3:$L$6,8,0)),-D220*VLOOKUP(C220,$C$3:$L$6,6,0)/12,0),"")</f>
        <v/>
      </c>
      <c r="G220" s="29" t="str">
        <f ca="1">IF(I220&lt;&gt;Variables!$B$1,IF(C220&lt;&gt;"",$I$9-E220-F220,""),-D220)</f>
        <v/>
      </c>
      <c r="H220" s="29" t="str">
        <f t="shared" ca="1" si="26"/>
        <v/>
      </c>
      <c r="I220" s="31" t="str">
        <f ca="1">IF(C220&lt;&gt;"",IF(D220+$I$9-E220-F220&gt;=0,IF(ISERROR(INDEX($C$3:$C$6,MATCH(C220,$C$3:$C$6,0)+1,0)),Variables!$B$1,INDEX($C$3:$C$6,MATCH(C220,$C$3:$C$6,0)+1,0)),""),"")</f>
        <v/>
      </c>
      <c r="J220" s="29" t="str">
        <f ca="1">IF(ISERROR(VLOOKUP(I220,$C$3:$L$6,5,0)),"",IF(OR(VLOOKUP(I220,$C$3:$L$6,5,0)=Variables!$B$5,B220&gt;VLOOKUP(I220,$C$3:$L$6,8,0)),IF(VLOOKUP(I220,$C$3:$L$6,5,0)=Variables!$B$5,((YEAR(B220)-YEAR($B$12))*12+MONTH(B220)-MONTH($B$12)),((YEAR(B220)-YEAR(VLOOKUP(I220,$C$3:$L$6,8,0)))*12+MONTH(B220)-MONTH(VLOOKUP(I220,$C$3:$L$6,8,0))))*(VLOOKUP(I220,$C$3:$L$6,10,0)*VLOOKUP(I220,$C$3:$L$6,6,0)/12),0))</f>
        <v/>
      </c>
      <c r="K220" s="29" t="str">
        <f ca="1">IF(C220&lt;&gt;"",IF(I220&lt;&gt;"",IF(ISERROR(VLOOKUP(I220,$C$3:$L$6,10,0)),"",VLOOKUP(I220,$C$3:$L$6,10,0)+J220+IF(OR(VLOOKUP(I220,$C$3:$L$6,5,0)=Variables!$B$5,B220&gt;VLOOKUP(I220,$C$3:$L$6,8,0)),IF(VLOOKUP(I220,$C$3:$L$6,5,0)=Variables!$B$5,((YEAR(B220)-YEAR($B$12))*12+MONTH(B220)-MONTH($B$12)),((YEAR(B220)-YEAR(VLOOKUP(I220,$C$3:$L$6,8,0)))*12+MONTH(B220)-MONTH(VLOOKUP(I220,$C$3:$L$6,8,0))))*VLOOKUP(I220,$C$3:$L$6,7,0),0)),""),"")</f>
        <v/>
      </c>
      <c r="L220" s="29" t="str">
        <f t="shared" ref="L220:L283" ca="1" si="29">IF(C220&lt;&gt;"",IF(ISERROR(IF(D220+G220&gt;=0,K220+D220+G220,"")),"",IF(D220+G220&gt;=0,K220+D220+G220,"")),"")</f>
        <v/>
      </c>
      <c r="M220" s="10"/>
      <c r="N220" s="10"/>
    </row>
    <row r="221" spans="1:14" x14ac:dyDescent="0.25">
      <c r="A221" s="10"/>
      <c r="B221" s="14" t="str">
        <f t="shared" ref="B221:B284" ca="1" si="30">IF(C221&lt;&gt;"",DATE(YEAR(B220),MONTH(B220)+1,DAY(B220)),"")</f>
        <v/>
      </c>
      <c r="C221" s="14" t="str">
        <f ca="1">IF(I220&lt;&gt;Variables!$B$1,IF(H220&lt;&gt;0,C220,I220),"")</f>
        <v/>
      </c>
      <c r="D221" s="29" t="str">
        <f t="shared" ca="1" si="27"/>
        <v/>
      </c>
      <c r="E221" s="29" t="str">
        <f t="shared" ca="1" si="28"/>
        <v/>
      </c>
      <c r="F221" s="29" t="str">
        <f ca="1">IF(C221&lt;&gt;"",IF(OR(VLOOKUP(C221,$C$3:$L$6,5,0)=Variables!$B$5,B221&gt;VLOOKUP(C221,$C$3:$L$6,8,0)),-D221*VLOOKUP(C221,$C$3:$L$6,6,0)/12,0),"")</f>
        <v/>
      </c>
      <c r="G221" s="29" t="str">
        <f ca="1">IF(I221&lt;&gt;Variables!$B$1,IF(C221&lt;&gt;"",$I$9-E221-F221,""),-D221)</f>
        <v/>
      </c>
      <c r="H221" s="29" t="str">
        <f t="shared" ref="H221:H284" ca="1" si="31">IF(C221&lt;&gt;"",IF(D221+G221&lt;0,D221+G221,0),"")</f>
        <v/>
      </c>
      <c r="I221" s="31" t="str">
        <f ca="1">IF(C221&lt;&gt;"",IF(D221+$I$9-E221-F221&gt;=0,IF(ISERROR(INDEX($C$3:$C$6,MATCH(C221,$C$3:$C$6,0)+1,0)),Variables!$B$1,INDEX($C$3:$C$6,MATCH(C221,$C$3:$C$6,0)+1,0)),""),"")</f>
        <v/>
      </c>
      <c r="J221" s="29" t="str">
        <f ca="1">IF(ISERROR(VLOOKUP(I221,$C$3:$L$6,5,0)),"",IF(OR(VLOOKUP(I221,$C$3:$L$6,5,0)=Variables!$B$5,B221&gt;VLOOKUP(I221,$C$3:$L$6,8,0)),IF(VLOOKUP(I221,$C$3:$L$6,5,0)=Variables!$B$5,((YEAR(B221)-YEAR($B$12))*12+MONTH(B221)-MONTH($B$12)),((YEAR(B221)-YEAR(VLOOKUP(I221,$C$3:$L$6,8,0)))*12+MONTH(B221)-MONTH(VLOOKUP(I221,$C$3:$L$6,8,0))))*(VLOOKUP(I221,$C$3:$L$6,10,0)*VLOOKUP(I221,$C$3:$L$6,6,0)/12),0))</f>
        <v/>
      </c>
      <c r="K221" s="29" t="str">
        <f ca="1">IF(C221&lt;&gt;"",IF(I221&lt;&gt;"",IF(ISERROR(VLOOKUP(I221,$C$3:$L$6,10,0)),"",VLOOKUP(I221,$C$3:$L$6,10,0)+J221+IF(OR(VLOOKUP(I221,$C$3:$L$6,5,0)=Variables!$B$5,B221&gt;VLOOKUP(I221,$C$3:$L$6,8,0)),IF(VLOOKUP(I221,$C$3:$L$6,5,0)=Variables!$B$5,((YEAR(B221)-YEAR($B$12))*12+MONTH(B221)-MONTH($B$12)),((YEAR(B221)-YEAR(VLOOKUP(I221,$C$3:$L$6,8,0)))*12+MONTH(B221)-MONTH(VLOOKUP(I221,$C$3:$L$6,8,0))))*VLOOKUP(I221,$C$3:$L$6,7,0),0)),""),"")</f>
        <v/>
      </c>
      <c r="L221" s="29" t="str">
        <f t="shared" ca="1" si="29"/>
        <v/>
      </c>
      <c r="M221" s="10"/>
      <c r="N221" s="10"/>
    </row>
    <row r="222" spans="1:14" x14ac:dyDescent="0.25">
      <c r="A222" s="10"/>
      <c r="B222" s="14" t="str">
        <f t="shared" ca="1" si="30"/>
        <v/>
      </c>
      <c r="C222" s="14" t="str">
        <f ca="1">IF(I221&lt;&gt;Variables!$B$1,IF(H221&lt;&gt;0,C221,I221),"")</f>
        <v/>
      </c>
      <c r="D222" s="29" t="str">
        <f t="shared" ca="1" si="27"/>
        <v/>
      </c>
      <c r="E222" s="29" t="str">
        <f t="shared" ca="1" si="28"/>
        <v/>
      </c>
      <c r="F222" s="29" t="str">
        <f ca="1">IF(C222&lt;&gt;"",IF(OR(VLOOKUP(C222,$C$3:$L$6,5,0)=Variables!$B$5,B222&gt;VLOOKUP(C222,$C$3:$L$6,8,0)),-D222*VLOOKUP(C222,$C$3:$L$6,6,0)/12,0),"")</f>
        <v/>
      </c>
      <c r="G222" s="29" t="str">
        <f ca="1">IF(I222&lt;&gt;Variables!$B$1,IF(C222&lt;&gt;"",$I$9-E222-F222,""),-D222)</f>
        <v/>
      </c>
      <c r="H222" s="29" t="str">
        <f t="shared" ca="1" si="31"/>
        <v/>
      </c>
      <c r="I222" s="31" t="str">
        <f ca="1">IF(C222&lt;&gt;"",IF(D222+$I$9-E222-F222&gt;=0,IF(ISERROR(INDEX($C$3:$C$6,MATCH(C222,$C$3:$C$6,0)+1,0)),Variables!$B$1,INDEX($C$3:$C$6,MATCH(C222,$C$3:$C$6,0)+1,0)),""),"")</f>
        <v/>
      </c>
      <c r="J222" s="29" t="str">
        <f ca="1">IF(ISERROR(VLOOKUP(I222,$C$3:$L$6,5,0)),"",IF(OR(VLOOKUP(I222,$C$3:$L$6,5,0)=Variables!$B$5,B222&gt;VLOOKUP(I222,$C$3:$L$6,8,0)),IF(VLOOKUP(I222,$C$3:$L$6,5,0)=Variables!$B$5,((YEAR(B222)-YEAR($B$12))*12+MONTH(B222)-MONTH($B$12)),((YEAR(B222)-YEAR(VLOOKUP(I222,$C$3:$L$6,8,0)))*12+MONTH(B222)-MONTH(VLOOKUP(I222,$C$3:$L$6,8,0))))*(VLOOKUP(I222,$C$3:$L$6,10,0)*VLOOKUP(I222,$C$3:$L$6,6,0)/12),0))</f>
        <v/>
      </c>
      <c r="K222" s="29" t="str">
        <f ca="1">IF(C222&lt;&gt;"",IF(I222&lt;&gt;"",IF(ISERROR(VLOOKUP(I222,$C$3:$L$6,10,0)),"",VLOOKUP(I222,$C$3:$L$6,10,0)+J222+IF(OR(VLOOKUP(I222,$C$3:$L$6,5,0)=Variables!$B$5,B222&gt;VLOOKUP(I222,$C$3:$L$6,8,0)),IF(VLOOKUP(I222,$C$3:$L$6,5,0)=Variables!$B$5,((YEAR(B222)-YEAR($B$12))*12+MONTH(B222)-MONTH($B$12)),((YEAR(B222)-YEAR(VLOOKUP(I222,$C$3:$L$6,8,0)))*12+MONTH(B222)-MONTH(VLOOKUP(I222,$C$3:$L$6,8,0))))*VLOOKUP(I222,$C$3:$L$6,7,0),0)),""),"")</f>
        <v/>
      </c>
      <c r="L222" s="29" t="str">
        <f t="shared" ca="1" si="29"/>
        <v/>
      </c>
      <c r="M222" s="10"/>
      <c r="N222" s="10"/>
    </row>
    <row r="223" spans="1:14" x14ac:dyDescent="0.25">
      <c r="A223" s="10"/>
      <c r="B223" s="14" t="str">
        <f t="shared" ca="1" si="30"/>
        <v/>
      </c>
      <c r="C223" s="14" t="str">
        <f ca="1">IF(I222&lt;&gt;Variables!$B$1,IF(H222&lt;&gt;0,C222,I222),"")</f>
        <v/>
      </c>
      <c r="D223" s="29" t="str">
        <f t="shared" ca="1" si="27"/>
        <v/>
      </c>
      <c r="E223" s="29" t="str">
        <f t="shared" ca="1" si="28"/>
        <v/>
      </c>
      <c r="F223" s="29" t="str">
        <f ca="1">IF(C223&lt;&gt;"",IF(OR(VLOOKUP(C223,$C$3:$L$6,5,0)=Variables!$B$5,B223&gt;VLOOKUP(C223,$C$3:$L$6,8,0)),-D223*VLOOKUP(C223,$C$3:$L$6,6,0)/12,0),"")</f>
        <v/>
      </c>
      <c r="G223" s="29" t="str">
        <f ca="1">IF(I223&lt;&gt;Variables!$B$1,IF(C223&lt;&gt;"",$I$9-E223-F223,""),-D223)</f>
        <v/>
      </c>
      <c r="H223" s="29" t="str">
        <f t="shared" ca="1" si="31"/>
        <v/>
      </c>
      <c r="I223" s="31" t="str">
        <f ca="1">IF(C223&lt;&gt;"",IF(D223+$I$9-E223-F223&gt;=0,IF(ISERROR(INDEX($C$3:$C$6,MATCH(C223,$C$3:$C$6,0)+1,0)),Variables!$B$1,INDEX($C$3:$C$6,MATCH(C223,$C$3:$C$6,0)+1,0)),""),"")</f>
        <v/>
      </c>
      <c r="J223" s="29" t="str">
        <f ca="1">IF(ISERROR(VLOOKUP(I223,$C$3:$L$6,5,0)),"",IF(OR(VLOOKUP(I223,$C$3:$L$6,5,0)=Variables!$B$5,B223&gt;VLOOKUP(I223,$C$3:$L$6,8,0)),IF(VLOOKUP(I223,$C$3:$L$6,5,0)=Variables!$B$5,((YEAR(B223)-YEAR($B$12))*12+MONTH(B223)-MONTH($B$12)),((YEAR(B223)-YEAR(VLOOKUP(I223,$C$3:$L$6,8,0)))*12+MONTH(B223)-MONTH(VLOOKUP(I223,$C$3:$L$6,8,0))))*(VLOOKUP(I223,$C$3:$L$6,10,0)*VLOOKUP(I223,$C$3:$L$6,6,0)/12),0))</f>
        <v/>
      </c>
      <c r="K223" s="29" t="str">
        <f ca="1">IF(C223&lt;&gt;"",IF(I223&lt;&gt;"",IF(ISERROR(VLOOKUP(I223,$C$3:$L$6,10,0)),"",VLOOKUP(I223,$C$3:$L$6,10,0)+J223+IF(OR(VLOOKUP(I223,$C$3:$L$6,5,0)=Variables!$B$5,B223&gt;VLOOKUP(I223,$C$3:$L$6,8,0)),IF(VLOOKUP(I223,$C$3:$L$6,5,0)=Variables!$B$5,((YEAR(B223)-YEAR($B$12))*12+MONTH(B223)-MONTH($B$12)),((YEAR(B223)-YEAR(VLOOKUP(I223,$C$3:$L$6,8,0)))*12+MONTH(B223)-MONTH(VLOOKUP(I223,$C$3:$L$6,8,0))))*VLOOKUP(I223,$C$3:$L$6,7,0),0)),""),"")</f>
        <v/>
      </c>
      <c r="L223" s="29" t="str">
        <f t="shared" ca="1" si="29"/>
        <v/>
      </c>
      <c r="M223" s="10"/>
      <c r="N223" s="10"/>
    </row>
    <row r="224" spans="1:14" x14ac:dyDescent="0.25">
      <c r="A224" s="10"/>
      <c r="B224" s="14" t="str">
        <f t="shared" ca="1" si="30"/>
        <v/>
      </c>
      <c r="C224" s="14" t="str">
        <f ca="1">IF(I223&lt;&gt;Variables!$B$1,IF(H223&lt;&gt;0,C223,I223),"")</f>
        <v/>
      </c>
      <c r="D224" s="29" t="str">
        <f t="shared" ca="1" si="27"/>
        <v/>
      </c>
      <c r="E224" s="29" t="str">
        <f t="shared" ca="1" si="28"/>
        <v/>
      </c>
      <c r="F224" s="29" t="str">
        <f ca="1">IF(C224&lt;&gt;"",IF(OR(VLOOKUP(C224,$C$3:$L$6,5,0)=Variables!$B$5,B224&gt;VLOOKUP(C224,$C$3:$L$6,8,0)),-D224*VLOOKUP(C224,$C$3:$L$6,6,0)/12,0),"")</f>
        <v/>
      </c>
      <c r="G224" s="29" t="str">
        <f ca="1">IF(I224&lt;&gt;Variables!$B$1,IF(C224&lt;&gt;"",$I$9-E224-F224,""),-D224)</f>
        <v/>
      </c>
      <c r="H224" s="29" t="str">
        <f t="shared" ca="1" si="31"/>
        <v/>
      </c>
      <c r="I224" s="31" t="str">
        <f ca="1">IF(C224&lt;&gt;"",IF(D224+$I$9-E224-F224&gt;=0,IF(ISERROR(INDEX($C$3:$C$6,MATCH(C224,$C$3:$C$6,0)+1,0)),Variables!$B$1,INDEX($C$3:$C$6,MATCH(C224,$C$3:$C$6,0)+1,0)),""),"")</f>
        <v/>
      </c>
      <c r="J224" s="29" t="str">
        <f ca="1">IF(ISERROR(VLOOKUP(I224,$C$3:$L$6,5,0)),"",IF(OR(VLOOKUP(I224,$C$3:$L$6,5,0)=Variables!$B$5,B224&gt;VLOOKUP(I224,$C$3:$L$6,8,0)),IF(VLOOKUP(I224,$C$3:$L$6,5,0)=Variables!$B$5,((YEAR(B224)-YEAR($B$12))*12+MONTH(B224)-MONTH($B$12)),((YEAR(B224)-YEAR(VLOOKUP(I224,$C$3:$L$6,8,0)))*12+MONTH(B224)-MONTH(VLOOKUP(I224,$C$3:$L$6,8,0))))*(VLOOKUP(I224,$C$3:$L$6,10,0)*VLOOKUP(I224,$C$3:$L$6,6,0)/12),0))</f>
        <v/>
      </c>
      <c r="K224" s="29" t="str">
        <f ca="1">IF(C224&lt;&gt;"",IF(I224&lt;&gt;"",IF(ISERROR(VLOOKUP(I224,$C$3:$L$6,10,0)),"",VLOOKUP(I224,$C$3:$L$6,10,0)+J224+IF(OR(VLOOKUP(I224,$C$3:$L$6,5,0)=Variables!$B$5,B224&gt;VLOOKUP(I224,$C$3:$L$6,8,0)),IF(VLOOKUP(I224,$C$3:$L$6,5,0)=Variables!$B$5,((YEAR(B224)-YEAR($B$12))*12+MONTH(B224)-MONTH($B$12)),((YEAR(B224)-YEAR(VLOOKUP(I224,$C$3:$L$6,8,0)))*12+MONTH(B224)-MONTH(VLOOKUP(I224,$C$3:$L$6,8,0))))*VLOOKUP(I224,$C$3:$L$6,7,0),0)),""),"")</f>
        <v/>
      </c>
      <c r="L224" s="29" t="str">
        <f t="shared" ca="1" si="29"/>
        <v/>
      </c>
      <c r="M224" s="10"/>
      <c r="N224" s="10"/>
    </row>
    <row r="225" spans="1:14" x14ac:dyDescent="0.25">
      <c r="A225" s="10"/>
      <c r="B225" s="14" t="str">
        <f t="shared" ca="1" si="30"/>
        <v/>
      </c>
      <c r="C225" s="14" t="str">
        <f ca="1">IF(I224&lt;&gt;Variables!$B$1,IF(H224&lt;&gt;0,C224,I224),"")</f>
        <v/>
      </c>
      <c r="D225" s="29" t="str">
        <f t="shared" ca="1" si="27"/>
        <v/>
      </c>
      <c r="E225" s="29" t="str">
        <f t="shared" ca="1" si="28"/>
        <v/>
      </c>
      <c r="F225" s="29" t="str">
        <f ca="1">IF(C225&lt;&gt;"",IF(OR(VLOOKUP(C225,$C$3:$L$6,5,0)=Variables!$B$5,B225&gt;VLOOKUP(C225,$C$3:$L$6,8,0)),-D225*VLOOKUP(C225,$C$3:$L$6,6,0)/12,0),"")</f>
        <v/>
      </c>
      <c r="G225" s="29" t="str">
        <f ca="1">IF(I225&lt;&gt;Variables!$B$1,IF(C225&lt;&gt;"",$I$9-E225-F225,""),-D225)</f>
        <v/>
      </c>
      <c r="H225" s="29" t="str">
        <f t="shared" ca="1" si="31"/>
        <v/>
      </c>
      <c r="I225" s="31" t="str">
        <f ca="1">IF(C225&lt;&gt;"",IF(D225+$I$9-E225-F225&gt;=0,IF(ISERROR(INDEX($C$3:$C$6,MATCH(C225,$C$3:$C$6,0)+1,0)),Variables!$B$1,INDEX($C$3:$C$6,MATCH(C225,$C$3:$C$6,0)+1,0)),""),"")</f>
        <v/>
      </c>
      <c r="J225" s="29" t="str">
        <f ca="1">IF(ISERROR(VLOOKUP(I225,$C$3:$L$6,5,0)),"",IF(OR(VLOOKUP(I225,$C$3:$L$6,5,0)=Variables!$B$5,B225&gt;VLOOKUP(I225,$C$3:$L$6,8,0)),IF(VLOOKUP(I225,$C$3:$L$6,5,0)=Variables!$B$5,((YEAR(B225)-YEAR($B$12))*12+MONTH(B225)-MONTH($B$12)),((YEAR(B225)-YEAR(VLOOKUP(I225,$C$3:$L$6,8,0)))*12+MONTH(B225)-MONTH(VLOOKUP(I225,$C$3:$L$6,8,0))))*(VLOOKUP(I225,$C$3:$L$6,10,0)*VLOOKUP(I225,$C$3:$L$6,6,0)/12),0))</f>
        <v/>
      </c>
      <c r="K225" s="29" t="str">
        <f ca="1">IF(C225&lt;&gt;"",IF(I225&lt;&gt;"",IF(ISERROR(VLOOKUP(I225,$C$3:$L$6,10,0)),"",VLOOKUP(I225,$C$3:$L$6,10,0)+J225+IF(OR(VLOOKUP(I225,$C$3:$L$6,5,0)=Variables!$B$5,B225&gt;VLOOKUP(I225,$C$3:$L$6,8,0)),IF(VLOOKUP(I225,$C$3:$L$6,5,0)=Variables!$B$5,((YEAR(B225)-YEAR($B$12))*12+MONTH(B225)-MONTH($B$12)),((YEAR(B225)-YEAR(VLOOKUP(I225,$C$3:$L$6,8,0)))*12+MONTH(B225)-MONTH(VLOOKUP(I225,$C$3:$L$6,8,0))))*VLOOKUP(I225,$C$3:$L$6,7,0),0)),""),"")</f>
        <v/>
      </c>
      <c r="L225" s="29" t="str">
        <f t="shared" ca="1" si="29"/>
        <v/>
      </c>
      <c r="M225" s="10"/>
      <c r="N225" s="10"/>
    </row>
    <row r="226" spans="1:14" x14ac:dyDescent="0.25">
      <c r="A226" s="10"/>
      <c r="B226" s="14" t="str">
        <f t="shared" ca="1" si="30"/>
        <v/>
      </c>
      <c r="C226" s="14" t="str">
        <f ca="1">IF(I225&lt;&gt;Variables!$B$1,IF(H225&lt;&gt;0,C225,I225),"")</f>
        <v/>
      </c>
      <c r="D226" s="29" t="str">
        <f t="shared" ca="1" si="27"/>
        <v/>
      </c>
      <c r="E226" s="29" t="str">
        <f t="shared" ca="1" si="28"/>
        <v/>
      </c>
      <c r="F226" s="29" t="str">
        <f ca="1">IF(C226&lt;&gt;"",IF(OR(VLOOKUP(C226,$C$3:$L$6,5,0)=Variables!$B$5,B226&gt;VLOOKUP(C226,$C$3:$L$6,8,0)),-D226*VLOOKUP(C226,$C$3:$L$6,6,0)/12,0),"")</f>
        <v/>
      </c>
      <c r="G226" s="29" t="str">
        <f ca="1">IF(I226&lt;&gt;Variables!$B$1,IF(C226&lt;&gt;"",$I$9-E226-F226,""),-D226)</f>
        <v/>
      </c>
      <c r="H226" s="29" t="str">
        <f t="shared" ca="1" si="31"/>
        <v/>
      </c>
      <c r="I226" s="31" t="str">
        <f ca="1">IF(C226&lt;&gt;"",IF(D226+$I$9-E226-F226&gt;=0,IF(ISERROR(INDEX($C$3:$C$6,MATCH(C226,$C$3:$C$6,0)+1,0)),Variables!$B$1,INDEX($C$3:$C$6,MATCH(C226,$C$3:$C$6,0)+1,0)),""),"")</f>
        <v/>
      </c>
      <c r="J226" s="29" t="str">
        <f ca="1">IF(ISERROR(VLOOKUP(I226,$C$3:$L$6,5,0)),"",IF(OR(VLOOKUP(I226,$C$3:$L$6,5,0)=Variables!$B$5,B226&gt;VLOOKUP(I226,$C$3:$L$6,8,0)),IF(VLOOKUP(I226,$C$3:$L$6,5,0)=Variables!$B$5,((YEAR(B226)-YEAR($B$12))*12+MONTH(B226)-MONTH($B$12)),((YEAR(B226)-YEAR(VLOOKUP(I226,$C$3:$L$6,8,0)))*12+MONTH(B226)-MONTH(VLOOKUP(I226,$C$3:$L$6,8,0))))*(VLOOKUP(I226,$C$3:$L$6,10,0)*VLOOKUP(I226,$C$3:$L$6,6,0)/12),0))</f>
        <v/>
      </c>
      <c r="K226" s="29" t="str">
        <f ca="1">IF(C226&lt;&gt;"",IF(I226&lt;&gt;"",IF(ISERROR(VLOOKUP(I226,$C$3:$L$6,10,0)),"",VLOOKUP(I226,$C$3:$L$6,10,0)+J226+IF(OR(VLOOKUP(I226,$C$3:$L$6,5,0)=Variables!$B$5,B226&gt;VLOOKUP(I226,$C$3:$L$6,8,0)),IF(VLOOKUP(I226,$C$3:$L$6,5,0)=Variables!$B$5,((YEAR(B226)-YEAR($B$12))*12+MONTH(B226)-MONTH($B$12)),((YEAR(B226)-YEAR(VLOOKUP(I226,$C$3:$L$6,8,0)))*12+MONTH(B226)-MONTH(VLOOKUP(I226,$C$3:$L$6,8,0))))*VLOOKUP(I226,$C$3:$L$6,7,0),0)),""),"")</f>
        <v/>
      </c>
      <c r="L226" s="29" t="str">
        <f t="shared" ca="1" si="29"/>
        <v/>
      </c>
      <c r="M226" s="10"/>
      <c r="N226" s="10"/>
    </row>
    <row r="227" spans="1:14" x14ac:dyDescent="0.25">
      <c r="A227" s="10"/>
      <c r="B227" s="14" t="str">
        <f t="shared" ca="1" si="30"/>
        <v/>
      </c>
      <c r="C227" s="14" t="str">
        <f ca="1">IF(I226&lt;&gt;Variables!$B$1,IF(H226&lt;&gt;0,C226,I226),"")</f>
        <v/>
      </c>
      <c r="D227" s="29" t="str">
        <f t="shared" ca="1" si="27"/>
        <v/>
      </c>
      <c r="E227" s="29" t="str">
        <f t="shared" ca="1" si="28"/>
        <v/>
      </c>
      <c r="F227" s="29" t="str">
        <f ca="1">IF(C227&lt;&gt;"",IF(OR(VLOOKUP(C227,$C$3:$L$6,5,0)=Variables!$B$5,B227&gt;VLOOKUP(C227,$C$3:$L$6,8,0)),-D227*VLOOKUP(C227,$C$3:$L$6,6,0)/12,0),"")</f>
        <v/>
      </c>
      <c r="G227" s="29" t="str">
        <f ca="1">IF(I227&lt;&gt;Variables!$B$1,IF(C227&lt;&gt;"",$I$9-E227-F227,""),-D227)</f>
        <v/>
      </c>
      <c r="H227" s="29" t="str">
        <f t="shared" ca="1" si="31"/>
        <v/>
      </c>
      <c r="I227" s="31" t="str">
        <f ca="1">IF(C227&lt;&gt;"",IF(D227+$I$9-E227-F227&gt;=0,IF(ISERROR(INDEX($C$3:$C$6,MATCH(C227,$C$3:$C$6,0)+1,0)),Variables!$B$1,INDEX($C$3:$C$6,MATCH(C227,$C$3:$C$6,0)+1,0)),""),"")</f>
        <v/>
      </c>
      <c r="J227" s="29" t="str">
        <f ca="1">IF(ISERROR(VLOOKUP(I227,$C$3:$L$6,5,0)),"",IF(OR(VLOOKUP(I227,$C$3:$L$6,5,0)=Variables!$B$5,B227&gt;VLOOKUP(I227,$C$3:$L$6,8,0)),IF(VLOOKUP(I227,$C$3:$L$6,5,0)=Variables!$B$5,((YEAR(B227)-YEAR($B$12))*12+MONTH(B227)-MONTH($B$12)),((YEAR(B227)-YEAR(VLOOKUP(I227,$C$3:$L$6,8,0)))*12+MONTH(B227)-MONTH(VLOOKUP(I227,$C$3:$L$6,8,0))))*(VLOOKUP(I227,$C$3:$L$6,10,0)*VLOOKUP(I227,$C$3:$L$6,6,0)/12),0))</f>
        <v/>
      </c>
      <c r="K227" s="29" t="str">
        <f ca="1">IF(C227&lt;&gt;"",IF(I227&lt;&gt;"",IF(ISERROR(VLOOKUP(I227,$C$3:$L$6,10,0)),"",VLOOKUP(I227,$C$3:$L$6,10,0)+J227+IF(OR(VLOOKUP(I227,$C$3:$L$6,5,0)=Variables!$B$5,B227&gt;VLOOKUP(I227,$C$3:$L$6,8,0)),IF(VLOOKUP(I227,$C$3:$L$6,5,0)=Variables!$B$5,((YEAR(B227)-YEAR($B$12))*12+MONTH(B227)-MONTH($B$12)),((YEAR(B227)-YEAR(VLOOKUP(I227,$C$3:$L$6,8,0)))*12+MONTH(B227)-MONTH(VLOOKUP(I227,$C$3:$L$6,8,0))))*VLOOKUP(I227,$C$3:$L$6,7,0),0)),""),"")</f>
        <v/>
      </c>
      <c r="L227" s="29" t="str">
        <f t="shared" ca="1" si="29"/>
        <v/>
      </c>
      <c r="M227" s="10"/>
      <c r="N227" s="10"/>
    </row>
    <row r="228" spans="1:14" x14ac:dyDescent="0.25">
      <c r="A228" s="10"/>
      <c r="B228" s="14" t="str">
        <f t="shared" ca="1" si="30"/>
        <v/>
      </c>
      <c r="C228" s="14" t="str">
        <f ca="1">IF(I227&lt;&gt;Variables!$B$1,IF(H227&lt;&gt;0,C227,I227),"")</f>
        <v/>
      </c>
      <c r="D228" s="29" t="str">
        <f t="shared" ca="1" si="27"/>
        <v/>
      </c>
      <c r="E228" s="29" t="str">
        <f t="shared" ca="1" si="28"/>
        <v/>
      </c>
      <c r="F228" s="29" t="str">
        <f ca="1">IF(C228&lt;&gt;"",IF(OR(VLOOKUP(C228,$C$3:$L$6,5,0)=Variables!$B$5,B228&gt;VLOOKUP(C228,$C$3:$L$6,8,0)),-D228*VLOOKUP(C228,$C$3:$L$6,6,0)/12,0),"")</f>
        <v/>
      </c>
      <c r="G228" s="29" t="str">
        <f ca="1">IF(I228&lt;&gt;Variables!$B$1,IF(C228&lt;&gt;"",$I$9-E228-F228,""),-D228)</f>
        <v/>
      </c>
      <c r="H228" s="29" t="str">
        <f t="shared" ca="1" si="31"/>
        <v/>
      </c>
      <c r="I228" s="31" t="str">
        <f ca="1">IF(C228&lt;&gt;"",IF(D228+$I$9-E228-F228&gt;=0,IF(ISERROR(INDEX($C$3:$C$6,MATCH(C228,$C$3:$C$6,0)+1,0)),Variables!$B$1,INDEX($C$3:$C$6,MATCH(C228,$C$3:$C$6,0)+1,0)),""),"")</f>
        <v/>
      </c>
      <c r="J228" s="29" t="str">
        <f ca="1">IF(ISERROR(VLOOKUP(I228,$C$3:$L$6,5,0)),"",IF(OR(VLOOKUP(I228,$C$3:$L$6,5,0)=Variables!$B$5,B228&gt;VLOOKUP(I228,$C$3:$L$6,8,0)),IF(VLOOKUP(I228,$C$3:$L$6,5,0)=Variables!$B$5,((YEAR(B228)-YEAR($B$12))*12+MONTH(B228)-MONTH($B$12)),((YEAR(B228)-YEAR(VLOOKUP(I228,$C$3:$L$6,8,0)))*12+MONTH(B228)-MONTH(VLOOKUP(I228,$C$3:$L$6,8,0))))*(VLOOKUP(I228,$C$3:$L$6,10,0)*VLOOKUP(I228,$C$3:$L$6,6,0)/12),0))</f>
        <v/>
      </c>
      <c r="K228" s="29" t="str">
        <f ca="1">IF(C228&lt;&gt;"",IF(I228&lt;&gt;"",IF(ISERROR(VLOOKUP(I228,$C$3:$L$6,10,0)),"",VLOOKUP(I228,$C$3:$L$6,10,0)+J228+IF(OR(VLOOKUP(I228,$C$3:$L$6,5,0)=Variables!$B$5,B228&gt;VLOOKUP(I228,$C$3:$L$6,8,0)),IF(VLOOKUP(I228,$C$3:$L$6,5,0)=Variables!$B$5,((YEAR(B228)-YEAR($B$12))*12+MONTH(B228)-MONTH($B$12)),((YEAR(B228)-YEAR(VLOOKUP(I228,$C$3:$L$6,8,0)))*12+MONTH(B228)-MONTH(VLOOKUP(I228,$C$3:$L$6,8,0))))*VLOOKUP(I228,$C$3:$L$6,7,0),0)),""),"")</f>
        <v/>
      </c>
      <c r="L228" s="29" t="str">
        <f t="shared" ca="1" si="29"/>
        <v/>
      </c>
      <c r="M228" s="10"/>
      <c r="N228" s="10"/>
    </row>
    <row r="229" spans="1:14" x14ac:dyDescent="0.25">
      <c r="A229" s="10"/>
      <c r="B229" s="14" t="str">
        <f t="shared" ca="1" si="30"/>
        <v/>
      </c>
      <c r="C229" s="14" t="str">
        <f ca="1">IF(I228&lt;&gt;Variables!$B$1,IF(H228&lt;&gt;0,C228,I228),"")</f>
        <v/>
      </c>
      <c r="D229" s="29" t="str">
        <f t="shared" ca="1" si="27"/>
        <v/>
      </c>
      <c r="E229" s="29" t="str">
        <f t="shared" ca="1" si="28"/>
        <v/>
      </c>
      <c r="F229" s="29" t="str">
        <f ca="1">IF(C229&lt;&gt;"",IF(OR(VLOOKUP(C229,$C$3:$L$6,5,0)=Variables!$B$5,B229&gt;VLOOKUP(C229,$C$3:$L$6,8,0)),-D229*VLOOKUP(C229,$C$3:$L$6,6,0)/12,0),"")</f>
        <v/>
      </c>
      <c r="G229" s="29" t="str">
        <f ca="1">IF(I229&lt;&gt;Variables!$B$1,IF(C229&lt;&gt;"",$I$9-E229-F229,""),-D229)</f>
        <v/>
      </c>
      <c r="H229" s="29" t="str">
        <f t="shared" ca="1" si="31"/>
        <v/>
      </c>
      <c r="I229" s="31" t="str">
        <f ca="1">IF(C229&lt;&gt;"",IF(D229+$I$9-E229-F229&gt;=0,IF(ISERROR(INDEX($C$3:$C$6,MATCH(C229,$C$3:$C$6,0)+1,0)),Variables!$B$1,INDEX($C$3:$C$6,MATCH(C229,$C$3:$C$6,0)+1,0)),""),"")</f>
        <v/>
      </c>
      <c r="J229" s="29" t="str">
        <f ca="1">IF(ISERROR(VLOOKUP(I229,$C$3:$L$6,5,0)),"",IF(OR(VLOOKUP(I229,$C$3:$L$6,5,0)=Variables!$B$5,B229&gt;VLOOKUP(I229,$C$3:$L$6,8,0)),IF(VLOOKUP(I229,$C$3:$L$6,5,0)=Variables!$B$5,((YEAR(B229)-YEAR($B$12))*12+MONTH(B229)-MONTH($B$12)),((YEAR(B229)-YEAR(VLOOKUP(I229,$C$3:$L$6,8,0)))*12+MONTH(B229)-MONTH(VLOOKUP(I229,$C$3:$L$6,8,0))))*(VLOOKUP(I229,$C$3:$L$6,10,0)*VLOOKUP(I229,$C$3:$L$6,6,0)/12),0))</f>
        <v/>
      </c>
      <c r="K229" s="29" t="str">
        <f ca="1">IF(C229&lt;&gt;"",IF(I229&lt;&gt;"",IF(ISERROR(VLOOKUP(I229,$C$3:$L$6,10,0)),"",VLOOKUP(I229,$C$3:$L$6,10,0)+J229+IF(OR(VLOOKUP(I229,$C$3:$L$6,5,0)=Variables!$B$5,B229&gt;VLOOKUP(I229,$C$3:$L$6,8,0)),IF(VLOOKUP(I229,$C$3:$L$6,5,0)=Variables!$B$5,((YEAR(B229)-YEAR($B$12))*12+MONTH(B229)-MONTH($B$12)),((YEAR(B229)-YEAR(VLOOKUP(I229,$C$3:$L$6,8,0)))*12+MONTH(B229)-MONTH(VLOOKUP(I229,$C$3:$L$6,8,0))))*VLOOKUP(I229,$C$3:$L$6,7,0),0)),""),"")</f>
        <v/>
      </c>
      <c r="L229" s="29" t="str">
        <f t="shared" ca="1" si="29"/>
        <v/>
      </c>
      <c r="M229" s="10"/>
      <c r="N229" s="10"/>
    </row>
    <row r="230" spans="1:14" x14ac:dyDescent="0.25">
      <c r="A230" s="10"/>
      <c r="B230" s="14" t="str">
        <f t="shared" ca="1" si="30"/>
        <v/>
      </c>
      <c r="C230" s="14" t="str">
        <f ca="1">IF(I229&lt;&gt;Variables!$B$1,IF(H229&lt;&gt;0,C229,I229),"")</f>
        <v/>
      </c>
      <c r="D230" s="29" t="str">
        <f t="shared" ca="1" si="27"/>
        <v/>
      </c>
      <c r="E230" s="29" t="str">
        <f t="shared" ca="1" si="28"/>
        <v/>
      </c>
      <c r="F230" s="29" t="str">
        <f ca="1">IF(C230&lt;&gt;"",IF(OR(VLOOKUP(C230,$C$3:$L$6,5,0)=Variables!$B$5,B230&gt;VLOOKUP(C230,$C$3:$L$6,8,0)),-D230*VLOOKUP(C230,$C$3:$L$6,6,0)/12,0),"")</f>
        <v/>
      </c>
      <c r="G230" s="29" t="str">
        <f ca="1">IF(I230&lt;&gt;Variables!$B$1,IF(C230&lt;&gt;"",$I$9-E230-F230,""),-D230)</f>
        <v/>
      </c>
      <c r="H230" s="29" t="str">
        <f t="shared" ca="1" si="31"/>
        <v/>
      </c>
      <c r="I230" s="31" t="str">
        <f ca="1">IF(C230&lt;&gt;"",IF(D230+$I$9-E230-F230&gt;=0,IF(ISERROR(INDEX($C$3:$C$6,MATCH(C230,$C$3:$C$6,0)+1,0)),Variables!$B$1,INDEX($C$3:$C$6,MATCH(C230,$C$3:$C$6,0)+1,0)),""),"")</f>
        <v/>
      </c>
      <c r="J230" s="29" t="str">
        <f ca="1">IF(ISERROR(VLOOKUP(I230,$C$3:$L$6,5,0)),"",IF(OR(VLOOKUP(I230,$C$3:$L$6,5,0)=Variables!$B$5,B230&gt;VLOOKUP(I230,$C$3:$L$6,8,0)),IF(VLOOKUP(I230,$C$3:$L$6,5,0)=Variables!$B$5,((YEAR(B230)-YEAR($B$12))*12+MONTH(B230)-MONTH($B$12)),((YEAR(B230)-YEAR(VLOOKUP(I230,$C$3:$L$6,8,0)))*12+MONTH(B230)-MONTH(VLOOKUP(I230,$C$3:$L$6,8,0))))*(VLOOKUP(I230,$C$3:$L$6,10,0)*VLOOKUP(I230,$C$3:$L$6,6,0)/12),0))</f>
        <v/>
      </c>
      <c r="K230" s="29" t="str">
        <f ca="1">IF(C230&lt;&gt;"",IF(I230&lt;&gt;"",IF(ISERROR(VLOOKUP(I230,$C$3:$L$6,10,0)),"",VLOOKUP(I230,$C$3:$L$6,10,0)+J230+IF(OR(VLOOKUP(I230,$C$3:$L$6,5,0)=Variables!$B$5,B230&gt;VLOOKUP(I230,$C$3:$L$6,8,0)),IF(VLOOKUP(I230,$C$3:$L$6,5,0)=Variables!$B$5,((YEAR(B230)-YEAR($B$12))*12+MONTH(B230)-MONTH($B$12)),((YEAR(B230)-YEAR(VLOOKUP(I230,$C$3:$L$6,8,0)))*12+MONTH(B230)-MONTH(VLOOKUP(I230,$C$3:$L$6,8,0))))*VLOOKUP(I230,$C$3:$L$6,7,0),0)),""),"")</f>
        <v/>
      </c>
      <c r="L230" s="29" t="str">
        <f t="shared" ca="1" si="29"/>
        <v/>
      </c>
      <c r="M230" s="10"/>
      <c r="N230" s="10"/>
    </row>
    <row r="231" spans="1:14" x14ac:dyDescent="0.25">
      <c r="A231" s="10"/>
      <c r="B231" s="14" t="str">
        <f t="shared" ca="1" si="30"/>
        <v/>
      </c>
      <c r="C231" s="14" t="str">
        <f ca="1">IF(I230&lt;&gt;Variables!$B$1,IF(H230&lt;&gt;0,C230,I230),"")</f>
        <v/>
      </c>
      <c r="D231" s="29" t="str">
        <f t="shared" ca="1" si="27"/>
        <v/>
      </c>
      <c r="E231" s="29" t="str">
        <f t="shared" ca="1" si="28"/>
        <v/>
      </c>
      <c r="F231" s="29" t="str">
        <f ca="1">IF(C231&lt;&gt;"",IF(OR(VLOOKUP(C231,$C$3:$L$6,5,0)=Variables!$B$5,B231&gt;VLOOKUP(C231,$C$3:$L$6,8,0)),-D231*VLOOKUP(C231,$C$3:$L$6,6,0)/12,0),"")</f>
        <v/>
      </c>
      <c r="G231" s="29" t="str">
        <f ca="1">IF(I231&lt;&gt;Variables!$B$1,IF(C231&lt;&gt;"",$I$9-E231-F231,""),-D231)</f>
        <v/>
      </c>
      <c r="H231" s="29" t="str">
        <f t="shared" ca="1" si="31"/>
        <v/>
      </c>
      <c r="I231" s="31" t="str">
        <f ca="1">IF(C231&lt;&gt;"",IF(D231+$I$9-E231-F231&gt;=0,IF(ISERROR(INDEX($C$3:$C$6,MATCH(C231,$C$3:$C$6,0)+1,0)),Variables!$B$1,INDEX($C$3:$C$6,MATCH(C231,$C$3:$C$6,0)+1,0)),""),"")</f>
        <v/>
      </c>
      <c r="J231" s="29" t="str">
        <f ca="1">IF(ISERROR(VLOOKUP(I231,$C$3:$L$6,5,0)),"",IF(OR(VLOOKUP(I231,$C$3:$L$6,5,0)=Variables!$B$5,B231&gt;VLOOKUP(I231,$C$3:$L$6,8,0)),IF(VLOOKUP(I231,$C$3:$L$6,5,0)=Variables!$B$5,((YEAR(B231)-YEAR($B$12))*12+MONTH(B231)-MONTH($B$12)),((YEAR(B231)-YEAR(VLOOKUP(I231,$C$3:$L$6,8,0)))*12+MONTH(B231)-MONTH(VLOOKUP(I231,$C$3:$L$6,8,0))))*(VLOOKUP(I231,$C$3:$L$6,10,0)*VLOOKUP(I231,$C$3:$L$6,6,0)/12),0))</f>
        <v/>
      </c>
      <c r="K231" s="29" t="str">
        <f ca="1">IF(C231&lt;&gt;"",IF(I231&lt;&gt;"",IF(ISERROR(VLOOKUP(I231,$C$3:$L$6,10,0)),"",VLOOKUP(I231,$C$3:$L$6,10,0)+J231+IF(OR(VLOOKUP(I231,$C$3:$L$6,5,0)=Variables!$B$5,B231&gt;VLOOKUP(I231,$C$3:$L$6,8,0)),IF(VLOOKUP(I231,$C$3:$L$6,5,0)=Variables!$B$5,((YEAR(B231)-YEAR($B$12))*12+MONTH(B231)-MONTH($B$12)),((YEAR(B231)-YEAR(VLOOKUP(I231,$C$3:$L$6,8,0)))*12+MONTH(B231)-MONTH(VLOOKUP(I231,$C$3:$L$6,8,0))))*VLOOKUP(I231,$C$3:$L$6,7,0),0)),""),"")</f>
        <v/>
      </c>
      <c r="L231" s="29" t="str">
        <f t="shared" ca="1" si="29"/>
        <v/>
      </c>
      <c r="M231" s="10"/>
      <c r="N231" s="10"/>
    </row>
    <row r="232" spans="1:14" x14ac:dyDescent="0.25">
      <c r="A232" s="10"/>
      <c r="B232" s="14" t="str">
        <f t="shared" ca="1" si="30"/>
        <v/>
      </c>
      <c r="C232" s="14" t="str">
        <f ca="1">IF(I231&lt;&gt;Variables!$B$1,IF(H231&lt;&gt;0,C231,I231),"")</f>
        <v/>
      </c>
      <c r="D232" s="29" t="str">
        <f t="shared" ca="1" si="27"/>
        <v/>
      </c>
      <c r="E232" s="29" t="str">
        <f t="shared" ca="1" si="28"/>
        <v/>
      </c>
      <c r="F232" s="29" t="str">
        <f ca="1">IF(C232&lt;&gt;"",IF(OR(VLOOKUP(C232,$C$3:$L$6,5,0)=Variables!$B$5,B232&gt;VLOOKUP(C232,$C$3:$L$6,8,0)),-D232*VLOOKUP(C232,$C$3:$L$6,6,0)/12,0),"")</f>
        <v/>
      </c>
      <c r="G232" s="29" t="str">
        <f ca="1">IF(I232&lt;&gt;Variables!$B$1,IF(C232&lt;&gt;"",$I$9-E232-F232,""),-D232)</f>
        <v/>
      </c>
      <c r="H232" s="29" t="str">
        <f t="shared" ca="1" si="31"/>
        <v/>
      </c>
      <c r="I232" s="31" t="str">
        <f ca="1">IF(C232&lt;&gt;"",IF(D232+$I$9-E232-F232&gt;=0,IF(ISERROR(INDEX($C$3:$C$6,MATCH(C232,$C$3:$C$6,0)+1,0)),Variables!$B$1,INDEX($C$3:$C$6,MATCH(C232,$C$3:$C$6,0)+1,0)),""),"")</f>
        <v/>
      </c>
      <c r="J232" s="29" t="str">
        <f ca="1">IF(ISERROR(VLOOKUP(I232,$C$3:$L$6,5,0)),"",IF(OR(VLOOKUP(I232,$C$3:$L$6,5,0)=Variables!$B$5,B232&gt;VLOOKUP(I232,$C$3:$L$6,8,0)),IF(VLOOKUP(I232,$C$3:$L$6,5,0)=Variables!$B$5,((YEAR(B232)-YEAR($B$12))*12+MONTH(B232)-MONTH($B$12)),((YEAR(B232)-YEAR(VLOOKUP(I232,$C$3:$L$6,8,0)))*12+MONTH(B232)-MONTH(VLOOKUP(I232,$C$3:$L$6,8,0))))*(VLOOKUP(I232,$C$3:$L$6,10,0)*VLOOKUP(I232,$C$3:$L$6,6,0)/12),0))</f>
        <v/>
      </c>
      <c r="K232" s="29" t="str">
        <f ca="1">IF(C232&lt;&gt;"",IF(I232&lt;&gt;"",IF(ISERROR(VLOOKUP(I232,$C$3:$L$6,10,0)),"",VLOOKUP(I232,$C$3:$L$6,10,0)+J232+IF(OR(VLOOKUP(I232,$C$3:$L$6,5,0)=Variables!$B$5,B232&gt;VLOOKUP(I232,$C$3:$L$6,8,0)),IF(VLOOKUP(I232,$C$3:$L$6,5,0)=Variables!$B$5,((YEAR(B232)-YEAR($B$12))*12+MONTH(B232)-MONTH($B$12)),((YEAR(B232)-YEAR(VLOOKUP(I232,$C$3:$L$6,8,0)))*12+MONTH(B232)-MONTH(VLOOKUP(I232,$C$3:$L$6,8,0))))*VLOOKUP(I232,$C$3:$L$6,7,0),0)),""),"")</f>
        <v/>
      </c>
      <c r="L232" s="29" t="str">
        <f t="shared" ca="1" si="29"/>
        <v/>
      </c>
      <c r="M232" s="10"/>
      <c r="N232" s="10"/>
    </row>
    <row r="233" spans="1:14" x14ac:dyDescent="0.25">
      <c r="A233" s="10"/>
      <c r="B233" s="14" t="str">
        <f t="shared" ca="1" si="30"/>
        <v/>
      </c>
      <c r="C233" s="14" t="str">
        <f ca="1">IF(I232&lt;&gt;Variables!$B$1,IF(H232&lt;&gt;0,C232,I232),"")</f>
        <v/>
      </c>
      <c r="D233" s="29" t="str">
        <f t="shared" ca="1" si="27"/>
        <v/>
      </c>
      <c r="E233" s="29" t="str">
        <f t="shared" ca="1" si="28"/>
        <v/>
      </c>
      <c r="F233" s="29" t="str">
        <f ca="1">IF(C233&lt;&gt;"",IF(OR(VLOOKUP(C233,$C$3:$L$6,5,0)=Variables!$B$5,B233&gt;VLOOKUP(C233,$C$3:$L$6,8,0)),-D233*VLOOKUP(C233,$C$3:$L$6,6,0)/12,0),"")</f>
        <v/>
      </c>
      <c r="G233" s="29" t="str">
        <f ca="1">IF(I233&lt;&gt;Variables!$B$1,IF(C233&lt;&gt;"",$I$9-E233-F233,""),-D233)</f>
        <v/>
      </c>
      <c r="H233" s="29" t="str">
        <f t="shared" ca="1" si="31"/>
        <v/>
      </c>
      <c r="I233" s="31" t="str">
        <f ca="1">IF(C233&lt;&gt;"",IF(D233+$I$9-E233-F233&gt;=0,IF(ISERROR(INDEX($C$3:$C$6,MATCH(C233,$C$3:$C$6,0)+1,0)),Variables!$B$1,INDEX($C$3:$C$6,MATCH(C233,$C$3:$C$6,0)+1,0)),""),"")</f>
        <v/>
      </c>
      <c r="J233" s="29" t="str">
        <f ca="1">IF(ISERROR(VLOOKUP(I233,$C$3:$L$6,5,0)),"",IF(OR(VLOOKUP(I233,$C$3:$L$6,5,0)=Variables!$B$5,B233&gt;VLOOKUP(I233,$C$3:$L$6,8,0)),IF(VLOOKUP(I233,$C$3:$L$6,5,0)=Variables!$B$5,((YEAR(B233)-YEAR($B$12))*12+MONTH(B233)-MONTH($B$12)),((YEAR(B233)-YEAR(VLOOKUP(I233,$C$3:$L$6,8,0)))*12+MONTH(B233)-MONTH(VLOOKUP(I233,$C$3:$L$6,8,0))))*(VLOOKUP(I233,$C$3:$L$6,10,0)*VLOOKUP(I233,$C$3:$L$6,6,0)/12),0))</f>
        <v/>
      </c>
      <c r="K233" s="29" t="str">
        <f ca="1">IF(C233&lt;&gt;"",IF(I233&lt;&gt;"",IF(ISERROR(VLOOKUP(I233,$C$3:$L$6,10,0)),"",VLOOKUP(I233,$C$3:$L$6,10,0)+J233+IF(OR(VLOOKUP(I233,$C$3:$L$6,5,0)=Variables!$B$5,B233&gt;VLOOKUP(I233,$C$3:$L$6,8,0)),IF(VLOOKUP(I233,$C$3:$L$6,5,0)=Variables!$B$5,((YEAR(B233)-YEAR($B$12))*12+MONTH(B233)-MONTH($B$12)),((YEAR(B233)-YEAR(VLOOKUP(I233,$C$3:$L$6,8,0)))*12+MONTH(B233)-MONTH(VLOOKUP(I233,$C$3:$L$6,8,0))))*VLOOKUP(I233,$C$3:$L$6,7,0),0)),""),"")</f>
        <v/>
      </c>
      <c r="L233" s="29" t="str">
        <f t="shared" ca="1" si="29"/>
        <v/>
      </c>
      <c r="M233" s="10"/>
      <c r="N233" s="10"/>
    </row>
    <row r="234" spans="1:14" x14ac:dyDescent="0.25">
      <c r="A234" s="10"/>
      <c r="B234" s="14" t="str">
        <f t="shared" ca="1" si="30"/>
        <v/>
      </c>
      <c r="C234" s="14" t="str">
        <f ca="1">IF(I233&lt;&gt;Variables!$B$1,IF(H233&lt;&gt;0,C233,I233),"")</f>
        <v/>
      </c>
      <c r="D234" s="29" t="str">
        <f t="shared" ca="1" si="27"/>
        <v/>
      </c>
      <c r="E234" s="29" t="str">
        <f t="shared" ca="1" si="28"/>
        <v/>
      </c>
      <c r="F234" s="29" t="str">
        <f ca="1">IF(C234&lt;&gt;"",IF(OR(VLOOKUP(C234,$C$3:$L$6,5,0)=Variables!$B$5,B234&gt;VLOOKUP(C234,$C$3:$L$6,8,0)),-D234*VLOOKUP(C234,$C$3:$L$6,6,0)/12,0),"")</f>
        <v/>
      </c>
      <c r="G234" s="29" t="str">
        <f ca="1">IF(I234&lt;&gt;Variables!$B$1,IF(C234&lt;&gt;"",$I$9-E234-F234,""),-D234)</f>
        <v/>
      </c>
      <c r="H234" s="29" t="str">
        <f t="shared" ca="1" si="31"/>
        <v/>
      </c>
      <c r="I234" s="31" t="str">
        <f ca="1">IF(C234&lt;&gt;"",IF(D234+$I$9-E234-F234&gt;=0,IF(ISERROR(INDEX($C$3:$C$6,MATCH(C234,$C$3:$C$6,0)+1,0)),Variables!$B$1,INDEX($C$3:$C$6,MATCH(C234,$C$3:$C$6,0)+1,0)),""),"")</f>
        <v/>
      </c>
      <c r="J234" s="29" t="str">
        <f ca="1">IF(ISERROR(VLOOKUP(I234,$C$3:$L$6,5,0)),"",IF(OR(VLOOKUP(I234,$C$3:$L$6,5,0)=Variables!$B$5,B234&gt;VLOOKUP(I234,$C$3:$L$6,8,0)),IF(VLOOKUP(I234,$C$3:$L$6,5,0)=Variables!$B$5,((YEAR(B234)-YEAR($B$12))*12+MONTH(B234)-MONTH($B$12)),((YEAR(B234)-YEAR(VLOOKUP(I234,$C$3:$L$6,8,0)))*12+MONTH(B234)-MONTH(VLOOKUP(I234,$C$3:$L$6,8,0))))*(VLOOKUP(I234,$C$3:$L$6,10,0)*VLOOKUP(I234,$C$3:$L$6,6,0)/12),0))</f>
        <v/>
      </c>
      <c r="K234" s="29" t="str">
        <f ca="1">IF(C234&lt;&gt;"",IF(I234&lt;&gt;"",IF(ISERROR(VLOOKUP(I234,$C$3:$L$6,10,0)),"",VLOOKUP(I234,$C$3:$L$6,10,0)+J234+IF(OR(VLOOKUP(I234,$C$3:$L$6,5,0)=Variables!$B$5,B234&gt;VLOOKUP(I234,$C$3:$L$6,8,0)),IF(VLOOKUP(I234,$C$3:$L$6,5,0)=Variables!$B$5,((YEAR(B234)-YEAR($B$12))*12+MONTH(B234)-MONTH($B$12)),((YEAR(B234)-YEAR(VLOOKUP(I234,$C$3:$L$6,8,0)))*12+MONTH(B234)-MONTH(VLOOKUP(I234,$C$3:$L$6,8,0))))*VLOOKUP(I234,$C$3:$L$6,7,0),0)),""),"")</f>
        <v/>
      </c>
      <c r="L234" s="29" t="str">
        <f t="shared" ca="1" si="29"/>
        <v/>
      </c>
      <c r="M234" s="10"/>
      <c r="N234" s="10"/>
    </row>
    <row r="235" spans="1:14" x14ac:dyDescent="0.25">
      <c r="A235" s="10"/>
      <c r="B235" s="14" t="str">
        <f t="shared" ca="1" si="30"/>
        <v/>
      </c>
      <c r="C235" s="14" t="str">
        <f ca="1">IF(I234&lt;&gt;Variables!$B$1,IF(H234&lt;&gt;0,C234,I234),"")</f>
        <v/>
      </c>
      <c r="D235" s="29" t="str">
        <f t="shared" ca="1" si="27"/>
        <v/>
      </c>
      <c r="E235" s="29" t="str">
        <f t="shared" ca="1" si="28"/>
        <v/>
      </c>
      <c r="F235" s="29" t="str">
        <f ca="1">IF(C235&lt;&gt;"",IF(OR(VLOOKUP(C235,$C$3:$L$6,5,0)=Variables!$B$5,B235&gt;VLOOKUP(C235,$C$3:$L$6,8,0)),-D235*VLOOKUP(C235,$C$3:$L$6,6,0)/12,0),"")</f>
        <v/>
      </c>
      <c r="G235" s="29" t="str">
        <f ca="1">IF(I235&lt;&gt;Variables!$B$1,IF(C235&lt;&gt;"",$I$9-E235-F235,""),-D235)</f>
        <v/>
      </c>
      <c r="H235" s="29" t="str">
        <f t="shared" ca="1" si="31"/>
        <v/>
      </c>
      <c r="I235" s="31" t="str">
        <f ca="1">IF(C235&lt;&gt;"",IF(D235+$I$9-E235-F235&gt;=0,IF(ISERROR(INDEX($C$3:$C$6,MATCH(C235,$C$3:$C$6,0)+1,0)),Variables!$B$1,INDEX($C$3:$C$6,MATCH(C235,$C$3:$C$6,0)+1,0)),""),"")</f>
        <v/>
      </c>
      <c r="J235" s="29" t="str">
        <f ca="1">IF(ISERROR(VLOOKUP(I235,$C$3:$L$6,5,0)),"",IF(OR(VLOOKUP(I235,$C$3:$L$6,5,0)=Variables!$B$5,B235&gt;VLOOKUP(I235,$C$3:$L$6,8,0)),IF(VLOOKUP(I235,$C$3:$L$6,5,0)=Variables!$B$5,((YEAR(B235)-YEAR($B$12))*12+MONTH(B235)-MONTH($B$12)),((YEAR(B235)-YEAR(VLOOKUP(I235,$C$3:$L$6,8,0)))*12+MONTH(B235)-MONTH(VLOOKUP(I235,$C$3:$L$6,8,0))))*(VLOOKUP(I235,$C$3:$L$6,10,0)*VLOOKUP(I235,$C$3:$L$6,6,0)/12),0))</f>
        <v/>
      </c>
      <c r="K235" s="29" t="str">
        <f ca="1">IF(C235&lt;&gt;"",IF(I235&lt;&gt;"",IF(ISERROR(VLOOKUP(I235,$C$3:$L$6,10,0)),"",VLOOKUP(I235,$C$3:$L$6,10,0)+J235+IF(OR(VLOOKUP(I235,$C$3:$L$6,5,0)=Variables!$B$5,B235&gt;VLOOKUP(I235,$C$3:$L$6,8,0)),IF(VLOOKUP(I235,$C$3:$L$6,5,0)=Variables!$B$5,((YEAR(B235)-YEAR($B$12))*12+MONTH(B235)-MONTH($B$12)),((YEAR(B235)-YEAR(VLOOKUP(I235,$C$3:$L$6,8,0)))*12+MONTH(B235)-MONTH(VLOOKUP(I235,$C$3:$L$6,8,0))))*VLOOKUP(I235,$C$3:$L$6,7,0),0)),""),"")</f>
        <v/>
      </c>
      <c r="L235" s="29" t="str">
        <f t="shared" ca="1" si="29"/>
        <v/>
      </c>
      <c r="M235" s="10"/>
      <c r="N235" s="10"/>
    </row>
    <row r="236" spans="1:14" x14ac:dyDescent="0.25">
      <c r="A236" s="10"/>
      <c r="B236" s="14" t="str">
        <f t="shared" ca="1" si="30"/>
        <v/>
      </c>
      <c r="C236" s="14" t="str">
        <f ca="1">IF(I235&lt;&gt;Variables!$B$1,IF(H235&lt;&gt;0,C235,I235),"")</f>
        <v/>
      </c>
      <c r="D236" s="29" t="str">
        <f t="shared" ca="1" si="27"/>
        <v/>
      </c>
      <c r="E236" s="29" t="str">
        <f t="shared" ca="1" si="28"/>
        <v/>
      </c>
      <c r="F236" s="29" t="str">
        <f ca="1">IF(C236&lt;&gt;"",IF(OR(VLOOKUP(C236,$C$3:$L$6,5,0)=Variables!$B$5,B236&gt;VLOOKUP(C236,$C$3:$L$6,8,0)),-D236*VLOOKUP(C236,$C$3:$L$6,6,0)/12,0),"")</f>
        <v/>
      </c>
      <c r="G236" s="29" t="str">
        <f ca="1">IF(I236&lt;&gt;Variables!$B$1,IF(C236&lt;&gt;"",$I$9-E236-F236,""),-D236)</f>
        <v/>
      </c>
      <c r="H236" s="29" t="str">
        <f t="shared" ca="1" si="31"/>
        <v/>
      </c>
      <c r="I236" s="31" t="str">
        <f ca="1">IF(C236&lt;&gt;"",IF(D236+$I$9-E236-F236&gt;=0,IF(ISERROR(INDEX($C$3:$C$6,MATCH(C236,$C$3:$C$6,0)+1,0)),Variables!$B$1,INDEX($C$3:$C$6,MATCH(C236,$C$3:$C$6,0)+1,0)),""),"")</f>
        <v/>
      </c>
      <c r="J236" s="29" t="str">
        <f ca="1">IF(ISERROR(VLOOKUP(I236,$C$3:$L$6,5,0)),"",IF(OR(VLOOKUP(I236,$C$3:$L$6,5,0)=Variables!$B$5,B236&gt;VLOOKUP(I236,$C$3:$L$6,8,0)),IF(VLOOKUP(I236,$C$3:$L$6,5,0)=Variables!$B$5,((YEAR(B236)-YEAR($B$12))*12+MONTH(B236)-MONTH($B$12)),((YEAR(B236)-YEAR(VLOOKUP(I236,$C$3:$L$6,8,0)))*12+MONTH(B236)-MONTH(VLOOKUP(I236,$C$3:$L$6,8,0))))*(VLOOKUP(I236,$C$3:$L$6,10,0)*VLOOKUP(I236,$C$3:$L$6,6,0)/12),0))</f>
        <v/>
      </c>
      <c r="K236" s="29" t="str">
        <f ca="1">IF(C236&lt;&gt;"",IF(I236&lt;&gt;"",IF(ISERROR(VLOOKUP(I236,$C$3:$L$6,10,0)),"",VLOOKUP(I236,$C$3:$L$6,10,0)+J236+IF(OR(VLOOKUP(I236,$C$3:$L$6,5,0)=Variables!$B$5,B236&gt;VLOOKUP(I236,$C$3:$L$6,8,0)),IF(VLOOKUP(I236,$C$3:$L$6,5,0)=Variables!$B$5,((YEAR(B236)-YEAR($B$12))*12+MONTH(B236)-MONTH($B$12)),((YEAR(B236)-YEAR(VLOOKUP(I236,$C$3:$L$6,8,0)))*12+MONTH(B236)-MONTH(VLOOKUP(I236,$C$3:$L$6,8,0))))*VLOOKUP(I236,$C$3:$L$6,7,0),0)),""),"")</f>
        <v/>
      </c>
      <c r="L236" s="29" t="str">
        <f t="shared" ca="1" si="29"/>
        <v/>
      </c>
      <c r="M236" s="10"/>
      <c r="N236" s="10"/>
    </row>
    <row r="237" spans="1:14" x14ac:dyDescent="0.25">
      <c r="A237" s="10"/>
      <c r="B237" s="14" t="str">
        <f t="shared" ca="1" si="30"/>
        <v/>
      </c>
      <c r="C237" s="14" t="str">
        <f ca="1">IF(I236&lt;&gt;Variables!$B$1,IF(H236&lt;&gt;0,C236,I236),"")</f>
        <v/>
      </c>
      <c r="D237" s="29" t="str">
        <f t="shared" ca="1" si="27"/>
        <v/>
      </c>
      <c r="E237" s="29" t="str">
        <f t="shared" ca="1" si="28"/>
        <v/>
      </c>
      <c r="F237" s="29" t="str">
        <f ca="1">IF(C237&lt;&gt;"",IF(OR(VLOOKUP(C237,$C$3:$L$6,5,0)=Variables!$B$5,B237&gt;VLOOKUP(C237,$C$3:$L$6,8,0)),-D237*VLOOKUP(C237,$C$3:$L$6,6,0)/12,0),"")</f>
        <v/>
      </c>
      <c r="G237" s="29" t="str">
        <f ca="1">IF(I237&lt;&gt;Variables!$B$1,IF(C237&lt;&gt;"",$I$9-E237-F237,""),-D237)</f>
        <v/>
      </c>
      <c r="H237" s="29" t="str">
        <f t="shared" ca="1" si="31"/>
        <v/>
      </c>
      <c r="I237" s="31" t="str">
        <f ca="1">IF(C237&lt;&gt;"",IF(D237+$I$9-E237-F237&gt;=0,IF(ISERROR(INDEX($C$3:$C$6,MATCH(C237,$C$3:$C$6,0)+1,0)),Variables!$B$1,INDEX($C$3:$C$6,MATCH(C237,$C$3:$C$6,0)+1,0)),""),"")</f>
        <v/>
      </c>
      <c r="J237" s="29" t="str">
        <f ca="1">IF(ISERROR(VLOOKUP(I237,$C$3:$L$6,5,0)),"",IF(OR(VLOOKUP(I237,$C$3:$L$6,5,0)=Variables!$B$5,B237&gt;VLOOKUP(I237,$C$3:$L$6,8,0)),IF(VLOOKUP(I237,$C$3:$L$6,5,0)=Variables!$B$5,((YEAR(B237)-YEAR($B$12))*12+MONTH(B237)-MONTH($B$12)),((YEAR(B237)-YEAR(VLOOKUP(I237,$C$3:$L$6,8,0)))*12+MONTH(B237)-MONTH(VLOOKUP(I237,$C$3:$L$6,8,0))))*(VLOOKUP(I237,$C$3:$L$6,10,0)*VLOOKUP(I237,$C$3:$L$6,6,0)/12),0))</f>
        <v/>
      </c>
      <c r="K237" s="29" t="str">
        <f ca="1">IF(C237&lt;&gt;"",IF(I237&lt;&gt;"",IF(ISERROR(VLOOKUP(I237,$C$3:$L$6,10,0)),"",VLOOKUP(I237,$C$3:$L$6,10,0)+J237+IF(OR(VLOOKUP(I237,$C$3:$L$6,5,0)=Variables!$B$5,B237&gt;VLOOKUP(I237,$C$3:$L$6,8,0)),IF(VLOOKUP(I237,$C$3:$L$6,5,0)=Variables!$B$5,((YEAR(B237)-YEAR($B$12))*12+MONTH(B237)-MONTH($B$12)),((YEAR(B237)-YEAR(VLOOKUP(I237,$C$3:$L$6,8,0)))*12+MONTH(B237)-MONTH(VLOOKUP(I237,$C$3:$L$6,8,0))))*VLOOKUP(I237,$C$3:$L$6,7,0),0)),""),"")</f>
        <v/>
      </c>
      <c r="L237" s="29" t="str">
        <f t="shared" ca="1" si="29"/>
        <v/>
      </c>
      <c r="M237" s="10"/>
      <c r="N237" s="10"/>
    </row>
    <row r="238" spans="1:14" x14ac:dyDescent="0.25">
      <c r="A238" s="10"/>
      <c r="B238" s="14" t="str">
        <f t="shared" ca="1" si="30"/>
        <v/>
      </c>
      <c r="C238" s="14" t="str">
        <f ca="1">IF(I237&lt;&gt;Variables!$B$1,IF(H237&lt;&gt;0,C237,I237),"")</f>
        <v/>
      </c>
      <c r="D238" s="29" t="str">
        <f t="shared" ca="1" si="27"/>
        <v/>
      </c>
      <c r="E238" s="29" t="str">
        <f t="shared" ca="1" si="28"/>
        <v/>
      </c>
      <c r="F238" s="29" t="str">
        <f ca="1">IF(C238&lt;&gt;"",IF(OR(VLOOKUP(C238,$C$3:$L$6,5,0)=Variables!$B$5,B238&gt;VLOOKUP(C238,$C$3:$L$6,8,0)),-D238*VLOOKUP(C238,$C$3:$L$6,6,0)/12,0),"")</f>
        <v/>
      </c>
      <c r="G238" s="29" t="str">
        <f ca="1">IF(I238&lt;&gt;Variables!$B$1,IF(C238&lt;&gt;"",$I$9-E238-F238,""),-D238)</f>
        <v/>
      </c>
      <c r="H238" s="29" t="str">
        <f t="shared" ca="1" si="31"/>
        <v/>
      </c>
      <c r="I238" s="31" t="str">
        <f ca="1">IF(C238&lt;&gt;"",IF(D238+$I$9-E238-F238&gt;=0,IF(ISERROR(INDEX($C$3:$C$6,MATCH(C238,$C$3:$C$6,0)+1,0)),Variables!$B$1,INDEX($C$3:$C$6,MATCH(C238,$C$3:$C$6,0)+1,0)),""),"")</f>
        <v/>
      </c>
      <c r="J238" s="29" t="str">
        <f ca="1">IF(ISERROR(VLOOKUP(I238,$C$3:$L$6,5,0)),"",IF(OR(VLOOKUP(I238,$C$3:$L$6,5,0)=Variables!$B$5,B238&gt;VLOOKUP(I238,$C$3:$L$6,8,0)),IF(VLOOKUP(I238,$C$3:$L$6,5,0)=Variables!$B$5,((YEAR(B238)-YEAR($B$12))*12+MONTH(B238)-MONTH($B$12)),((YEAR(B238)-YEAR(VLOOKUP(I238,$C$3:$L$6,8,0)))*12+MONTH(B238)-MONTH(VLOOKUP(I238,$C$3:$L$6,8,0))))*(VLOOKUP(I238,$C$3:$L$6,10,0)*VLOOKUP(I238,$C$3:$L$6,6,0)/12),0))</f>
        <v/>
      </c>
      <c r="K238" s="29" t="str">
        <f ca="1">IF(C238&lt;&gt;"",IF(I238&lt;&gt;"",IF(ISERROR(VLOOKUP(I238,$C$3:$L$6,10,0)),"",VLOOKUP(I238,$C$3:$L$6,10,0)+J238+IF(OR(VLOOKUP(I238,$C$3:$L$6,5,0)=Variables!$B$5,B238&gt;VLOOKUP(I238,$C$3:$L$6,8,0)),IF(VLOOKUP(I238,$C$3:$L$6,5,0)=Variables!$B$5,((YEAR(B238)-YEAR($B$12))*12+MONTH(B238)-MONTH($B$12)),((YEAR(B238)-YEAR(VLOOKUP(I238,$C$3:$L$6,8,0)))*12+MONTH(B238)-MONTH(VLOOKUP(I238,$C$3:$L$6,8,0))))*VLOOKUP(I238,$C$3:$L$6,7,0),0)),""),"")</f>
        <v/>
      </c>
      <c r="L238" s="29" t="str">
        <f t="shared" ca="1" si="29"/>
        <v/>
      </c>
      <c r="M238" s="10"/>
      <c r="N238" s="10"/>
    </row>
    <row r="239" spans="1:14" x14ac:dyDescent="0.25">
      <c r="A239" s="10"/>
      <c r="B239" s="14" t="str">
        <f t="shared" ca="1" si="30"/>
        <v/>
      </c>
      <c r="C239" s="14" t="str">
        <f ca="1">IF(I238&lt;&gt;Variables!$B$1,IF(H238&lt;&gt;0,C238,I238),"")</f>
        <v/>
      </c>
      <c r="D239" s="29" t="str">
        <f t="shared" ca="1" si="27"/>
        <v/>
      </c>
      <c r="E239" s="29" t="str">
        <f t="shared" ca="1" si="28"/>
        <v/>
      </c>
      <c r="F239" s="29" t="str">
        <f ca="1">IF(C239&lt;&gt;"",IF(OR(VLOOKUP(C239,$C$3:$L$6,5,0)=Variables!$B$5,B239&gt;VLOOKUP(C239,$C$3:$L$6,8,0)),-D239*VLOOKUP(C239,$C$3:$L$6,6,0)/12,0),"")</f>
        <v/>
      </c>
      <c r="G239" s="29" t="str">
        <f ca="1">IF(I239&lt;&gt;Variables!$B$1,IF(C239&lt;&gt;"",$I$9-E239-F239,""),-D239)</f>
        <v/>
      </c>
      <c r="H239" s="29" t="str">
        <f t="shared" ca="1" si="31"/>
        <v/>
      </c>
      <c r="I239" s="31" t="str">
        <f ca="1">IF(C239&lt;&gt;"",IF(D239+$I$9-E239-F239&gt;=0,IF(ISERROR(INDEX($C$3:$C$6,MATCH(C239,$C$3:$C$6,0)+1,0)),Variables!$B$1,INDEX($C$3:$C$6,MATCH(C239,$C$3:$C$6,0)+1,0)),""),"")</f>
        <v/>
      </c>
      <c r="J239" s="29" t="str">
        <f ca="1">IF(ISERROR(VLOOKUP(I239,$C$3:$L$6,5,0)),"",IF(OR(VLOOKUP(I239,$C$3:$L$6,5,0)=Variables!$B$5,B239&gt;VLOOKUP(I239,$C$3:$L$6,8,0)),IF(VLOOKUP(I239,$C$3:$L$6,5,0)=Variables!$B$5,((YEAR(B239)-YEAR($B$12))*12+MONTH(B239)-MONTH($B$12)),((YEAR(B239)-YEAR(VLOOKUP(I239,$C$3:$L$6,8,0)))*12+MONTH(B239)-MONTH(VLOOKUP(I239,$C$3:$L$6,8,0))))*(VLOOKUP(I239,$C$3:$L$6,10,0)*VLOOKUP(I239,$C$3:$L$6,6,0)/12),0))</f>
        <v/>
      </c>
      <c r="K239" s="29" t="str">
        <f ca="1">IF(C239&lt;&gt;"",IF(I239&lt;&gt;"",IF(ISERROR(VLOOKUP(I239,$C$3:$L$6,10,0)),"",VLOOKUP(I239,$C$3:$L$6,10,0)+J239+IF(OR(VLOOKUP(I239,$C$3:$L$6,5,0)=Variables!$B$5,B239&gt;VLOOKUP(I239,$C$3:$L$6,8,0)),IF(VLOOKUP(I239,$C$3:$L$6,5,0)=Variables!$B$5,((YEAR(B239)-YEAR($B$12))*12+MONTH(B239)-MONTH($B$12)),((YEAR(B239)-YEAR(VLOOKUP(I239,$C$3:$L$6,8,0)))*12+MONTH(B239)-MONTH(VLOOKUP(I239,$C$3:$L$6,8,0))))*VLOOKUP(I239,$C$3:$L$6,7,0),0)),""),"")</f>
        <v/>
      </c>
      <c r="L239" s="29" t="str">
        <f t="shared" ca="1" si="29"/>
        <v/>
      </c>
      <c r="M239" s="10"/>
      <c r="N239" s="10"/>
    </row>
    <row r="240" spans="1:14" x14ac:dyDescent="0.25">
      <c r="A240" s="10"/>
      <c r="B240" s="14" t="str">
        <f t="shared" ca="1" si="30"/>
        <v/>
      </c>
      <c r="C240" s="14" t="str">
        <f ca="1">IF(I239&lt;&gt;Variables!$B$1,IF(H239&lt;&gt;0,C239,I239),"")</f>
        <v/>
      </c>
      <c r="D240" s="29" t="str">
        <f t="shared" ca="1" si="27"/>
        <v/>
      </c>
      <c r="E240" s="29" t="str">
        <f t="shared" ca="1" si="28"/>
        <v/>
      </c>
      <c r="F240" s="29" t="str">
        <f ca="1">IF(C240&lt;&gt;"",IF(OR(VLOOKUP(C240,$C$3:$L$6,5,0)=Variables!$B$5,B240&gt;VLOOKUP(C240,$C$3:$L$6,8,0)),-D240*VLOOKUP(C240,$C$3:$L$6,6,0)/12,0),"")</f>
        <v/>
      </c>
      <c r="G240" s="29" t="str">
        <f ca="1">IF(I240&lt;&gt;Variables!$B$1,IF(C240&lt;&gt;"",$I$9-E240-F240,""),-D240)</f>
        <v/>
      </c>
      <c r="H240" s="29" t="str">
        <f t="shared" ca="1" si="31"/>
        <v/>
      </c>
      <c r="I240" s="31" t="str">
        <f ca="1">IF(C240&lt;&gt;"",IF(D240+$I$9-E240-F240&gt;=0,IF(ISERROR(INDEX($C$3:$C$6,MATCH(C240,$C$3:$C$6,0)+1,0)),Variables!$B$1,INDEX($C$3:$C$6,MATCH(C240,$C$3:$C$6,0)+1,0)),""),"")</f>
        <v/>
      </c>
      <c r="J240" s="29" t="str">
        <f ca="1">IF(ISERROR(VLOOKUP(I240,$C$3:$L$6,5,0)),"",IF(OR(VLOOKUP(I240,$C$3:$L$6,5,0)=Variables!$B$5,B240&gt;VLOOKUP(I240,$C$3:$L$6,8,0)),IF(VLOOKUP(I240,$C$3:$L$6,5,0)=Variables!$B$5,((YEAR(B240)-YEAR($B$12))*12+MONTH(B240)-MONTH($B$12)),((YEAR(B240)-YEAR(VLOOKUP(I240,$C$3:$L$6,8,0)))*12+MONTH(B240)-MONTH(VLOOKUP(I240,$C$3:$L$6,8,0))))*(VLOOKUP(I240,$C$3:$L$6,10,0)*VLOOKUP(I240,$C$3:$L$6,6,0)/12),0))</f>
        <v/>
      </c>
      <c r="K240" s="29" t="str">
        <f ca="1">IF(C240&lt;&gt;"",IF(I240&lt;&gt;"",IF(ISERROR(VLOOKUP(I240,$C$3:$L$6,10,0)),"",VLOOKUP(I240,$C$3:$L$6,10,0)+J240+IF(OR(VLOOKUP(I240,$C$3:$L$6,5,0)=Variables!$B$5,B240&gt;VLOOKUP(I240,$C$3:$L$6,8,0)),IF(VLOOKUP(I240,$C$3:$L$6,5,0)=Variables!$B$5,((YEAR(B240)-YEAR($B$12))*12+MONTH(B240)-MONTH($B$12)),((YEAR(B240)-YEAR(VLOOKUP(I240,$C$3:$L$6,8,0)))*12+MONTH(B240)-MONTH(VLOOKUP(I240,$C$3:$L$6,8,0))))*VLOOKUP(I240,$C$3:$L$6,7,0),0)),""),"")</f>
        <v/>
      </c>
      <c r="L240" s="29" t="str">
        <f t="shared" ca="1" si="29"/>
        <v/>
      </c>
      <c r="M240" s="10"/>
      <c r="N240" s="10"/>
    </row>
    <row r="241" spans="1:14" x14ac:dyDescent="0.25">
      <c r="A241" s="10"/>
      <c r="B241" s="14" t="str">
        <f t="shared" ca="1" si="30"/>
        <v/>
      </c>
      <c r="C241" s="14" t="str">
        <f ca="1">IF(I240&lt;&gt;Variables!$B$1,IF(H240&lt;&gt;0,C240,I240),"")</f>
        <v/>
      </c>
      <c r="D241" s="29" t="str">
        <f t="shared" ca="1" si="27"/>
        <v/>
      </c>
      <c r="E241" s="29" t="str">
        <f t="shared" ca="1" si="28"/>
        <v/>
      </c>
      <c r="F241" s="29" t="str">
        <f ca="1">IF(C241&lt;&gt;"",IF(OR(VLOOKUP(C241,$C$3:$L$6,5,0)=Variables!$B$5,B241&gt;VLOOKUP(C241,$C$3:$L$6,8,0)),-D241*VLOOKUP(C241,$C$3:$L$6,6,0)/12,0),"")</f>
        <v/>
      </c>
      <c r="G241" s="29" t="str">
        <f ca="1">IF(I241&lt;&gt;Variables!$B$1,IF(C241&lt;&gt;"",$I$9-E241-F241,""),-D241)</f>
        <v/>
      </c>
      <c r="H241" s="29" t="str">
        <f t="shared" ca="1" si="31"/>
        <v/>
      </c>
      <c r="I241" s="31" t="str">
        <f ca="1">IF(C241&lt;&gt;"",IF(D241+$I$9-E241-F241&gt;=0,IF(ISERROR(INDEX($C$3:$C$6,MATCH(C241,$C$3:$C$6,0)+1,0)),Variables!$B$1,INDEX($C$3:$C$6,MATCH(C241,$C$3:$C$6,0)+1,0)),""),"")</f>
        <v/>
      </c>
      <c r="J241" s="29" t="str">
        <f ca="1">IF(ISERROR(VLOOKUP(I241,$C$3:$L$6,5,0)),"",IF(OR(VLOOKUP(I241,$C$3:$L$6,5,0)=Variables!$B$5,B241&gt;VLOOKUP(I241,$C$3:$L$6,8,0)),IF(VLOOKUP(I241,$C$3:$L$6,5,0)=Variables!$B$5,((YEAR(B241)-YEAR($B$12))*12+MONTH(B241)-MONTH($B$12)),((YEAR(B241)-YEAR(VLOOKUP(I241,$C$3:$L$6,8,0)))*12+MONTH(B241)-MONTH(VLOOKUP(I241,$C$3:$L$6,8,0))))*(VLOOKUP(I241,$C$3:$L$6,10,0)*VLOOKUP(I241,$C$3:$L$6,6,0)/12),0))</f>
        <v/>
      </c>
      <c r="K241" s="29" t="str">
        <f ca="1">IF(C241&lt;&gt;"",IF(I241&lt;&gt;"",IF(ISERROR(VLOOKUP(I241,$C$3:$L$6,10,0)),"",VLOOKUP(I241,$C$3:$L$6,10,0)+J241+IF(OR(VLOOKUP(I241,$C$3:$L$6,5,0)=Variables!$B$5,B241&gt;VLOOKUP(I241,$C$3:$L$6,8,0)),IF(VLOOKUP(I241,$C$3:$L$6,5,0)=Variables!$B$5,((YEAR(B241)-YEAR($B$12))*12+MONTH(B241)-MONTH($B$12)),((YEAR(B241)-YEAR(VLOOKUP(I241,$C$3:$L$6,8,0)))*12+MONTH(B241)-MONTH(VLOOKUP(I241,$C$3:$L$6,8,0))))*VLOOKUP(I241,$C$3:$L$6,7,0),0)),""),"")</f>
        <v/>
      </c>
      <c r="L241" s="29" t="str">
        <f t="shared" ca="1" si="29"/>
        <v/>
      </c>
      <c r="M241" s="10"/>
      <c r="N241" s="10"/>
    </row>
    <row r="242" spans="1:14" x14ac:dyDescent="0.25">
      <c r="A242" s="10"/>
      <c r="B242" s="14" t="str">
        <f t="shared" ca="1" si="30"/>
        <v/>
      </c>
      <c r="C242" s="14" t="str">
        <f ca="1">IF(I241&lt;&gt;Variables!$B$1,IF(H241&lt;&gt;0,C241,I241),"")</f>
        <v/>
      </c>
      <c r="D242" s="29" t="str">
        <f t="shared" ca="1" si="27"/>
        <v/>
      </c>
      <c r="E242" s="29" t="str">
        <f t="shared" ca="1" si="28"/>
        <v/>
      </c>
      <c r="F242" s="29" t="str">
        <f ca="1">IF(C242&lt;&gt;"",IF(OR(VLOOKUP(C242,$C$3:$L$6,5,0)=Variables!$B$5,B242&gt;VLOOKUP(C242,$C$3:$L$6,8,0)),-D242*VLOOKUP(C242,$C$3:$L$6,6,0)/12,0),"")</f>
        <v/>
      </c>
      <c r="G242" s="29" t="str">
        <f ca="1">IF(I242&lt;&gt;Variables!$B$1,IF(C242&lt;&gt;"",$I$9-E242-F242,""),-D242)</f>
        <v/>
      </c>
      <c r="H242" s="29" t="str">
        <f t="shared" ca="1" si="31"/>
        <v/>
      </c>
      <c r="I242" s="31" t="str">
        <f ca="1">IF(C242&lt;&gt;"",IF(D242+$I$9-E242-F242&gt;=0,IF(ISERROR(INDEX($C$3:$C$6,MATCH(C242,$C$3:$C$6,0)+1,0)),Variables!$B$1,INDEX($C$3:$C$6,MATCH(C242,$C$3:$C$6,0)+1,0)),""),"")</f>
        <v/>
      </c>
      <c r="J242" s="29" t="str">
        <f ca="1">IF(ISERROR(VLOOKUP(I242,$C$3:$L$6,5,0)),"",IF(OR(VLOOKUP(I242,$C$3:$L$6,5,0)=Variables!$B$5,B242&gt;VLOOKUP(I242,$C$3:$L$6,8,0)),IF(VLOOKUP(I242,$C$3:$L$6,5,0)=Variables!$B$5,((YEAR(B242)-YEAR($B$12))*12+MONTH(B242)-MONTH($B$12)),((YEAR(B242)-YEAR(VLOOKUP(I242,$C$3:$L$6,8,0)))*12+MONTH(B242)-MONTH(VLOOKUP(I242,$C$3:$L$6,8,0))))*(VLOOKUP(I242,$C$3:$L$6,10,0)*VLOOKUP(I242,$C$3:$L$6,6,0)/12),0))</f>
        <v/>
      </c>
      <c r="K242" s="29" t="str">
        <f ca="1">IF(C242&lt;&gt;"",IF(I242&lt;&gt;"",IF(ISERROR(VLOOKUP(I242,$C$3:$L$6,10,0)),"",VLOOKUP(I242,$C$3:$L$6,10,0)+J242+IF(OR(VLOOKUP(I242,$C$3:$L$6,5,0)=Variables!$B$5,B242&gt;VLOOKUP(I242,$C$3:$L$6,8,0)),IF(VLOOKUP(I242,$C$3:$L$6,5,0)=Variables!$B$5,((YEAR(B242)-YEAR($B$12))*12+MONTH(B242)-MONTH($B$12)),((YEAR(B242)-YEAR(VLOOKUP(I242,$C$3:$L$6,8,0)))*12+MONTH(B242)-MONTH(VLOOKUP(I242,$C$3:$L$6,8,0))))*VLOOKUP(I242,$C$3:$L$6,7,0),0)),""),"")</f>
        <v/>
      </c>
      <c r="L242" s="29" t="str">
        <f t="shared" ca="1" si="29"/>
        <v/>
      </c>
      <c r="M242" s="10"/>
      <c r="N242" s="10"/>
    </row>
    <row r="243" spans="1:14" x14ac:dyDescent="0.25">
      <c r="A243" s="10"/>
      <c r="B243" s="14" t="str">
        <f t="shared" ca="1" si="30"/>
        <v/>
      </c>
      <c r="C243" s="14" t="str">
        <f ca="1">IF(I242&lt;&gt;Variables!$B$1,IF(H242&lt;&gt;0,C242,I242),"")</f>
        <v/>
      </c>
      <c r="D243" s="29" t="str">
        <f t="shared" ca="1" si="27"/>
        <v/>
      </c>
      <c r="E243" s="29" t="str">
        <f t="shared" ca="1" si="28"/>
        <v/>
      </c>
      <c r="F243" s="29" t="str">
        <f ca="1">IF(C243&lt;&gt;"",IF(OR(VLOOKUP(C243,$C$3:$L$6,5,0)=Variables!$B$5,B243&gt;VLOOKUP(C243,$C$3:$L$6,8,0)),-D243*VLOOKUP(C243,$C$3:$L$6,6,0)/12,0),"")</f>
        <v/>
      </c>
      <c r="G243" s="29" t="str">
        <f ca="1">IF(I243&lt;&gt;Variables!$B$1,IF(C243&lt;&gt;"",$I$9-E243-F243,""),-D243)</f>
        <v/>
      </c>
      <c r="H243" s="29" t="str">
        <f t="shared" ca="1" si="31"/>
        <v/>
      </c>
      <c r="I243" s="31" t="str">
        <f ca="1">IF(C243&lt;&gt;"",IF(D243+$I$9-E243-F243&gt;=0,IF(ISERROR(INDEX($C$3:$C$6,MATCH(C243,$C$3:$C$6,0)+1,0)),Variables!$B$1,INDEX($C$3:$C$6,MATCH(C243,$C$3:$C$6,0)+1,0)),""),"")</f>
        <v/>
      </c>
      <c r="J243" s="29" t="str">
        <f ca="1">IF(ISERROR(VLOOKUP(I243,$C$3:$L$6,5,0)),"",IF(OR(VLOOKUP(I243,$C$3:$L$6,5,0)=Variables!$B$5,B243&gt;VLOOKUP(I243,$C$3:$L$6,8,0)),IF(VLOOKUP(I243,$C$3:$L$6,5,0)=Variables!$B$5,((YEAR(B243)-YEAR($B$12))*12+MONTH(B243)-MONTH($B$12)),((YEAR(B243)-YEAR(VLOOKUP(I243,$C$3:$L$6,8,0)))*12+MONTH(B243)-MONTH(VLOOKUP(I243,$C$3:$L$6,8,0))))*(VLOOKUP(I243,$C$3:$L$6,10,0)*VLOOKUP(I243,$C$3:$L$6,6,0)/12),0))</f>
        <v/>
      </c>
      <c r="K243" s="29" t="str">
        <f ca="1">IF(C243&lt;&gt;"",IF(I243&lt;&gt;"",IF(ISERROR(VLOOKUP(I243,$C$3:$L$6,10,0)),"",VLOOKUP(I243,$C$3:$L$6,10,0)+J243+IF(OR(VLOOKUP(I243,$C$3:$L$6,5,0)=Variables!$B$5,B243&gt;VLOOKUP(I243,$C$3:$L$6,8,0)),IF(VLOOKUP(I243,$C$3:$L$6,5,0)=Variables!$B$5,((YEAR(B243)-YEAR($B$12))*12+MONTH(B243)-MONTH($B$12)),((YEAR(B243)-YEAR(VLOOKUP(I243,$C$3:$L$6,8,0)))*12+MONTH(B243)-MONTH(VLOOKUP(I243,$C$3:$L$6,8,0))))*VLOOKUP(I243,$C$3:$L$6,7,0),0)),""),"")</f>
        <v/>
      </c>
      <c r="L243" s="29" t="str">
        <f t="shared" ca="1" si="29"/>
        <v/>
      </c>
      <c r="M243" s="10"/>
      <c r="N243" s="10"/>
    </row>
    <row r="244" spans="1:14" x14ac:dyDescent="0.25">
      <c r="A244" s="10"/>
      <c r="B244" s="14" t="str">
        <f t="shared" ca="1" si="30"/>
        <v/>
      </c>
      <c r="C244" s="14" t="str">
        <f ca="1">IF(I243&lt;&gt;Variables!$B$1,IF(H243&lt;&gt;0,C243,I243),"")</f>
        <v/>
      </c>
      <c r="D244" s="29" t="str">
        <f t="shared" ca="1" si="27"/>
        <v/>
      </c>
      <c r="E244" s="29" t="str">
        <f t="shared" ca="1" si="28"/>
        <v/>
      </c>
      <c r="F244" s="29" t="str">
        <f ca="1">IF(C244&lt;&gt;"",IF(OR(VLOOKUP(C244,$C$3:$L$6,5,0)=Variables!$B$5,B244&gt;VLOOKUP(C244,$C$3:$L$6,8,0)),-D244*VLOOKUP(C244,$C$3:$L$6,6,0)/12,0),"")</f>
        <v/>
      </c>
      <c r="G244" s="29" t="str">
        <f ca="1">IF(I244&lt;&gt;Variables!$B$1,IF(C244&lt;&gt;"",$I$9-E244-F244,""),-D244)</f>
        <v/>
      </c>
      <c r="H244" s="29" t="str">
        <f t="shared" ca="1" si="31"/>
        <v/>
      </c>
      <c r="I244" s="31" t="str">
        <f ca="1">IF(C244&lt;&gt;"",IF(D244+$I$9-E244-F244&gt;=0,IF(ISERROR(INDEX($C$3:$C$6,MATCH(C244,$C$3:$C$6,0)+1,0)),Variables!$B$1,INDEX($C$3:$C$6,MATCH(C244,$C$3:$C$6,0)+1,0)),""),"")</f>
        <v/>
      </c>
      <c r="J244" s="29" t="str">
        <f ca="1">IF(ISERROR(VLOOKUP(I244,$C$3:$L$6,5,0)),"",IF(OR(VLOOKUP(I244,$C$3:$L$6,5,0)=Variables!$B$5,B244&gt;VLOOKUP(I244,$C$3:$L$6,8,0)),IF(VLOOKUP(I244,$C$3:$L$6,5,0)=Variables!$B$5,((YEAR(B244)-YEAR($B$12))*12+MONTH(B244)-MONTH($B$12)),((YEAR(B244)-YEAR(VLOOKUP(I244,$C$3:$L$6,8,0)))*12+MONTH(B244)-MONTH(VLOOKUP(I244,$C$3:$L$6,8,0))))*(VLOOKUP(I244,$C$3:$L$6,10,0)*VLOOKUP(I244,$C$3:$L$6,6,0)/12),0))</f>
        <v/>
      </c>
      <c r="K244" s="29" t="str">
        <f ca="1">IF(C244&lt;&gt;"",IF(I244&lt;&gt;"",IF(ISERROR(VLOOKUP(I244,$C$3:$L$6,10,0)),"",VLOOKUP(I244,$C$3:$L$6,10,0)+J244+IF(OR(VLOOKUP(I244,$C$3:$L$6,5,0)=Variables!$B$5,B244&gt;VLOOKUP(I244,$C$3:$L$6,8,0)),IF(VLOOKUP(I244,$C$3:$L$6,5,0)=Variables!$B$5,((YEAR(B244)-YEAR($B$12))*12+MONTH(B244)-MONTH($B$12)),((YEAR(B244)-YEAR(VLOOKUP(I244,$C$3:$L$6,8,0)))*12+MONTH(B244)-MONTH(VLOOKUP(I244,$C$3:$L$6,8,0))))*VLOOKUP(I244,$C$3:$L$6,7,0),0)),""),"")</f>
        <v/>
      </c>
      <c r="L244" s="29" t="str">
        <f t="shared" ca="1" si="29"/>
        <v/>
      </c>
      <c r="M244" s="10"/>
      <c r="N244" s="10"/>
    </row>
    <row r="245" spans="1:14" x14ac:dyDescent="0.25">
      <c r="A245" s="10"/>
      <c r="B245" s="14" t="str">
        <f t="shared" ca="1" si="30"/>
        <v/>
      </c>
      <c r="C245" s="14" t="str">
        <f ca="1">IF(I244&lt;&gt;Variables!$B$1,IF(H244&lt;&gt;0,C244,I244),"")</f>
        <v/>
      </c>
      <c r="D245" s="29" t="str">
        <f t="shared" ca="1" si="27"/>
        <v/>
      </c>
      <c r="E245" s="29" t="str">
        <f t="shared" ca="1" si="28"/>
        <v/>
      </c>
      <c r="F245" s="29" t="str">
        <f ca="1">IF(C245&lt;&gt;"",IF(OR(VLOOKUP(C245,$C$3:$L$6,5,0)=Variables!$B$5,B245&gt;VLOOKUP(C245,$C$3:$L$6,8,0)),-D245*VLOOKUP(C245,$C$3:$L$6,6,0)/12,0),"")</f>
        <v/>
      </c>
      <c r="G245" s="29" t="str">
        <f ca="1">IF(I245&lt;&gt;Variables!$B$1,IF(C245&lt;&gt;"",$I$9-E245-F245,""),-D245)</f>
        <v/>
      </c>
      <c r="H245" s="29" t="str">
        <f t="shared" ca="1" si="31"/>
        <v/>
      </c>
      <c r="I245" s="31" t="str">
        <f ca="1">IF(C245&lt;&gt;"",IF(D245+$I$9-E245-F245&gt;=0,IF(ISERROR(INDEX($C$3:$C$6,MATCH(C245,$C$3:$C$6,0)+1,0)),Variables!$B$1,INDEX($C$3:$C$6,MATCH(C245,$C$3:$C$6,0)+1,0)),""),"")</f>
        <v/>
      </c>
      <c r="J245" s="29" t="str">
        <f ca="1">IF(ISERROR(VLOOKUP(I245,$C$3:$L$6,5,0)),"",IF(OR(VLOOKUP(I245,$C$3:$L$6,5,0)=Variables!$B$5,B245&gt;VLOOKUP(I245,$C$3:$L$6,8,0)),IF(VLOOKUP(I245,$C$3:$L$6,5,0)=Variables!$B$5,((YEAR(B245)-YEAR($B$12))*12+MONTH(B245)-MONTH($B$12)),((YEAR(B245)-YEAR(VLOOKUP(I245,$C$3:$L$6,8,0)))*12+MONTH(B245)-MONTH(VLOOKUP(I245,$C$3:$L$6,8,0))))*(VLOOKUP(I245,$C$3:$L$6,10,0)*VLOOKUP(I245,$C$3:$L$6,6,0)/12),0))</f>
        <v/>
      </c>
      <c r="K245" s="29" t="str">
        <f ca="1">IF(C245&lt;&gt;"",IF(I245&lt;&gt;"",IF(ISERROR(VLOOKUP(I245,$C$3:$L$6,10,0)),"",VLOOKUP(I245,$C$3:$L$6,10,0)+J245+IF(OR(VLOOKUP(I245,$C$3:$L$6,5,0)=Variables!$B$5,B245&gt;VLOOKUP(I245,$C$3:$L$6,8,0)),IF(VLOOKUP(I245,$C$3:$L$6,5,0)=Variables!$B$5,((YEAR(B245)-YEAR($B$12))*12+MONTH(B245)-MONTH($B$12)),((YEAR(B245)-YEAR(VLOOKUP(I245,$C$3:$L$6,8,0)))*12+MONTH(B245)-MONTH(VLOOKUP(I245,$C$3:$L$6,8,0))))*VLOOKUP(I245,$C$3:$L$6,7,0),0)),""),"")</f>
        <v/>
      </c>
      <c r="L245" s="29" t="str">
        <f t="shared" ca="1" si="29"/>
        <v/>
      </c>
      <c r="M245" s="10"/>
      <c r="N245" s="10"/>
    </row>
    <row r="246" spans="1:14" x14ac:dyDescent="0.25">
      <c r="A246" s="10"/>
      <c r="B246" s="14" t="str">
        <f t="shared" ca="1" si="30"/>
        <v/>
      </c>
      <c r="C246" s="14" t="str">
        <f ca="1">IF(I245&lt;&gt;Variables!$B$1,IF(H245&lt;&gt;0,C245,I245),"")</f>
        <v/>
      </c>
      <c r="D246" s="29" t="str">
        <f t="shared" ca="1" si="27"/>
        <v/>
      </c>
      <c r="E246" s="29" t="str">
        <f t="shared" ca="1" si="28"/>
        <v/>
      </c>
      <c r="F246" s="29" t="str">
        <f ca="1">IF(C246&lt;&gt;"",IF(OR(VLOOKUP(C246,$C$3:$L$6,5,0)=Variables!$B$5,B246&gt;VLOOKUP(C246,$C$3:$L$6,8,0)),-D246*VLOOKUP(C246,$C$3:$L$6,6,0)/12,0),"")</f>
        <v/>
      </c>
      <c r="G246" s="29" t="str">
        <f ca="1">IF(I246&lt;&gt;Variables!$B$1,IF(C246&lt;&gt;"",$I$9-E246-F246,""),-D246)</f>
        <v/>
      </c>
      <c r="H246" s="29" t="str">
        <f t="shared" ca="1" si="31"/>
        <v/>
      </c>
      <c r="I246" s="31" t="str">
        <f ca="1">IF(C246&lt;&gt;"",IF(D246+$I$9-E246-F246&gt;=0,IF(ISERROR(INDEX($C$3:$C$6,MATCH(C246,$C$3:$C$6,0)+1,0)),Variables!$B$1,INDEX($C$3:$C$6,MATCH(C246,$C$3:$C$6,0)+1,0)),""),"")</f>
        <v/>
      </c>
      <c r="J246" s="29" t="str">
        <f ca="1">IF(ISERROR(VLOOKUP(I246,$C$3:$L$6,5,0)),"",IF(OR(VLOOKUP(I246,$C$3:$L$6,5,0)=Variables!$B$5,B246&gt;VLOOKUP(I246,$C$3:$L$6,8,0)),IF(VLOOKUP(I246,$C$3:$L$6,5,0)=Variables!$B$5,((YEAR(B246)-YEAR($B$12))*12+MONTH(B246)-MONTH($B$12)),((YEAR(B246)-YEAR(VLOOKUP(I246,$C$3:$L$6,8,0)))*12+MONTH(B246)-MONTH(VLOOKUP(I246,$C$3:$L$6,8,0))))*(VLOOKUP(I246,$C$3:$L$6,10,0)*VLOOKUP(I246,$C$3:$L$6,6,0)/12),0))</f>
        <v/>
      </c>
      <c r="K246" s="29" t="str">
        <f ca="1">IF(C246&lt;&gt;"",IF(I246&lt;&gt;"",IF(ISERROR(VLOOKUP(I246,$C$3:$L$6,10,0)),"",VLOOKUP(I246,$C$3:$L$6,10,0)+J246+IF(OR(VLOOKUP(I246,$C$3:$L$6,5,0)=Variables!$B$5,B246&gt;VLOOKUP(I246,$C$3:$L$6,8,0)),IF(VLOOKUP(I246,$C$3:$L$6,5,0)=Variables!$B$5,((YEAR(B246)-YEAR($B$12))*12+MONTH(B246)-MONTH($B$12)),((YEAR(B246)-YEAR(VLOOKUP(I246,$C$3:$L$6,8,0)))*12+MONTH(B246)-MONTH(VLOOKUP(I246,$C$3:$L$6,8,0))))*VLOOKUP(I246,$C$3:$L$6,7,0),0)),""),"")</f>
        <v/>
      </c>
      <c r="L246" s="29" t="str">
        <f t="shared" ca="1" si="29"/>
        <v/>
      </c>
      <c r="M246" s="10"/>
      <c r="N246" s="10"/>
    </row>
    <row r="247" spans="1:14" x14ac:dyDescent="0.25">
      <c r="A247" s="10"/>
      <c r="B247" s="14" t="str">
        <f t="shared" ca="1" si="30"/>
        <v/>
      </c>
      <c r="C247" s="14" t="str">
        <f ca="1">IF(I246&lt;&gt;Variables!$B$1,IF(H246&lt;&gt;0,C246,I246),"")</f>
        <v/>
      </c>
      <c r="D247" s="29" t="str">
        <f t="shared" ca="1" si="27"/>
        <v/>
      </c>
      <c r="E247" s="29" t="str">
        <f t="shared" ca="1" si="28"/>
        <v/>
      </c>
      <c r="F247" s="29" t="str">
        <f ca="1">IF(C247&lt;&gt;"",IF(OR(VLOOKUP(C247,$C$3:$L$6,5,0)=Variables!$B$5,B247&gt;VLOOKUP(C247,$C$3:$L$6,8,0)),-D247*VLOOKUP(C247,$C$3:$L$6,6,0)/12,0),"")</f>
        <v/>
      </c>
      <c r="G247" s="29" t="str">
        <f ca="1">IF(I247&lt;&gt;Variables!$B$1,IF(C247&lt;&gt;"",$I$9-E247-F247,""),-D247)</f>
        <v/>
      </c>
      <c r="H247" s="29" t="str">
        <f t="shared" ca="1" si="31"/>
        <v/>
      </c>
      <c r="I247" s="31" t="str">
        <f ca="1">IF(C247&lt;&gt;"",IF(D247+$I$9-E247-F247&gt;=0,IF(ISERROR(INDEX($C$3:$C$6,MATCH(C247,$C$3:$C$6,0)+1,0)),Variables!$B$1,INDEX($C$3:$C$6,MATCH(C247,$C$3:$C$6,0)+1,0)),""),"")</f>
        <v/>
      </c>
      <c r="J247" s="29" t="str">
        <f ca="1">IF(ISERROR(VLOOKUP(I247,$C$3:$L$6,5,0)),"",IF(OR(VLOOKUP(I247,$C$3:$L$6,5,0)=Variables!$B$5,B247&gt;VLOOKUP(I247,$C$3:$L$6,8,0)),IF(VLOOKUP(I247,$C$3:$L$6,5,0)=Variables!$B$5,((YEAR(B247)-YEAR($B$12))*12+MONTH(B247)-MONTH($B$12)),((YEAR(B247)-YEAR(VLOOKUP(I247,$C$3:$L$6,8,0)))*12+MONTH(B247)-MONTH(VLOOKUP(I247,$C$3:$L$6,8,0))))*(VLOOKUP(I247,$C$3:$L$6,10,0)*VLOOKUP(I247,$C$3:$L$6,6,0)/12),0))</f>
        <v/>
      </c>
      <c r="K247" s="29" t="str">
        <f ca="1">IF(C247&lt;&gt;"",IF(I247&lt;&gt;"",IF(ISERROR(VLOOKUP(I247,$C$3:$L$6,10,0)),"",VLOOKUP(I247,$C$3:$L$6,10,0)+J247+IF(OR(VLOOKUP(I247,$C$3:$L$6,5,0)=Variables!$B$5,B247&gt;VLOOKUP(I247,$C$3:$L$6,8,0)),IF(VLOOKUP(I247,$C$3:$L$6,5,0)=Variables!$B$5,((YEAR(B247)-YEAR($B$12))*12+MONTH(B247)-MONTH($B$12)),((YEAR(B247)-YEAR(VLOOKUP(I247,$C$3:$L$6,8,0)))*12+MONTH(B247)-MONTH(VLOOKUP(I247,$C$3:$L$6,8,0))))*VLOOKUP(I247,$C$3:$L$6,7,0),0)),""),"")</f>
        <v/>
      </c>
      <c r="L247" s="29" t="str">
        <f t="shared" ca="1" si="29"/>
        <v/>
      </c>
      <c r="M247" s="10"/>
      <c r="N247" s="10"/>
    </row>
    <row r="248" spans="1:14" x14ac:dyDescent="0.25">
      <c r="A248" s="10"/>
      <c r="B248" s="14" t="str">
        <f t="shared" ca="1" si="30"/>
        <v/>
      </c>
      <c r="C248" s="14" t="str">
        <f ca="1">IF(I247&lt;&gt;Variables!$B$1,IF(H247&lt;&gt;0,C247,I247),"")</f>
        <v/>
      </c>
      <c r="D248" s="29" t="str">
        <f t="shared" ca="1" si="27"/>
        <v/>
      </c>
      <c r="E248" s="29" t="str">
        <f t="shared" ca="1" si="28"/>
        <v/>
      </c>
      <c r="F248" s="29" t="str">
        <f ca="1">IF(C248&lt;&gt;"",IF(OR(VLOOKUP(C248,$C$3:$L$6,5,0)=Variables!$B$5,B248&gt;VLOOKUP(C248,$C$3:$L$6,8,0)),-D248*VLOOKUP(C248,$C$3:$L$6,6,0)/12,0),"")</f>
        <v/>
      </c>
      <c r="G248" s="29" t="str">
        <f ca="1">IF(I248&lt;&gt;Variables!$B$1,IF(C248&lt;&gt;"",$I$9-E248-F248,""),-D248)</f>
        <v/>
      </c>
      <c r="H248" s="29" t="str">
        <f t="shared" ca="1" si="31"/>
        <v/>
      </c>
      <c r="I248" s="31" t="str">
        <f ca="1">IF(C248&lt;&gt;"",IF(D248+$I$9-E248-F248&gt;=0,IF(ISERROR(INDEX($C$3:$C$6,MATCH(C248,$C$3:$C$6,0)+1,0)),Variables!$B$1,INDEX($C$3:$C$6,MATCH(C248,$C$3:$C$6,0)+1,0)),""),"")</f>
        <v/>
      </c>
      <c r="J248" s="29" t="str">
        <f ca="1">IF(ISERROR(VLOOKUP(I248,$C$3:$L$6,5,0)),"",IF(OR(VLOOKUP(I248,$C$3:$L$6,5,0)=Variables!$B$5,B248&gt;VLOOKUP(I248,$C$3:$L$6,8,0)),IF(VLOOKUP(I248,$C$3:$L$6,5,0)=Variables!$B$5,((YEAR(B248)-YEAR($B$12))*12+MONTH(B248)-MONTH($B$12)),((YEAR(B248)-YEAR(VLOOKUP(I248,$C$3:$L$6,8,0)))*12+MONTH(B248)-MONTH(VLOOKUP(I248,$C$3:$L$6,8,0))))*(VLOOKUP(I248,$C$3:$L$6,10,0)*VLOOKUP(I248,$C$3:$L$6,6,0)/12),0))</f>
        <v/>
      </c>
      <c r="K248" s="29" t="str">
        <f ca="1">IF(C248&lt;&gt;"",IF(I248&lt;&gt;"",IF(ISERROR(VLOOKUP(I248,$C$3:$L$6,10,0)),"",VLOOKUP(I248,$C$3:$L$6,10,0)+J248+IF(OR(VLOOKUP(I248,$C$3:$L$6,5,0)=Variables!$B$5,B248&gt;VLOOKUP(I248,$C$3:$L$6,8,0)),IF(VLOOKUP(I248,$C$3:$L$6,5,0)=Variables!$B$5,((YEAR(B248)-YEAR($B$12))*12+MONTH(B248)-MONTH($B$12)),((YEAR(B248)-YEAR(VLOOKUP(I248,$C$3:$L$6,8,0)))*12+MONTH(B248)-MONTH(VLOOKUP(I248,$C$3:$L$6,8,0))))*VLOOKUP(I248,$C$3:$L$6,7,0),0)),""),"")</f>
        <v/>
      </c>
      <c r="L248" s="29" t="str">
        <f t="shared" ca="1" si="29"/>
        <v/>
      </c>
      <c r="M248" s="10"/>
      <c r="N248" s="10"/>
    </row>
    <row r="249" spans="1:14" x14ac:dyDescent="0.25">
      <c r="A249" s="10"/>
      <c r="B249" s="14" t="str">
        <f t="shared" ca="1" si="30"/>
        <v/>
      </c>
      <c r="C249" s="14" t="str">
        <f ca="1">IF(I248&lt;&gt;Variables!$B$1,IF(H248&lt;&gt;0,C248,I248),"")</f>
        <v/>
      </c>
      <c r="D249" s="29" t="str">
        <f t="shared" ca="1" si="27"/>
        <v/>
      </c>
      <c r="E249" s="29" t="str">
        <f t="shared" ca="1" si="28"/>
        <v/>
      </c>
      <c r="F249" s="29" t="str">
        <f ca="1">IF(C249&lt;&gt;"",IF(OR(VLOOKUP(C249,$C$3:$L$6,5,0)=Variables!$B$5,B249&gt;VLOOKUP(C249,$C$3:$L$6,8,0)),-D249*VLOOKUP(C249,$C$3:$L$6,6,0)/12,0),"")</f>
        <v/>
      </c>
      <c r="G249" s="29" t="str">
        <f ca="1">IF(I249&lt;&gt;Variables!$B$1,IF(C249&lt;&gt;"",$I$9-E249-F249,""),-D249)</f>
        <v/>
      </c>
      <c r="H249" s="29" t="str">
        <f t="shared" ca="1" si="31"/>
        <v/>
      </c>
      <c r="I249" s="31" t="str">
        <f ca="1">IF(C249&lt;&gt;"",IF(D249+$I$9-E249-F249&gt;=0,IF(ISERROR(INDEX($C$3:$C$6,MATCH(C249,$C$3:$C$6,0)+1,0)),Variables!$B$1,INDEX($C$3:$C$6,MATCH(C249,$C$3:$C$6,0)+1,0)),""),"")</f>
        <v/>
      </c>
      <c r="J249" s="29" t="str">
        <f ca="1">IF(ISERROR(VLOOKUP(I249,$C$3:$L$6,5,0)),"",IF(OR(VLOOKUP(I249,$C$3:$L$6,5,0)=Variables!$B$5,B249&gt;VLOOKUP(I249,$C$3:$L$6,8,0)),IF(VLOOKUP(I249,$C$3:$L$6,5,0)=Variables!$B$5,((YEAR(B249)-YEAR($B$12))*12+MONTH(B249)-MONTH($B$12)),((YEAR(B249)-YEAR(VLOOKUP(I249,$C$3:$L$6,8,0)))*12+MONTH(B249)-MONTH(VLOOKUP(I249,$C$3:$L$6,8,0))))*(VLOOKUP(I249,$C$3:$L$6,10,0)*VLOOKUP(I249,$C$3:$L$6,6,0)/12),0))</f>
        <v/>
      </c>
      <c r="K249" s="29" t="str">
        <f ca="1">IF(C249&lt;&gt;"",IF(I249&lt;&gt;"",IF(ISERROR(VLOOKUP(I249,$C$3:$L$6,10,0)),"",VLOOKUP(I249,$C$3:$L$6,10,0)+J249+IF(OR(VLOOKUP(I249,$C$3:$L$6,5,0)=Variables!$B$5,B249&gt;VLOOKUP(I249,$C$3:$L$6,8,0)),IF(VLOOKUP(I249,$C$3:$L$6,5,0)=Variables!$B$5,((YEAR(B249)-YEAR($B$12))*12+MONTH(B249)-MONTH($B$12)),((YEAR(B249)-YEAR(VLOOKUP(I249,$C$3:$L$6,8,0)))*12+MONTH(B249)-MONTH(VLOOKUP(I249,$C$3:$L$6,8,0))))*VLOOKUP(I249,$C$3:$L$6,7,0),0)),""),"")</f>
        <v/>
      </c>
      <c r="L249" s="29" t="str">
        <f t="shared" ca="1" si="29"/>
        <v/>
      </c>
      <c r="M249" s="10"/>
      <c r="N249" s="10"/>
    </row>
    <row r="250" spans="1:14" x14ac:dyDescent="0.25">
      <c r="A250" s="10"/>
      <c r="B250" s="14" t="str">
        <f t="shared" ca="1" si="30"/>
        <v/>
      </c>
      <c r="C250" s="14" t="str">
        <f ca="1">IF(I249&lt;&gt;Variables!$B$1,IF(H249&lt;&gt;0,C249,I249),"")</f>
        <v/>
      </c>
      <c r="D250" s="29" t="str">
        <f t="shared" ca="1" si="27"/>
        <v/>
      </c>
      <c r="E250" s="29" t="str">
        <f t="shared" ca="1" si="28"/>
        <v/>
      </c>
      <c r="F250" s="29" t="str">
        <f ca="1">IF(C250&lt;&gt;"",IF(OR(VLOOKUP(C250,$C$3:$L$6,5,0)=Variables!$B$5,B250&gt;VLOOKUP(C250,$C$3:$L$6,8,0)),-D250*VLOOKUP(C250,$C$3:$L$6,6,0)/12,0),"")</f>
        <v/>
      </c>
      <c r="G250" s="29" t="str">
        <f ca="1">IF(I250&lt;&gt;Variables!$B$1,IF(C250&lt;&gt;"",$I$9-E250-F250,""),-D250)</f>
        <v/>
      </c>
      <c r="H250" s="29" t="str">
        <f t="shared" ca="1" si="31"/>
        <v/>
      </c>
      <c r="I250" s="31" t="str">
        <f ca="1">IF(C250&lt;&gt;"",IF(D250+$I$9-E250-F250&gt;=0,IF(ISERROR(INDEX($C$3:$C$6,MATCH(C250,$C$3:$C$6,0)+1,0)),Variables!$B$1,INDEX($C$3:$C$6,MATCH(C250,$C$3:$C$6,0)+1,0)),""),"")</f>
        <v/>
      </c>
      <c r="J250" s="29" t="str">
        <f ca="1">IF(ISERROR(VLOOKUP(I250,$C$3:$L$6,5,0)),"",IF(OR(VLOOKUP(I250,$C$3:$L$6,5,0)=Variables!$B$5,B250&gt;VLOOKUP(I250,$C$3:$L$6,8,0)),IF(VLOOKUP(I250,$C$3:$L$6,5,0)=Variables!$B$5,((YEAR(B250)-YEAR($B$12))*12+MONTH(B250)-MONTH($B$12)),((YEAR(B250)-YEAR(VLOOKUP(I250,$C$3:$L$6,8,0)))*12+MONTH(B250)-MONTH(VLOOKUP(I250,$C$3:$L$6,8,0))))*(VLOOKUP(I250,$C$3:$L$6,10,0)*VLOOKUP(I250,$C$3:$L$6,6,0)/12),0))</f>
        <v/>
      </c>
      <c r="K250" s="29" t="str">
        <f ca="1">IF(C250&lt;&gt;"",IF(I250&lt;&gt;"",IF(ISERROR(VLOOKUP(I250,$C$3:$L$6,10,0)),"",VLOOKUP(I250,$C$3:$L$6,10,0)+J250+IF(OR(VLOOKUP(I250,$C$3:$L$6,5,0)=Variables!$B$5,B250&gt;VLOOKUP(I250,$C$3:$L$6,8,0)),IF(VLOOKUP(I250,$C$3:$L$6,5,0)=Variables!$B$5,((YEAR(B250)-YEAR($B$12))*12+MONTH(B250)-MONTH($B$12)),((YEAR(B250)-YEAR(VLOOKUP(I250,$C$3:$L$6,8,0)))*12+MONTH(B250)-MONTH(VLOOKUP(I250,$C$3:$L$6,8,0))))*VLOOKUP(I250,$C$3:$L$6,7,0),0)),""),"")</f>
        <v/>
      </c>
      <c r="L250" s="29" t="str">
        <f t="shared" ca="1" si="29"/>
        <v/>
      </c>
      <c r="M250" s="10"/>
      <c r="N250" s="10"/>
    </row>
    <row r="251" spans="1:14" x14ac:dyDescent="0.25">
      <c r="A251" s="10"/>
      <c r="B251" s="14" t="str">
        <f t="shared" ca="1" si="30"/>
        <v/>
      </c>
      <c r="C251" s="14" t="str">
        <f ca="1">IF(I250&lt;&gt;Variables!$B$1,IF(H250&lt;&gt;0,C250,I250),"")</f>
        <v/>
      </c>
      <c r="D251" s="29" t="str">
        <f t="shared" ca="1" si="27"/>
        <v/>
      </c>
      <c r="E251" s="29" t="str">
        <f t="shared" ca="1" si="28"/>
        <v/>
      </c>
      <c r="F251" s="29" t="str">
        <f ca="1">IF(C251&lt;&gt;"",IF(OR(VLOOKUP(C251,$C$3:$L$6,5,0)=Variables!$B$5,B251&gt;VLOOKUP(C251,$C$3:$L$6,8,0)),-D251*VLOOKUP(C251,$C$3:$L$6,6,0)/12,0),"")</f>
        <v/>
      </c>
      <c r="G251" s="29" t="str">
        <f ca="1">IF(I251&lt;&gt;Variables!$B$1,IF(C251&lt;&gt;"",$I$9-E251-F251,""),-D251)</f>
        <v/>
      </c>
      <c r="H251" s="29" t="str">
        <f t="shared" ca="1" si="31"/>
        <v/>
      </c>
      <c r="I251" s="31" t="str">
        <f ca="1">IF(C251&lt;&gt;"",IF(D251+$I$9-E251-F251&gt;=0,IF(ISERROR(INDEX($C$3:$C$6,MATCH(C251,$C$3:$C$6,0)+1,0)),Variables!$B$1,INDEX($C$3:$C$6,MATCH(C251,$C$3:$C$6,0)+1,0)),""),"")</f>
        <v/>
      </c>
      <c r="J251" s="29" t="str">
        <f ca="1">IF(ISERROR(VLOOKUP(I251,$C$3:$L$6,5,0)),"",IF(OR(VLOOKUP(I251,$C$3:$L$6,5,0)=Variables!$B$5,B251&gt;VLOOKUP(I251,$C$3:$L$6,8,0)),IF(VLOOKUP(I251,$C$3:$L$6,5,0)=Variables!$B$5,((YEAR(B251)-YEAR($B$12))*12+MONTH(B251)-MONTH($B$12)),((YEAR(B251)-YEAR(VLOOKUP(I251,$C$3:$L$6,8,0)))*12+MONTH(B251)-MONTH(VLOOKUP(I251,$C$3:$L$6,8,0))))*(VLOOKUP(I251,$C$3:$L$6,10,0)*VLOOKUP(I251,$C$3:$L$6,6,0)/12),0))</f>
        <v/>
      </c>
      <c r="K251" s="29" t="str">
        <f ca="1">IF(C251&lt;&gt;"",IF(I251&lt;&gt;"",IF(ISERROR(VLOOKUP(I251,$C$3:$L$6,10,0)),"",VLOOKUP(I251,$C$3:$L$6,10,0)+J251+IF(OR(VLOOKUP(I251,$C$3:$L$6,5,0)=Variables!$B$5,B251&gt;VLOOKUP(I251,$C$3:$L$6,8,0)),IF(VLOOKUP(I251,$C$3:$L$6,5,0)=Variables!$B$5,((YEAR(B251)-YEAR($B$12))*12+MONTH(B251)-MONTH($B$12)),((YEAR(B251)-YEAR(VLOOKUP(I251,$C$3:$L$6,8,0)))*12+MONTH(B251)-MONTH(VLOOKUP(I251,$C$3:$L$6,8,0))))*VLOOKUP(I251,$C$3:$L$6,7,0),0)),""),"")</f>
        <v/>
      </c>
      <c r="L251" s="29" t="str">
        <f t="shared" ca="1" si="29"/>
        <v/>
      </c>
      <c r="M251" s="10"/>
      <c r="N251" s="10"/>
    </row>
    <row r="252" spans="1:14" x14ac:dyDescent="0.25">
      <c r="A252" s="10"/>
      <c r="B252" s="14" t="str">
        <f t="shared" ca="1" si="30"/>
        <v/>
      </c>
      <c r="C252" s="14" t="str">
        <f ca="1">IF(I251&lt;&gt;Variables!$B$1,IF(H251&lt;&gt;0,C251,I251),"")</f>
        <v/>
      </c>
      <c r="D252" s="29" t="str">
        <f t="shared" ca="1" si="27"/>
        <v/>
      </c>
      <c r="E252" s="29" t="str">
        <f t="shared" ca="1" si="28"/>
        <v/>
      </c>
      <c r="F252" s="29" t="str">
        <f ca="1">IF(C252&lt;&gt;"",IF(OR(VLOOKUP(C252,$C$3:$L$6,5,0)=Variables!$B$5,B252&gt;VLOOKUP(C252,$C$3:$L$6,8,0)),-D252*VLOOKUP(C252,$C$3:$L$6,6,0)/12,0),"")</f>
        <v/>
      </c>
      <c r="G252" s="29" t="str">
        <f ca="1">IF(I252&lt;&gt;Variables!$B$1,IF(C252&lt;&gt;"",$I$9-E252-F252,""),-D252)</f>
        <v/>
      </c>
      <c r="H252" s="29" t="str">
        <f t="shared" ca="1" si="31"/>
        <v/>
      </c>
      <c r="I252" s="31" t="str">
        <f ca="1">IF(C252&lt;&gt;"",IF(D252+$I$9-E252-F252&gt;=0,IF(ISERROR(INDEX($C$3:$C$6,MATCH(C252,$C$3:$C$6,0)+1,0)),Variables!$B$1,INDEX($C$3:$C$6,MATCH(C252,$C$3:$C$6,0)+1,0)),""),"")</f>
        <v/>
      </c>
      <c r="J252" s="29" t="str">
        <f ca="1">IF(ISERROR(VLOOKUP(I252,$C$3:$L$6,5,0)),"",IF(OR(VLOOKUP(I252,$C$3:$L$6,5,0)=Variables!$B$5,B252&gt;VLOOKUP(I252,$C$3:$L$6,8,0)),IF(VLOOKUP(I252,$C$3:$L$6,5,0)=Variables!$B$5,((YEAR(B252)-YEAR($B$12))*12+MONTH(B252)-MONTH($B$12)),((YEAR(B252)-YEAR(VLOOKUP(I252,$C$3:$L$6,8,0)))*12+MONTH(B252)-MONTH(VLOOKUP(I252,$C$3:$L$6,8,0))))*(VLOOKUP(I252,$C$3:$L$6,10,0)*VLOOKUP(I252,$C$3:$L$6,6,0)/12),0))</f>
        <v/>
      </c>
      <c r="K252" s="29" t="str">
        <f ca="1">IF(C252&lt;&gt;"",IF(I252&lt;&gt;"",IF(ISERROR(VLOOKUP(I252,$C$3:$L$6,10,0)),"",VLOOKUP(I252,$C$3:$L$6,10,0)+J252+IF(OR(VLOOKUP(I252,$C$3:$L$6,5,0)=Variables!$B$5,B252&gt;VLOOKUP(I252,$C$3:$L$6,8,0)),IF(VLOOKUP(I252,$C$3:$L$6,5,0)=Variables!$B$5,((YEAR(B252)-YEAR($B$12))*12+MONTH(B252)-MONTH($B$12)),((YEAR(B252)-YEAR(VLOOKUP(I252,$C$3:$L$6,8,0)))*12+MONTH(B252)-MONTH(VLOOKUP(I252,$C$3:$L$6,8,0))))*VLOOKUP(I252,$C$3:$L$6,7,0),0)),""),"")</f>
        <v/>
      </c>
      <c r="L252" s="29" t="str">
        <f t="shared" ca="1" si="29"/>
        <v/>
      </c>
      <c r="M252" s="10"/>
      <c r="N252" s="10"/>
    </row>
    <row r="253" spans="1:14" x14ac:dyDescent="0.25">
      <c r="A253" s="10"/>
      <c r="B253" s="14" t="str">
        <f t="shared" ca="1" si="30"/>
        <v/>
      </c>
      <c r="C253" s="14" t="str">
        <f ca="1">IF(I252&lt;&gt;Variables!$B$1,IF(H252&lt;&gt;0,C252,I252),"")</f>
        <v/>
      </c>
      <c r="D253" s="29" t="str">
        <f t="shared" ca="1" si="27"/>
        <v/>
      </c>
      <c r="E253" s="29" t="str">
        <f t="shared" ca="1" si="28"/>
        <v/>
      </c>
      <c r="F253" s="29" t="str">
        <f ca="1">IF(C253&lt;&gt;"",IF(OR(VLOOKUP(C253,$C$3:$L$6,5,0)=Variables!$B$5,B253&gt;VLOOKUP(C253,$C$3:$L$6,8,0)),-D253*VLOOKUP(C253,$C$3:$L$6,6,0)/12,0),"")</f>
        <v/>
      </c>
      <c r="G253" s="29" t="str">
        <f ca="1">IF(I253&lt;&gt;Variables!$B$1,IF(C253&lt;&gt;"",$I$9-E253-F253,""),-D253)</f>
        <v/>
      </c>
      <c r="H253" s="29" t="str">
        <f t="shared" ca="1" si="31"/>
        <v/>
      </c>
      <c r="I253" s="31" t="str">
        <f ca="1">IF(C253&lt;&gt;"",IF(D253+$I$9-E253-F253&gt;=0,IF(ISERROR(INDEX($C$3:$C$6,MATCH(C253,$C$3:$C$6,0)+1,0)),Variables!$B$1,INDEX($C$3:$C$6,MATCH(C253,$C$3:$C$6,0)+1,0)),""),"")</f>
        <v/>
      </c>
      <c r="J253" s="29" t="str">
        <f ca="1">IF(ISERROR(VLOOKUP(I253,$C$3:$L$6,5,0)),"",IF(OR(VLOOKUP(I253,$C$3:$L$6,5,0)=Variables!$B$5,B253&gt;VLOOKUP(I253,$C$3:$L$6,8,0)),IF(VLOOKUP(I253,$C$3:$L$6,5,0)=Variables!$B$5,((YEAR(B253)-YEAR($B$12))*12+MONTH(B253)-MONTH($B$12)),((YEAR(B253)-YEAR(VLOOKUP(I253,$C$3:$L$6,8,0)))*12+MONTH(B253)-MONTH(VLOOKUP(I253,$C$3:$L$6,8,0))))*(VLOOKUP(I253,$C$3:$L$6,10,0)*VLOOKUP(I253,$C$3:$L$6,6,0)/12),0))</f>
        <v/>
      </c>
      <c r="K253" s="29" t="str">
        <f ca="1">IF(C253&lt;&gt;"",IF(I253&lt;&gt;"",IF(ISERROR(VLOOKUP(I253,$C$3:$L$6,10,0)),"",VLOOKUP(I253,$C$3:$L$6,10,0)+J253+IF(OR(VLOOKUP(I253,$C$3:$L$6,5,0)=Variables!$B$5,B253&gt;VLOOKUP(I253,$C$3:$L$6,8,0)),IF(VLOOKUP(I253,$C$3:$L$6,5,0)=Variables!$B$5,((YEAR(B253)-YEAR($B$12))*12+MONTH(B253)-MONTH($B$12)),((YEAR(B253)-YEAR(VLOOKUP(I253,$C$3:$L$6,8,0)))*12+MONTH(B253)-MONTH(VLOOKUP(I253,$C$3:$L$6,8,0))))*VLOOKUP(I253,$C$3:$L$6,7,0),0)),""),"")</f>
        <v/>
      </c>
      <c r="L253" s="29" t="str">
        <f t="shared" ca="1" si="29"/>
        <v/>
      </c>
      <c r="M253" s="10"/>
      <c r="N253" s="10"/>
    </row>
    <row r="254" spans="1:14" x14ac:dyDescent="0.25">
      <c r="A254" s="10"/>
      <c r="B254" s="14" t="str">
        <f t="shared" ca="1" si="30"/>
        <v/>
      </c>
      <c r="C254" s="14" t="str">
        <f ca="1">IF(I253&lt;&gt;Variables!$B$1,IF(H253&lt;&gt;0,C253,I253),"")</f>
        <v/>
      </c>
      <c r="D254" s="29" t="str">
        <f t="shared" ca="1" si="27"/>
        <v/>
      </c>
      <c r="E254" s="29" t="str">
        <f t="shared" ca="1" si="28"/>
        <v/>
      </c>
      <c r="F254" s="29" t="str">
        <f ca="1">IF(C254&lt;&gt;"",IF(OR(VLOOKUP(C254,$C$3:$L$6,5,0)=Variables!$B$5,B254&gt;VLOOKUP(C254,$C$3:$L$6,8,0)),-D254*VLOOKUP(C254,$C$3:$L$6,6,0)/12,0),"")</f>
        <v/>
      </c>
      <c r="G254" s="29" t="str">
        <f ca="1">IF(I254&lt;&gt;Variables!$B$1,IF(C254&lt;&gt;"",$I$9-E254-F254,""),-D254)</f>
        <v/>
      </c>
      <c r="H254" s="29" t="str">
        <f t="shared" ca="1" si="31"/>
        <v/>
      </c>
      <c r="I254" s="31" t="str">
        <f ca="1">IF(C254&lt;&gt;"",IF(D254+$I$9-E254-F254&gt;=0,IF(ISERROR(INDEX($C$3:$C$6,MATCH(C254,$C$3:$C$6,0)+1,0)),Variables!$B$1,INDEX($C$3:$C$6,MATCH(C254,$C$3:$C$6,0)+1,0)),""),"")</f>
        <v/>
      </c>
      <c r="J254" s="29" t="str">
        <f ca="1">IF(ISERROR(VLOOKUP(I254,$C$3:$L$6,5,0)),"",IF(OR(VLOOKUP(I254,$C$3:$L$6,5,0)=Variables!$B$5,B254&gt;VLOOKUP(I254,$C$3:$L$6,8,0)),IF(VLOOKUP(I254,$C$3:$L$6,5,0)=Variables!$B$5,((YEAR(B254)-YEAR($B$12))*12+MONTH(B254)-MONTH($B$12)),((YEAR(B254)-YEAR(VLOOKUP(I254,$C$3:$L$6,8,0)))*12+MONTH(B254)-MONTH(VLOOKUP(I254,$C$3:$L$6,8,0))))*(VLOOKUP(I254,$C$3:$L$6,10,0)*VLOOKUP(I254,$C$3:$L$6,6,0)/12),0))</f>
        <v/>
      </c>
      <c r="K254" s="29" t="str">
        <f ca="1">IF(C254&lt;&gt;"",IF(I254&lt;&gt;"",IF(ISERROR(VLOOKUP(I254,$C$3:$L$6,10,0)),"",VLOOKUP(I254,$C$3:$L$6,10,0)+J254+IF(OR(VLOOKUP(I254,$C$3:$L$6,5,0)=Variables!$B$5,B254&gt;VLOOKUP(I254,$C$3:$L$6,8,0)),IF(VLOOKUP(I254,$C$3:$L$6,5,0)=Variables!$B$5,((YEAR(B254)-YEAR($B$12))*12+MONTH(B254)-MONTH($B$12)),((YEAR(B254)-YEAR(VLOOKUP(I254,$C$3:$L$6,8,0)))*12+MONTH(B254)-MONTH(VLOOKUP(I254,$C$3:$L$6,8,0))))*VLOOKUP(I254,$C$3:$L$6,7,0),0)),""),"")</f>
        <v/>
      </c>
      <c r="L254" s="29" t="str">
        <f t="shared" ca="1" si="29"/>
        <v/>
      </c>
      <c r="M254" s="10"/>
      <c r="N254" s="10"/>
    </row>
    <row r="255" spans="1:14" x14ac:dyDescent="0.25">
      <c r="A255" s="10"/>
      <c r="B255" s="14" t="str">
        <f t="shared" ca="1" si="30"/>
        <v/>
      </c>
      <c r="C255" s="14" t="str">
        <f ca="1">IF(I254&lt;&gt;Variables!$B$1,IF(H254&lt;&gt;0,C254,I254),"")</f>
        <v/>
      </c>
      <c r="D255" s="29" t="str">
        <f t="shared" ca="1" si="27"/>
        <v/>
      </c>
      <c r="E255" s="29" t="str">
        <f t="shared" ca="1" si="28"/>
        <v/>
      </c>
      <c r="F255" s="29" t="str">
        <f ca="1">IF(C255&lt;&gt;"",IF(OR(VLOOKUP(C255,$C$3:$L$6,5,0)=Variables!$B$5,B255&gt;VLOOKUP(C255,$C$3:$L$6,8,0)),-D255*VLOOKUP(C255,$C$3:$L$6,6,0)/12,0),"")</f>
        <v/>
      </c>
      <c r="G255" s="29" t="str">
        <f ca="1">IF(I255&lt;&gt;Variables!$B$1,IF(C255&lt;&gt;"",$I$9-E255-F255,""),-D255)</f>
        <v/>
      </c>
      <c r="H255" s="29" t="str">
        <f t="shared" ca="1" si="31"/>
        <v/>
      </c>
      <c r="I255" s="31" t="str">
        <f ca="1">IF(C255&lt;&gt;"",IF(D255+$I$9-E255-F255&gt;=0,IF(ISERROR(INDEX($C$3:$C$6,MATCH(C255,$C$3:$C$6,0)+1,0)),Variables!$B$1,INDEX($C$3:$C$6,MATCH(C255,$C$3:$C$6,0)+1,0)),""),"")</f>
        <v/>
      </c>
      <c r="J255" s="29" t="str">
        <f ca="1">IF(ISERROR(VLOOKUP(I255,$C$3:$L$6,5,0)),"",IF(OR(VLOOKUP(I255,$C$3:$L$6,5,0)=Variables!$B$5,B255&gt;VLOOKUP(I255,$C$3:$L$6,8,0)),IF(VLOOKUP(I255,$C$3:$L$6,5,0)=Variables!$B$5,((YEAR(B255)-YEAR($B$12))*12+MONTH(B255)-MONTH($B$12)),((YEAR(B255)-YEAR(VLOOKUP(I255,$C$3:$L$6,8,0)))*12+MONTH(B255)-MONTH(VLOOKUP(I255,$C$3:$L$6,8,0))))*(VLOOKUP(I255,$C$3:$L$6,10,0)*VLOOKUP(I255,$C$3:$L$6,6,0)/12),0))</f>
        <v/>
      </c>
      <c r="K255" s="29" t="str">
        <f ca="1">IF(C255&lt;&gt;"",IF(I255&lt;&gt;"",IF(ISERROR(VLOOKUP(I255,$C$3:$L$6,10,0)),"",VLOOKUP(I255,$C$3:$L$6,10,0)+J255+IF(OR(VLOOKUP(I255,$C$3:$L$6,5,0)=Variables!$B$5,B255&gt;VLOOKUP(I255,$C$3:$L$6,8,0)),IF(VLOOKUP(I255,$C$3:$L$6,5,0)=Variables!$B$5,((YEAR(B255)-YEAR($B$12))*12+MONTH(B255)-MONTH($B$12)),((YEAR(B255)-YEAR(VLOOKUP(I255,$C$3:$L$6,8,0)))*12+MONTH(B255)-MONTH(VLOOKUP(I255,$C$3:$L$6,8,0))))*VLOOKUP(I255,$C$3:$L$6,7,0),0)),""),"")</f>
        <v/>
      </c>
      <c r="L255" s="29" t="str">
        <f t="shared" ca="1" si="29"/>
        <v/>
      </c>
      <c r="M255" s="10"/>
      <c r="N255" s="10"/>
    </row>
    <row r="256" spans="1:14" x14ac:dyDescent="0.25">
      <c r="A256" s="10"/>
      <c r="B256" s="14" t="str">
        <f t="shared" ca="1" si="30"/>
        <v/>
      </c>
      <c r="C256" s="14" t="str">
        <f ca="1">IF(I255&lt;&gt;Variables!$B$1,IF(H255&lt;&gt;0,C255,I255),"")</f>
        <v/>
      </c>
      <c r="D256" s="29" t="str">
        <f t="shared" ca="1" si="27"/>
        <v/>
      </c>
      <c r="E256" s="29" t="str">
        <f t="shared" ca="1" si="28"/>
        <v/>
      </c>
      <c r="F256" s="29" t="str">
        <f ca="1">IF(C256&lt;&gt;"",IF(OR(VLOOKUP(C256,$C$3:$L$6,5,0)=Variables!$B$5,B256&gt;VLOOKUP(C256,$C$3:$L$6,8,0)),-D256*VLOOKUP(C256,$C$3:$L$6,6,0)/12,0),"")</f>
        <v/>
      </c>
      <c r="G256" s="29" t="str">
        <f ca="1">IF(I256&lt;&gt;Variables!$B$1,IF(C256&lt;&gt;"",$I$9-E256-F256,""),-D256)</f>
        <v/>
      </c>
      <c r="H256" s="29" t="str">
        <f t="shared" ca="1" si="31"/>
        <v/>
      </c>
      <c r="I256" s="31" t="str">
        <f ca="1">IF(C256&lt;&gt;"",IF(D256+$I$9-E256-F256&gt;=0,IF(ISERROR(INDEX($C$3:$C$6,MATCH(C256,$C$3:$C$6,0)+1,0)),Variables!$B$1,INDEX($C$3:$C$6,MATCH(C256,$C$3:$C$6,0)+1,0)),""),"")</f>
        <v/>
      </c>
      <c r="J256" s="29" t="str">
        <f ca="1">IF(ISERROR(VLOOKUP(I256,$C$3:$L$6,5,0)),"",IF(OR(VLOOKUP(I256,$C$3:$L$6,5,0)=Variables!$B$5,B256&gt;VLOOKUP(I256,$C$3:$L$6,8,0)),IF(VLOOKUP(I256,$C$3:$L$6,5,0)=Variables!$B$5,((YEAR(B256)-YEAR($B$12))*12+MONTH(B256)-MONTH($B$12)),((YEAR(B256)-YEAR(VLOOKUP(I256,$C$3:$L$6,8,0)))*12+MONTH(B256)-MONTH(VLOOKUP(I256,$C$3:$L$6,8,0))))*(VLOOKUP(I256,$C$3:$L$6,10,0)*VLOOKUP(I256,$C$3:$L$6,6,0)/12),0))</f>
        <v/>
      </c>
      <c r="K256" s="29" t="str">
        <f ca="1">IF(C256&lt;&gt;"",IF(I256&lt;&gt;"",IF(ISERROR(VLOOKUP(I256,$C$3:$L$6,10,0)),"",VLOOKUP(I256,$C$3:$L$6,10,0)+J256+IF(OR(VLOOKUP(I256,$C$3:$L$6,5,0)=Variables!$B$5,B256&gt;VLOOKUP(I256,$C$3:$L$6,8,0)),IF(VLOOKUP(I256,$C$3:$L$6,5,0)=Variables!$B$5,((YEAR(B256)-YEAR($B$12))*12+MONTH(B256)-MONTH($B$12)),((YEAR(B256)-YEAR(VLOOKUP(I256,$C$3:$L$6,8,0)))*12+MONTH(B256)-MONTH(VLOOKUP(I256,$C$3:$L$6,8,0))))*VLOOKUP(I256,$C$3:$L$6,7,0),0)),""),"")</f>
        <v/>
      </c>
      <c r="L256" s="29" t="str">
        <f t="shared" ca="1" si="29"/>
        <v/>
      </c>
      <c r="M256" s="10"/>
      <c r="N256" s="10"/>
    </row>
    <row r="257" spans="1:14" x14ac:dyDescent="0.25">
      <c r="A257" s="10"/>
      <c r="B257" s="14" t="str">
        <f t="shared" ca="1" si="30"/>
        <v/>
      </c>
      <c r="C257" s="14" t="str">
        <f ca="1">IF(I256&lt;&gt;Variables!$B$1,IF(H256&lt;&gt;0,C256,I256),"")</f>
        <v/>
      </c>
      <c r="D257" s="29" t="str">
        <f t="shared" ca="1" si="27"/>
        <v/>
      </c>
      <c r="E257" s="29" t="str">
        <f t="shared" ca="1" si="28"/>
        <v/>
      </c>
      <c r="F257" s="29" t="str">
        <f ca="1">IF(C257&lt;&gt;"",IF(OR(VLOOKUP(C257,$C$3:$L$6,5,0)=Variables!$B$5,B257&gt;VLOOKUP(C257,$C$3:$L$6,8,0)),-D257*VLOOKUP(C257,$C$3:$L$6,6,0)/12,0),"")</f>
        <v/>
      </c>
      <c r="G257" s="29" t="str">
        <f ca="1">IF(I257&lt;&gt;Variables!$B$1,IF(C257&lt;&gt;"",$I$9-E257-F257,""),-D257)</f>
        <v/>
      </c>
      <c r="H257" s="29" t="str">
        <f t="shared" ca="1" si="31"/>
        <v/>
      </c>
      <c r="I257" s="31" t="str">
        <f ca="1">IF(C257&lt;&gt;"",IF(D257+$I$9-E257-F257&gt;=0,IF(ISERROR(INDEX($C$3:$C$6,MATCH(C257,$C$3:$C$6,0)+1,0)),Variables!$B$1,INDEX($C$3:$C$6,MATCH(C257,$C$3:$C$6,0)+1,0)),""),"")</f>
        <v/>
      </c>
      <c r="J257" s="29" t="str">
        <f ca="1">IF(ISERROR(VLOOKUP(I257,$C$3:$L$6,5,0)),"",IF(OR(VLOOKUP(I257,$C$3:$L$6,5,0)=Variables!$B$5,B257&gt;VLOOKUP(I257,$C$3:$L$6,8,0)),IF(VLOOKUP(I257,$C$3:$L$6,5,0)=Variables!$B$5,((YEAR(B257)-YEAR($B$12))*12+MONTH(B257)-MONTH($B$12)),((YEAR(B257)-YEAR(VLOOKUP(I257,$C$3:$L$6,8,0)))*12+MONTH(B257)-MONTH(VLOOKUP(I257,$C$3:$L$6,8,0))))*(VLOOKUP(I257,$C$3:$L$6,10,0)*VLOOKUP(I257,$C$3:$L$6,6,0)/12),0))</f>
        <v/>
      </c>
      <c r="K257" s="29" t="str">
        <f ca="1">IF(C257&lt;&gt;"",IF(I257&lt;&gt;"",IF(ISERROR(VLOOKUP(I257,$C$3:$L$6,10,0)),"",VLOOKUP(I257,$C$3:$L$6,10,0)+J257+IF(OR(VLOOKUP(I257,$C$3:$L$6,5,0)=Variables!$B$5,B257&gt;VLOOKUP(I257,$C$3:$L$6,8,0)),IF(VLOOKUP(I257,$C$3:$L$6,5,0)=Variables!$B$5,((YEAR(B257)-YEAR($B$12))*12+MONTH(B257)-MONTH($B$12)),((YEAR(B257)-YEAR(VLOOKUP(I257,$C$3:$L$6,8,0)))*12+MONTH(B257)-MONTH(VLOOKUP(I257,$C$3:$L$6,8,0))))*VLOOKUP(I257,$C$3:$L$6,7,0),0)),""),"")</f>
        <v/>
      </c>
      <c r="L257" s="29" t="str">
        <f t="shared" ca="1" si="29"/>
        <v/>
      </c>
      <c r="M257" s="10"/>
      <c r="N257" s="10"/>
    </row>
    <row r="258" spans="1:14" x14ac:dyDescent="0.25">
      <c r="A258" s="10"/>
      <c r="B258" s="14" t="str">
        <f t="shared" ca="1" si="30"/>
        <v/>
      </c>
      <c r="C258" s="14" t="str">
        <f ca="1">IF(I257&lt;&gt;Variables!$B$1,IF(H257&lt;&gt;0,C257,I257),"")</f>
        <v/>
      </c>
      <c r="D258" s="29" t="str">
        <f t="shared" ca="1" si="27"/>
        <v/>
      </c>
      <c r="E258" s="29" t="str">
        <f t="shared" ca="1" si="28"/>
        <v/>
      </c>
      <c r="F258" s="29" t="str">
        <f ca="1">IF(C258&lt;&gt;"",IF(OR(VLOOKUP(C258,$C$3:$L$6,5,0)=Variables!$B$5,B258&gt;VLOOKUP(C258,$C$3:$L$6,8,0)),-D258*VLOOKUP(C258,$C$3:$L$6,6,0)/12,0),"")</f>
        <v/>
      </c>
      <c r="G258" s="29" t="str">
        <f ca="1">IF(I258&lt;&gt;Variables!$B$1,IF(C258&lt;&gt;"",$I$9-E258-F258,""),-D258)</f>
        <v/>
      </c>
      <c r="H258" s="29" t="str">
        <f t="shared" ca="1" si="31"/>
        <v/>
      </c>
      <c r="I258" s="31" t="str">
        <f ca="1">IF(C258&lt;&gt;"",IF(D258+$I$9-E258-F258&gt;=0,IF(ISERROR(INDEX($C$3:$C$6,MATCH(C258,$C$3:$C$6,0)+1,0)),Variables!$B$1,INDEX($C$3:$C$6,MATCH(C258,$C$3:$C$6,0)+1,0)),""),"")</f>
        <v/>
      </c>
      <c r="J258" s="29" t="str">
        <f ca="1">IF(ISERROR(VLOOKUP(I258,$C$3:$L$6,5,0)),"",IF(OR(VLOOKUP(I258,$C$3:$L$6,5,0)=Variables!$B$5,B258&gt;VLOOKUP(I258,$C$3:$L$6,8,0)),IF(VLOOKUP(I258,$C$3:$L$6,5,0)=Variables!$B$5,((YEAR(B258)-YEAR($B$12))*12+MONTH(B258)-MONTH($B$12)),((YEAR(B258)-YEAR(VLOOKUP(I258,$C$3:$L$6,8,0)))*12+MONTH(B258)-MONTH(VLOOKUP(I258,$C$3:$L$6,8,0))))*(VLOOKUP(I258,$C$3:$L$6,10,0)*VLOOKUP(I258,$C$3:$L$6,6,0)/12),0))</f>
        <v/>
      </c>
      <c r="K258" s="29" t="str">
        <f ca="1">IF(C258&lt;&gt;"",IF(I258&lt;&gt;"",IF(ISERROR(VLOOKUP(I258,$C$3:$L$6,10,0)),"",VLOOKUP(I258,$C$3:$L$6,10,0)+J258+IF(OR(VLOOKUP(I258,$C$3:$L$6,5,0)=Variables!$B$5,B258&gt;VLOOKUP(I258,$C$3:$L$6,8,0)),IF(VLOOKUP(I258,$C$3:$L$6,5,0)=Variables!$B$5,((YEAR(B258)-YEAR($B$12))*12+MONTH(B258)-MONTH($B$12)),((YEAR(B258)-YEAR(VLOOKUP(I258,$C$3:$L$6,8,0)))*12+MONTH(B258)-MONTH(VLOOKUP(I258,$C$3:$L$6,8,0))))*VLOOKUP(I258,$C$3:$L$6,7,0),0)),""),"")</f>
        <v/>
      </c>
      <c r="L258" s="29" t="str">
        <f t="shared" ca="1" si="29"/>
        <v/>
      </c>
      <c r="M258" s="10"/>
      <c r="N258" s="10"/>
    </row>
    <row r="259" spans="1:14" x14ac:dyDescent="0.25">
      <c r="A259" s="10"/>
      <c r="B259" s="14" t="str">
        <f t="shared" ca="1" si="30"/>
        <v/>
      </c>
      <c r="C259" s="14" t="str">
        <f ca="1">IF(I258&lt;&gt;Variables!$B$1,IF(H258&lt;&gt;0,C258,I258),"")</f>
        <v/>
      </c>
      <c r="D259" s="29" t="str">
        <f t="shared" ca="1" si="27"/>
        <v/>
      </c>
      <c r="E259" s="29" t="str">
        <f t="shared" ca="1" si="28"/>
        <v/>
      </c>
      <c r="F259" s="29" t="str">
        <f ca="1">IF(C259&lt;&gt;"",IF(OR(VLOOKUP(C259,$C$3:$L$6,5,0)=Variables!$B$5,B259&gt;VLOOKUP(C259,$C$3:$L$6,8,0)),-D259*VLOOKUP(C259,$C$3:$L$6,6,0)/12,0),"")</f>
        <v/>
      </c>
      <c r="G259" s="29" t="str">
        <f ca="1">IF(I259&lt;&gt;Variables!$B$1,IF(C259&lt;&gt;"",$I$9-E259-F259,""),-D259)</f>
        <v/>
      </c>
      <c r="H259" s="29" t="str">
        <f t="shared" ca="1" si="31"/>
        <v/>
      </c>
      <c r="I259" s="31" t="str">
        <f ca="1">IF(C259&lt;&gt;"",IF(D259+$I$9-E259-F259&gt;=0,IF(ISERROR(INDEX($C$3:$C$6,MATCH(C259,$C$3:$C$6,0)+1,0)),Variables!$B$1,INDEX($C$3:$C$6,MATCH(C259,$C$3:$C$6,0)+1,0)),""),"")</f>
        <v/>
      </c>
      <c r="J259" s="29" t="str">
        <f ca="1">IF(ISERROR(VLOOKUP(I259,$C$3:$L$6,5,0)),"",IF(OR(VLOOKUP(I259,$C$3:$L$6,5,0)=Variables!$B$5,B259&gt;VLOOKUP(I259,$C$3:$L$6,8,0)),IF(VLOOKUP(I259,$C$3:$L$6,5,0)=Variables!$B$5,((YEAR(B259)-YEAR($B$12))*12+MONTH(B259)-MONTH($B$12)),((YEAR(B259)-YEAR(VLOOKUP(I259,$C$3:$L$6,8,0)))*12+MONTH(B259)-MONTH(VLOOKUP(I259,$C$3:$L$6,8,0))))*(VLOOKUP(I259,$C$3:$L$6,10,0)*VLOOKUP(I259,$C$3:$L$6,6,0)/12),0))</f>
        <v/>
      </c>
      <c r="K259" s="29" t="str">
        <f ca="1">IF(C259&lt;&gt;"",IF(I259&lt;&gt;"",IF(ISERROR(VLOOKUP(I259,$C$3:$L$6,10,0)),"",VLOOKUP(I259,$C$3:$L$6,10,0)+J259+IF(OR(VLOOKUP(I259,$C$3:$L$6,5,0)=Variables!$B$5,B259&gt;VLOOKUP(I259,$C$3:$L$6,8,0)),IF(VLOOKUP(I259,$C$3:$L$6,5,0)=Variables!$B$5,((YEAR(B259)-YEAR($B$12))*12+MONTH(B259)-MONTH($B$12)),((YEAR(B259)-YEAR(VLOOKUP(I259,$C$3:$L$6,8,0)))*12+MONTH(B259)-MONTH(VLOOKUP(I259,$C$3:$L$6,8,0))))*VLOOKUP(I259,$C$3:$L$6,7,0),0)),""),"")</f>
        <v/>
      </c>
      <c r="L259" s="29" t="str">
        <f t="shared" ca="1" si="29"/>
        <v/>
      </c>
      <c r="M259" s="10"/>
      <c r="N259" s="10"/>
    </row>
    <row r="260" spans="1:14" x14ac:dyDescent="0.25">
      <c r="A260" s="10"/>
      <c r="B260" s="14" t="str">
        <f t="shared" ca="1" si="30"/>
        <v/>
      </c>
      <c r="C260" s="14" t="str">
        <f ca="1">IF(I259&lt;&gt;Variables!$B$1,IF(H259&lt;&gt;0,C259,I259),"")</f>
        <v/>
      </c>
      <c r="D260" s="29" t="str">
        <f t="shared" ca="1" si="27"/>
        <v/>
      </c>
      <c r="E260" s="29" t="str">
        <f t="shared" ca="1" si="28"/>
        <v/>
      </c>
      <c r="F260" s="29" t="str">
        <f ca="1">IF(C260&lt;&gt;"",IF(OR(VLOOKUP(C260,$C$3:$L$6,5,0)=Variables!$B$5,B260&gt;VLOOKUP(C260,$C$3:$L$6,8,0)),-D260*VLOOKUP(C260,$C$3:$L$6,6,0)/12,0),"")</f>
        <v/>
      </c>
      <c r="G260" s="29" t="str">
        <f ca="1">IF(I260&lt;&gt;Variables!$B$1,IF(C260&lt;&gt;"",$I$9-E260-F260,""),-D260)</f>
        <v/>
      </c>
      <c r="H260" s="29" t="str">
        <f t="shared" ca="1" si="31"/>
        <v/>
      </c>
      <c r="I260" s="31" t="str">
        <f ca="1">IF(C260&lt;&gt;"",IF(D260+$I$9-E260-F260&gt;=0,IF(ISERROR(INDEX($C$3:$C$6,MATCH(C260,$C$3:$C$6,0)+1,0)),Variables!$B$1,INDEX($C$3:$C$6,MATCH(C260,$C$3:$C$6,0)+1,0)),""),"")</f>
        <v/>
      </c>
      <c r="J260" s="29" t="str">
        <f ca="1">IF(ISERROR(VLOOKUP(I260,$C$3:$L$6,5,0)),"",IF(OR(VLOOKUP(I260,$C$3:$L$6,5,0)=Variables!$B$5,B260&gt;VLOOKUP(I260,$C$3:$L$6,8,0)),IF(VLOOKUP(I260,$C$3:$L$6,5,0)=Variables!$B$5,((YEAR(B260)-YEAR($B$12))*12+MONTH(B260)-MONTH($B$12)),((YEAR(B260)-YEAR(VLOOKUP(I260,$C$3:$L$6,8,0)))*12+MONTH(B260)-MONTH(VLOOKUP(I260,$C$3:$L$6,8,0))))*(VLOOKUP(I260,$C$3:$L$6,10,0)*VLOOKUP(I260,$C$3:$L$6,6,0)/12),0))</f>
        <v/>
      </c>
      <c r="K260" s="29" t="str">
        <f ca="1">IF(C260&lt;&gt;"",IF(I260&lt;&gt;"",IF(ISERROR(VLOOKUP(I260,$C$3:$L$6,10,0)),"",VLOOKUP(I260,$C$3:$L$6,10,0)+J260+IF(OR(VLOOKUP(I260,$C$3:$L$6,5,0)=Variables!$B$5,B260&gt;VLOOKUP(I260,$C$3:$L$6,8,0)),IF(VLOOKUP(I260,$C$3:$L$6,5,0)=Variables!$B$5,((YEAR(B260)-YEAR($B$12))*12+MONTH(B260)-MONTH($B$12)),((YEAR(B260)-YEAR(VLOOKUP(I260,$C$3:$L$6,8,0)))*12+MONTH(B260)-MONTH(VLOOKUP(I260,$C$3:$L$6,8,0))))*VLOOKUP(I260,$C$3:$L$6,7,0),0)),""),"")</f>
        <v/>
      </c>
      <c r="L260" s="29" t="str">
        <f t="shared" ca="1" si="29"/>
        <v/>
      </c>
      <c r="M260" s="10"/>
      <c r="N260" s="10"/>
    </row>
    <row r="261" spans="1:14" x14ac:dyDescent="0.25">
      <c r="A261" s="10"/>
      <c r="B261" s="14" t="str">
        <f t="shared" ca="1" si="30"/>
        <v/>
      </c>
      <c r="C261" s="14" t="str">
        <f ca="1">IF(I260&lt;&gt;Variables!$B$1,IF(H260&lt;&gt;0,C260,I260),"")</f>
        <v/>
      </c>
      <c r="D261" s="29" t="str">
        <f t="shared" ca="1" si="27"/>
        <v/>
      </c>
      <c r="E261" s="29" t="str">
        <f t="shared" ca="1" si="28"/>
        <v/>
      </c>
      <c r="F261" s="29" t="str">
        <f ca="1">IF(C261&lt;&gt;"",IF(OR(VLOOKUP(C261,$C$3:$L$6,5,0)=Variables!$B$5,B261&gt;VLOOKUP(C261,$C$3:$L$6,8,0)),-D261*VLOOKUP(C261,$C$3:$L$6,6,0)/12,0),"")</f>
        <v/>
      </c>
      <c r="G261" s="29" t="str">
        <f ca="1">IF(I261&lt;&gt;Variables!$B$1,IF(C261&lt;&gt;"",$I$9-E261-F261,""),-D261)</f>
        <v/>
      </c>
      <c r="H261" s="29" t="str">
        <f t="shared" ca="1" si="31"/>
        <v/>
      </c>
      <c r="I261" s="31" t="str">
        <f ca="1">IF(C261&lt;&gt;"",IF(D261+$I$9-E261-F261&gt;=0,IF(ISERROR(INDEX($C$3:$C$6,MATCH(C261,$C$3:$C$6,0)+1,0)),Variables!$B$1,INDEX($C$3:$C$6,MATCH(C261,$C$3:$C$6,0)+1,0)),""),"")</f>
        <v/>
      </c>
      <c r="J261" s="29" t="str">
        <f ca="1">IF(ISERROR(VLOOKUP(I261,$C$3:$L$6,5,0)),"",IF(OR(VLOOKUP(I261,$C$3:$L$6,5,0)=Variables!$B$5,B261&gt;VLOOKUP(I261,$C$3:$L$6,8,0)),IF(VLOOKUP(I261,$C$3:$L$6,5,0)=Variables!$B$5,((YEAR(B261)-YEAR($B$12))*12+MONTH(B261)-MONTH($B$12)),((YEAR(B261)-YEAR(VLOOKUP(I261,$C$3:$L$6,8,0)))*12+MONTH(B261)-MONTH(VLOOKUP(I261,$C$3:$L$6,8,0))))*(VLOOKUP(I261,$C$3:$L$6,10,0)*VLOOKUP(I261,$C$3:$L$6,6,0)/12),0))</f>
        <v/>
      </c>
      <c r="K261" s="29" t="str">
        <f ca="1">IF(C261&lt;&gt;"",IF(I261&lt;&gt;"",IF(ISERROR(VLOOKUP(I261,$C$3:$L$6,10,0)),"",VLOOKUP(I261,$C$3:$L$6,10,0)+J261+IF(OR(VLOOKUP(I261,$C$3:$L$6,5,0)=Variables!$B$5,B261&gt;VLOOKUP(I261,$C$3:$L$6,8,0)),IF(VLOOKUP(I261,$C$3:$L$6,5,0)=Variables!$B$5,((YEAR(B261)-YEAR($B$12))*12+MONTH(B261)-MONTH($B$12)),((YEAR(B261)-YEAR(VLOOKUP(I261,$C$3:$L$6,8,0)))*12+MONTH(B261)-MONTH(VLOOKUP(I261,$C$3:$L$6,8,0))))*VLOOKUP(I261,$C$3:$L$6,7,0),0)),""),"")</f>
        <v/>
      </c>
      <c r="L261" s="29" t="str">
        <f t="shared" ca="1" si="29"/>
        <v/>
      </c>
      <c r="M261" s="10"/>
      <c r="N261" s="10"/>
    </row>
    <row r="262" spans="1:14" x14ac:dyDescent="0.25">
      <c r="A262" s="10"/>
      <c r="B262" s="14" t="str">
        <f t="shared" ca="1" si="30"/>
        <v/>
      </c>
      <c r="C262" s="14" t="str">
        <f ca="1">IF(I261&lt;&gt;Variables!$B$1,IF(H261&lt;&gt;0,C261,I261),"")</f>
        <v/>
      </c>
      <c r="D262" s="29" t="str">
        <f t="shared" ca="1" si="27"/>
        <v/>
      </c>
      <c r="E262" s="29" t="str">
        <f t="shared" ca="1" si="28"/>
        <v/>
      </c>
      <c r="F262" s="29" t="str">
        <f ca="1">IF(C262&lt;&gt;"",IF(OR(VLOOKUP(C262,$C$3:$L$6,5,0)=Variables!$B$5,B262&gt;VLOOKUP(C262,$C$3:$L$6,8,0)),-D262*VLOOKUP(C262,$C$3:$L$6,6,0)/12,0),"")</f>
        <v/>
      </c>
      <c r="G262" s="29" t="str">
        <f ca="1">IF(I262&lt;&gt;Variables!$B$1,IF(C262&lt;&gt;"",$I$9-E262-F262,""),-D262)</f>
        <v/>
      </c>
      <c r="H262" s="29" t="str">
        <f t="shared" ca="1" si="31"/>
        <v/>
      </c>
      <c r="I262" s="31" t="str">
        <f ca="1">IF(C262&lt;&gt;"",IF(D262+$I$9-E262-F262&gt;=0,IF(ISERROR(INDEX($C$3:$C$6,MATCH(C262,$C$3:$C$6,0)+1,0)),Variables!$B$1,INDEX($C$3:$C$6,MATCH(C262,$C$3:$C$6,0)+1,0)),""),"")</f>
        <v/>
      </c>
      <c r="J262" s="29" t="str">
        <f ca="1">IF(ISERROR(VLOOKUP(I262,$C$3:$L$6,5,0)),"",IF(OR(VLOOKUP(I262,$C$3:$L$6,5,0)=Variables!$B$5,B262&gt;VLOOKUP(I262,$C$3:$L$6,8,0)),IF(VLOOKUP(I262,$C$3:$L$6,5,0)=Variables!$B$5,((YEAR(B262)-YEAR($B$12))*12+MONTH(B262)-MONTH($B$12)),((YEAR(B262)-YEAR(VLOOKUP(I262,$C$3:$L$6,8,0)))*12+MONTH(B262)-MONTH(VLOOKUP(I262,$C$3:$L$6,8,0))))*(VLOOKUP(I262,$C$3:$L$6,10,0)*VLOOKUP(I262,$C$3:$L$6,6,0)/12),0))</f>
        <v/>
      </c>
      <c r="K262" s="29" t="str">
        <f ca="1">IF(C262&lt;&gt;"",IF(I262&lt;&gt;"",IF(ISERROR(VLOOKUP(I262,$C$3:$L$6,10,0)),"",VLOOKUP(I262,$C$3:$L$6,10,0)+J262+IF(OR(VLOOKUP(I262,$C$3:$L$6,5,0)=Variables!$B$5,B262&gt;VLOOKUP(I262,$C$3:$L$6,8,0)),IF(VLOOKUP(I262,$C$3:$L$6,5,0)=Variables!$B$5,((YEAR(B262)-YEAR($B$12))*12+MONTH(B262)-MONTH($B$12)),((YEAR(B262)-YEAR(VLOOKUP(I262,$C$3:$L$6,8,0)))*12+MONTH(B262)-MONTH(VLOOKUP(I262,$C$3:$L$6,8,0))))*VLOOKUP(I262,$C$3:$L$6,7,0),0)),""),"")</f>
        <v/>
      </c>
      <c r="L262" s="29" t="str">
        <f t="shared" ca="1" si="29"/>
        <v/>
      </c>
      <c r="M262" s="10"/>
      <c r="N262" s="10"/>
    </row>
    <row r="263" spans="1:14" x14ac:dyDescent="0.25">
      <c r="A263" s="10"/>
      <c r="B263" s="14" t="str">
        <f t="shared" ca="1" si="30"/>
        <v/>
      </c>
      <c r="C263" s="14" t="str">
        <f ca="1">IF(I262&lt;&gt;Variables!$B$1,IF(H262&lt;&gt;0,C262,I262),"")</f>
        <v/>
      </c>
      <c r="D263" s="29" t="str">
        <f t="shared" ca="1" si="27"/>
        <v/>
      </c>
      <c r="E263" s="29" t="str">
        <f t="shared" ca="1" si="28"/>
        <v/>
      </c>
      <c r="F263" s="29" t="str">
        <f ca="1">IF(C263&lt;&gt;"",IF(OR(VLOOKUP(C263,$C$3:$L$6,5,0)=Variables!$B$5,B263&gt;VLOOKUP(C263,$C$3:$L$6,8,0)),-D263*VLOOKUP(C263,$C$3:$L$6,6,0)/12,0),"")</f>
        <v/>
      </c>
      <c r="G263" s="29" t="str">
        <f ca="1">IF(I263&lt;&gt;Variables!$B$1,IF(C263&lt;&gt;"",$I$9-E263-F263,""),-D263)</f>
        <v/>
      </c>
      <c r="H263" s="29" t="str">
        <f t="shared" ca="1" si="31"/>
        <v/>
      </c>
      <c r="I263" s="31" t="str">
        <f ca="1">IF(C263&lt;&gt;"",IF(D263+$I$9-E263-F263&gt;=0,IF(ISERROR(INDEX($C$3:$C$6,MATCH(C263,$C$3:$C$6,0)+1,0)),Variables!$B$1,INDEX($C$3:$C$6,MATCH(C263,$C$3:$C$6,0)+1,0)),""),"")</f>
        <v/>
      </c>
      <c r="J263" s="29" t="str">
        <f ca="1">IF(ISERROR(VLOOKUP(I263,$C$3:$L$6,5,0)),"",IF(OR(VLOOKUP(I263,$C$3:$L$6,5,0)=Variables!$B$5,B263&gt;VLOOKUP(I263,$C$3:$L$6,8,0)),IF(VLOOKUP(I263,$C$3:$L$6,5,0)=Variables!$B$5,((YEAR(B263)-YEAR($B$12))*12+MONTH(B263)-MONTH($B$12)),((YEAR(B263)-YEAR(VLOOKUP(I263,$C$3:$L$6,8,0)))*12+MONTH(B263)-MONTH(VLOOKUP(I263,$C$3:$L$6,8,0))))*(VLOOKUP(I263,$C$3:$L$6,10,0)*VLOOKUP(I263,$C$3:$L$6,6,0)/12),0))</f>
        <v/>
      </c>
      <c r="K263" s="29" t="str">
        <f ca="1">IF(C263&lt;&gt;"",IF(I263&lt;&gt;"",IF(ISERROR(VLOOKUP(I263,$C$3:$L$6,10,0)),"",VLOOKUP(I263,$C$3:$L$6,10,0)+J263+IF(OR(VLOOKUP(I263,$C$3:$L$6,5,0)=Variables!$B$5,B263&gt;VLOOKUP(I263,$C$3:$L$6,8,0)),IF(VLOOKUP(I263,$C$3:$L$6,5,0)=Variables!$B$5,((YEAR(B263)-YEAR($B$12))*12+MONTH(B263)-MONTH($B$12)),((YEAR(B263)-YEAR(VLOOKUP(I263,$C$3:$L$6,8,0)))*12+MONTH(B263)-MONTH(VLOOKUP(I263,$C$3:$L$6,8,0))))*VLOOKUP(I263,$C$3:$L$6,7,0),0)),""),"")</f>
        <v/>
      </c>
      <c r="L263" s="29" t="str">
        <f t="shared" ca="1" si="29"/>
        <v/>
      </c>
      <c r="M263" s="10"/>
      <c r="N263" s="10"/>
    </row>
    <row r="264" spans="1:14" x14ac:dyDescent="0.25">
      <c r="A264" s="10"/>
      <c r="B264" s="14" t="str">
        <f t="shared" ca="1" si="30"/>
        <v/>
      </c>
      <c r="C264" s="14" t="str">
        <f ca="1">IF(I263&lt;&gt;Variables!$B$1,IF(H263&lt;&gt;0,C263,I263),"")</f>
        <v/>
      </c>
      <c r="D264" s="29" t="str">
        <f t="shared" ca="1" si="27"/>
        <v/>
      </c>
      <c r="E264" s="29" t="str">
        <f t="shared" ca="1" si="28"/>
        <v/>
      </c>
      <c r="F264" s="29" t="str">
        <f ca="1">IF(C264&lt;&gt;"",IF(OR(VLOOKUP(C264,$C$3:$L$6,5,0)=Variables!$B$5,B264&gt;VLOOKUP(C264,$C$3:$L$6,8,0)),-D264*VLOOKUP(C264,$C$3:$L$6,6,0)/12,0),"")</f>
        <v/>
      </c>
      <c r="G264" s="29" t="str">
        <f ca="1">IF(I264&lt;&gt;Variables!$B$1,IF(C264&lt;&gt;"",$I$9-E264-F264,""),-D264)</f>
        <v/>
      </c>
      <c r="H264" s="29" t="str">
        <f t="shared" ca="1" si="31"/>
        <v/>
      </c>
      <c r="I264" s="31" t="str">
        <f ca="1">IF(C264&lt;&gt;"",IF(D264+$I$9-E264-F264&gt;=0,IF(ISERROR(INDEX($C$3:$C$6,MATCH(C264,$C$3:$C$6,0)+1,0)),Variables!$B$1,INDEX($C$3:$C$6,MATCH(C264,$C$3:$C$6,0)+1,0)),""),"")</f>
        <v/>
      </c>
      <c r="J264" s="29" t="str">
        <f ca="1">IF(ISERROR(VLOOKUP(I264,$C$3:$L$6,5,0)),"",IF(OR(VLOOKUP(I264,$C$3:$L$6,5,0)=Variables!$B$5,B264&gt;VLOOKUP(I264,$C$3:$L$6,8,0)),IF(VLOOKUP(I264,$C$3:$L$6,5,0)=Variables!$B$5,((YEAR(B264)-YEAR($B$12))*12+MONTH(B264)-MONTH($B$12)),((YEAR(B264)-YEAR(VLOOKUP(I264,$C$3:$L$6,8,0)))*12+MONTH(B264)-MONTH(VLOOKUP(I264,$C$3:$L$6,8,0))))*(VLOOKUP(I264,$C$3:$L$6,10,0)*VLOOKUP(I264,$C$3:$L$6,6,0)/12),0))</f>
        <v/>
      </c>
      <c r="K264" s="29" t="str">
        <f ca="1">IF(C264&lt;&gt;"",IF(I264&lt;&gt;"",IF(ISERROR(VLOOKUP(I264,$C$3:$L$6,10,0)),"",VLOOKUP(I264,$C$3:$L$6,10,0)+J264+IF(OR(VLOOKUP(I264,$C$3:$L$6,5,0)=Variables!$B$5,B264&gt;VLOOKUP(I264,$C$3:$L$6,8,0)),IF(VLOOKUP(I264,$C$3:$L$6,5,0)=Variables!$B$5,((YEAR(B264)-YEAR($B$12))*12+MONTH(B264)-MONTH($B$12)),((YEAR(B264)-YEAR(VLOOKUP(I264,$C$3:$L$6,8,0)))*12+MONTH(B264)-MONTH(VLOOKUP(I264,$C$3:$L$6,8,0))))*VLOOKUP(I264,$C$3:$L$6,7,0),0)),""),"")</f>
        <v/>
      </c>
      <c r="L264" s="29" t="str">
        <f t="shared" ca="1" si="29"/>
        <v/>
      </c>
      <c r="M264" s="10"/>
      <c r="N264" s="10"/>
    </row>
    <row r="265" spans="1:14" x14ac:dyDescent="0.25">
      <c r="A265" s="10"/>
      <c r="B265" s="14" t="str">
        <f t="shared" ca="1" si="30"/>
        <v/>
      </c>
      <c r="C265" s="14" t="str">
        <f ca="1">IF(I264&lt;&gt;Variables!$B$1,IF(H264&lt;&gt;0,C264,I264),"")</f>
        <v/>
      </c>
      <c r="D265" s="29" t="str">
        <f t="shared" ca="1" si="27"/>
        <v/>
      </c>
      <c r="E265" s="29" t="str">
        <f t="shared" ca="1" si="28"/>
        <v/>
      </c>
      <c r="F265" s="29" t="str">
        <f ca="1">IF(C265&lt;&gt;"",IF(OR(VLOOKUP(C265,$C$3:$L$6,5,0)=Variables!$B$5,B265&gt;VLOOKUP(C265,$C$3:$L$6,8,0)),-D265*VLOOKUP(C265,$C$3:$L$6,6,0)/12,0),"")</f>
        <v/>
      </c>
      <c r="G265" s="29" t="str">
        <f ca="1">IF(I265&lt;&gt;Variables!$B$1,IF(C265&lt;&gt;"",$I$9-E265-F265,""),-D265)</f>
        <v/>
      </c>
      <c r="H265" s="29" t="str">
        <f t="shared" ca="1" si="31"/>
        <v/>
      </c>
      <c r="I265" s="31" t="str">
        <f ca="1">IF(C265&lt;&gt;"",IF(D265+$I$9-E265-F265&gt;=0,IF(ISERROR(INDEX($C$3:$C$6,MATCH(C265,$C$3:$C$6,0)+1,0)),Variables!$B$1,INDEX($C$3:$C$6,MATCH(C265,$C$3:$C$6,0)+1,0)),""),"")</f>
        <v/>
      </c>
      <c r="J265" s="29" t="str">
        <f ca="1">IF(ISERROR(VLOOKUP(I265,$C$3:$L$6,5,0)),"",IF(OR(VLOOKUP(I265,$C$3:$L$6,5,0)=Variables!$B$5,B265&gt;VLOOKUP(I265,$C$3:$L$6,8,0)),IF(VLOOKUP(I265,$C$3:$L$6,5,0)=Variables!$B$5,((YEAR(B265)-YEAR($B$12))*12+MONTH(B265)-MONTH($B$12)),((YEAR(B265)-YEAR(VLOOKUP(I265,$C$3:$L$6,8,0)))*12+MONTH(B265)-MONTH(VLOOKUP(I265,$C$3:$L$6,8,0))))*(VLOOKUP(I265,$C$3:$L$6,10,0)*VLOOKUP(I265,$C$3:$L$6,6,0)/12),0))</f>
        <v/>
      </c>
      <c r="K265" s="29" t="str">
        <f ca="1">IF(C265&lt;&gt;"",IF(I265&lt;&gt;"",IF(ISERROR(VLOOKUP(I265,$C$3:$L$6,10,0)),"",VLOOKUP(I265,$C$3:$L$6,10,0)+J265+IF(OR(VLOOKUP(I265,$C$3:$L$6,5,0)=Variables!$B$5,B265&gt;VLOOKUP(I265,$C$3:$L$6,8,0)),IF(VLOOKUP(I265,$C$3:$L$6,5,0)=Variables!$B$5,((YEAR(B265)-YEAR($B$12))*12+MONTH(B265)-MONTH($B$12)),((YEAR(B265)-YEAR(VLOOKUP(I265,$C$3:$L$6,8,0)))*12+MONTH(B265)-MONTH(VLOOKUP(I265,$C$3:$L$6,8,0))))*VLOOKUP(I265,$C$3:$L$6,7,0),0)),""),"")</f>
        <v/>
      </c>
      <c r="L265" s="29" t="str">
        <f t="shared" ca="1" si="29"/>
        <v/>
      </c>
      <c r="M265" s="10"/>
      <c r="N265" s="10"/>
    </row>
    <row r="266" spans="1:14" x14ac:dyDescent="0.25">
      <c r="A266" s="10"/>
      <c r="B266" s="14" t="str">
        <f t="shared" ca="1" si="30"/>
        <v/>
      </c>
      <c r="C266" s="14" t="str">
        <f ca="1">IF(I265&lt;&gt;Variables!$B$1,IF(H265&lt;&gt;0,C265,I265),"")</f>
        <v/>
      </c>
      <c r="D266" s="29" t="str">
        <f t="shared" ca="1" si="27"/>
        <v/>
      </c>
      <c r="E266" s="29" t="str">
        <f t="shared" ca="1" si="28"/>
        <v/>
      </c>
      <c r="F266" s="29" t="str">
        <f ca="1">IF(C266&lt;&gt;"",IF(OR(VLOOKUP(C266,$C$3:$L$6,5,0)=Variables!$B$5,B266&gt;VLOOKUP(C266,$C$3:$L$6,8,0)),-D266*VLOOKUP(C266,$C$3:$L$6,6,0)/12,0),"")</f>
        <v/>
      </c>
      <c r="G266" s="29" t="str">
        <f ca="1">IF(I266&lt;&gt;Variables!$B$1,IF(C266&lt;&gt;"",$I$9-E266-F266,""),-D266)</f>
        <v/>
      </c>
      <c r="H266" s="29" t="str">
        <f t="shared" ca="1" si="31"/>
        <v/>
      </c>
      <c r="I266" s="31" t="str">
        <f ca="1">IF(C266&lt;&gt;"",IF(D266+$I$9-E266-F266&gt;=0,IF(ISERROR(INDEX($C$3:$C$6,MATCH(C266,$C$3:$C$6,0)+1,0)),Variables!$B$1,INDEX($C$3:$C$6,MATCH(C266,$C$3:$C$6,0)+1,0)),""),"")</f>
        <v/>
      </c>
      <c r="J266" s="29" t="str">
        <f ca="1">IF(ISERROR(VLOOKUP(I266,$C$3:$L$6,5,0)),"",IF(OR(VLOOKUP(I266,$C$3:$L$6,5,0)=Variables!$B$5,B266&gt;VLOOKUP(I266,$C$3:$L$6,8,0)),IF(VLOOKUP(I266,$C$3:$L$6,5,0)=Variables!$B$5,((YEAR(B266)-YEAR($B$12))*12+MONTH(B266)-MONTH($B$12)),((YEAR(B266)-YEAR(VLOOKUP(I266,$C$3:$L$6,8,0)))*12+MONTH(B266)-MONTH(VLOOKUP(I266,$C$3:$L$6,8,0))))*(VLOOKUP(I266,$C$3:$L$6,10,0)*VLOOKUP(I266,$C$3:$L$6,6,0)/12),0))</f>
        <v/>
      </c>
      <c r="K266" s="29" t="str">
        <f ca="1">IF(C266&lt;&gt;"",IF(I266&lt;&gt;"",IF(ISERROR(VLOOKUP(I266,$C$3:$L$6,10,0)),"",VLOOKUP(I266,$C$3:$L$6,10,0)+J266+IF(OR(VLOOKUP(I266,$C$3:$L$6,5,0)=Variables!$B$5,B266&gt;VLOOKUP(I266,$C$3:$L$6,8,0)),IF(VLOOKUP(I266,$C$3:$L$6,5,0)=Variables!$B$5,((YEAR(B266)-YEAR($B$12))*12+MONTH(B266)-MONTH($B$12)),((YEAR(B266)-YEAR(VLOOKUP(I266,$C$3:$L$6,8,0)))*12+MONTH(B266)-MONTH(VLOOKUP(I266,$C$3:$L$6,8,0))))*VLOOKUP(I266,$C$3:$L$6,7,0),0)),""),"")</f>
        <v/>
      </c>
      <c r="L266" s="29" t="str">
        <f t="shared" ca="1" si="29"/>
        <v/>
      </c>
      <c r="M266" s="10"/>
      <c r="N266" s="10"/>
    </row>
    <row r="267" spans="1:14" x14ac:dyDescent="0.25">
      <c r="A267" s="10"/>
      <c r="B267" s="14" t="str">
        <f t="shared" ca="1" si="30"/>
        <v/>
      </c>
      <c r="C267" s="14" t="str">
        <f ca="1">IF(I266&lt;&gt;Variables!$B$1,IF(H266&lt;&gt;0,C266,I266),"")</f>
        <v/>
      </c>
      <c r="D267" s="29" t="str">
        <f t="shared" ca="1" si="27"/>
        <v/>
      </c>
      <c r="E267" s="29" t="str">
        <f t="shared" ca="1" si="28"/>
        <v/>
      </c>
      <c r="F267" s="29" t="str">
        <f ca="1">IF(C267&lt;&gt;"",IF(OR(VLOOKUP(C267,$C$3:$L$6,5,0)=Variables!$B$5,B267&gt;VLOOKUP(C267,$C$3:$L$6,8,0)),-D267*VLOOKUP(C267,$C$3:$L$6,6,0)/12,0),"")</f>
        <v/>
      </c>
      <c r="G267" s="29" t="str">
        <f ca="1">IF(I267&lt;&gt;Variables!$B$1,IF(C267&lt;&gt;"",$I$9-E267-F267,""),-D267)</f>
        <v/>
      </c>
      <c r="H267" s="29" t="str">
        <f t="shared" ca="1" si="31"/>
        <v/>
      </c>
      <c r="I267" s="31" t="str">
        <f ca="1">IF(C267&lt;&gt;"",IF(D267+$I$9-E267-F267&gt;=0,IF(ISERROR(INDEX($C$3:$C$6,MATCH(C267,$C$3:$C$6,0)+1,0)),Variables!$B$1,INDEX($C$3:$C$6,MATCH(C267,$C$3:$C$6,0)+1,0)),""),"")</f>
        <v/>
      </c>
      <c r="J267" s="29" t="str">
        <f ca="1">IF(ISERROR(VLOOKUP(I267,$C$3:$L$6,5,0)),"",IF(OR(VLOOKUP(I267,$C$3:$L$6,5,0)=Variables!$B$5,B267&gt;VLOOKUP(I267,$C$3:$L$6,8,0)),IF(VLOOKUP(I267,$C$3:$L$6,5,0)=Variables!$B$5,((YEAR(B267)-YEAR($B$12))*12+MONTH(B267)-MONTH($B$12)),((YEAR(B267)-YEAR(VLOOKUP(I267,$C$3:$L$6,8,0)))*12+MONTH(B267)-MONTH(VLOOKUP(I267,$C$3:$L$6,8,0))))*(VLOOKUP(I267,$C$3:$L$6,10,0)*VLOOKUP(I267,$C$3:$L$6,6,0)/12),0))</f>
        <v/>
      </c>
      <c r="K267" s="29" t="str">
        <f ca="1">IF(C267&lt;&gt;"",IF(I267&lt;&gt;"",IF(ISERROR(VLOOKUP(I267,$C$3:$L$6,10,0)),"",VLOOKUP(I267,$C$3:$L$6,10,0)+J267+IF(OR(VLOOKUP(I267,$C$3:$L$6,5,0)=Variables!$B$5,B267&gt;VLOOKUP(I267,$C$3:$L$6,8,0)),IF(VLOOKUP(I267,$C$3:$L$6,5,0)=Variables!$B$5,((YEAR(B267)-YEAR($B$12))*12+MONTH(B267)-MONTH($B$12)),((YEAR(B267)-YEAR(VLOOKUP(I267,$C$3:$L$6,8,0)))*12+MONTH(B267)-MONTH(VLOOKUP(I267,$C$3:$L$6,8,0))))*VLOOKUP(I267,$C$3:$L$6,7,0),0)),""),"")</f>
        <v/>
      </c>
      <c r="L267" s="29" t="str">
        <f t="shared" ca="1" si="29"/>
        <v/>
      </c>
      <c r="M267" s="10"/>
      <c r="N267" s="10"/>
    </row>
    <row r="268" spans="1:14" x14ac:dyDescent="0.25">
      <c r="A268" s="10"/>
      <c r="B268" s="14" t="str">
        <f t="shared" ca="1" si="30"/>
        <v/>
      </c>
      <c r="C268" s="14" t="str">
        <f ca="1">IF(I267&lt;&gt;Variables!$B$1,IF(H267&lt;&gt;0,C267,I267),"")</f>
        <v/>
      </c>
      <c r="D268" s="29" t="str">
        <f t="shared" ca="1" si="27"/>
        <v/>
      </c>
      <c r="E268" s="29" t="str">
        <f t="shared" ca="1" si="28"/>
        <v/>
      </c>
      <c r="F268" s="29" t="str">
        <f ca="1">IF(C268&lt;&gt;"",IF(OR(VLOOKUP(C268,$C$3:$L$6,5,0)=Variables!$B$5,B268&gt;VLOOKUP(C268,$C$3:$L$6,8,0)),-D268*VLOOKUP(C268,$C$3:$L$6,6,0)/12,0),"")</f>
        <v/>
      </c>
      <c r="G268" s="29" t="str">
        <f ca="1">IF(I268&lt;&gt;Variables!$B$1,IF(C268&lt;&gt;"",$I$9-E268-F268,""),-D268)</f>
        <v/>
      </c>
      <c r="H268" s="29" t="str">
        <f t="shared" ca="1" si="31"/>
        <v/>
      </c>
      <c r="I268" s="31" t="str">
        <f ca="1">IF(C268&lt;&gt;"",IF(D268+$I$9-E268-F268&gt;=0,IF(ISERROR(INDEX($C$3:$C$6,MATCH(C268,$C$3:$C$6,0)+1,0)),Variables!$B$1,INDEX($C$3:$C$6,MATCH(C268,$C$3:$C$6,0)+1,0)),""),"")</f>
        <v/>
      </c>
      <c r="J268" s="29" t="str">
        <f ca="1">IF(ISERROR(VLOOKUP(I268,$C$3:$L$6,5,0)),"",IF(OR(VLOOKUP(I268,$C$3:$L$6,5,0)=Variables!$B$5,B268&gt;VLOOKUP(I268,$C$3:$L$6,8,0)),IF(VLOOKUP(I268,$C$3:$L$6,5,0)=Variables!$B$5,((YEAR(B268)-YEAR($B$12))*12+MONTH(B268)-MONTH($B$12)),((YEAR(B268)-YEAR(VLOOKUP(I268,$C$3:$L$6,8,0)))*12+MONTH(B268)-MONTH(VLOOKUP(I268,$C$3:$L$6,8,0))))*(VLOOKUP(I268,$C$3:$L$6,10,0)*VLOOKUP(I268,$C$3:$L$6,6,0)/12),0))</f>
        <v/>
      </c>
      <c r="K268" s="29" t="str">
        <f ca="1">IF(C268&lt;&gt;"",IF(I268&lt;&gt;"",IF(ISERROR(VLOOKUP(I268,$C$3:$L$6,10,0)),"",VLOOKUP(I268,$C$3:$L$6,10,0)+J268+IF(OR(VLOOKUP(I268,$C$3:$L$6,5,0)=Variables!$B$5,B268&gt;VLOOKUP(I268,$C$3:$L$6,8,0)),IF(VLOOKUP(I268,$C$3:$L$6,5,0)=Variables!$B$5,((YEAR(B268)-YEAR($B$12))*12+MONTH(B268)-MONTH($B$12)),((YEAR(B268)-YEAR(VLOOKUP(I268,$C$3:$L$6,8,0)))*12+MONTH(B268)-MONTH(VLOOKUP(I268,$C$3:$L$6,8,0))))*VLOOKUP(I268,$C$3:$L$6,7,0),0)),""),"")</f>
        <v/>
      </c>
      <c r="L268" s="29" t="str">
        <f t="shared" ca="1" si="29"/>
        <v/>
      </c>
      <c r="M268" s="10"/>
      <c r="N268" s="10"/>
    </row>
    <row r="269" spans="1:14" x14ac:dyDescent="0.25">
      <c r="A269" s="10"/>
      <c r="B269" s="14" t="str">
        <f t="shared" ca="1" si="30"/>
        <v/>
      </c>
      <c r="C269" s="14" t="str">
        <f ca="1">IF(I268&lt;&gt;Variables!$B$1,IF(H268&lt;&gt;0,C268,I268),"")</f>
        <v/>
      </c>
      <c r="D269" s="29" t="str">
        <f t="shared" ca="1" si="27"/>
        <v/>
      </c>
      <c r="E269" s="29" t="str">
        <f t="shared" ca="1" si="28"/>
        <v/>
      </c>
      <c r="F269" s="29" t="str">
        <f ca="1">IF(C269&lt;&gt;"",IF(OR(VLOOKUP(C269,$C$3:$L$6,5,0)=Variables!$B$5,B269&gt;VLOOKUP(C269,$C$3:$L$6,8,0)),-D269*VLOOKUP(C269,$C$3:$L$6,6,0)/12,0),"")</f>
        <v/>
      </c>
      <c r="G269" s="29" t="str">
        <f ca="1">IF(I269&lt;&gt;Variables!$B$1,IF(C269&lt;&gt;"",$I$9-E269-F269,""),-D269)</f>
        <v/>
      </c>
      <c r="H269" s="29" t="str">
        <f t="shared" ca="1" si="31"/>
        <v/>
      </c>
      <c r="I269" s="31" t="str">
        <f ca="1">IF(C269&lt;&gt;"",IF(D269+$I$9-E269-F269&gt;=0,IF(ISERROR(INDEX($C$3:$C$6,MATCH(C269,$C$3:$C$6,0)+1,0)),Variables!$B$1,INDEX($C$3:$C$6,MATCH(C269,$C$3:$C$6,0)+1,0)),""),"")</f>
        <v/>
      </c>
      <c r="J269" s="29" t="str">
        <f ca="1">IF(ISERROR(VLOOKUP(I269,$C$3:$L$6,5,0)),"",IF(OR(VLOOKUP(I269,$C$3:$L$6,5,0)=Variables!$B$5,B269&gt;VLOOKUP(I269,$C$3:$L$6,8,0)),IF(VLOOKUP(I269,$C$3:$L$6,5,0)=Variables!$B$5,((YEAR(B269)-YEAR($B$12))*12+MONTH(B269)-MONTH($B$12)),((YEAR(B269)-YEAR(VLOOKUP(I269,$C$3:$L$6,8,0)))*12+MONTH(B269)-MONTH(VLOOKUP(I269,$C$3:$L$6,8,0))))*(VLOOKUP(I269,$C$3:$L$6,10,0)*VLOOKUP(I269,$C$3:$L$6,6,0)/12),0))</f>
        <v/>
      </c>
      <c r="K269" s="29" t="str">
        <f ca="1">IF(C269&lt;&gt;"",IF(I269&lt;&gt;"",IF(ISERROR(VLOOKUP(I269,$C$3:$L$6,10,0)),"",VLOOKUP(I269,$C$3:$L$6,10,0)+J269+IF(OR(VLOOKUP(I269,$C$3:$L$6,5,0)=Variables!$B$5,B269&gt;VLOOKUP(I269,$C$3:$L$6,8,0)),IF(VLOOKUP(I269,$C$3:$L$6,5,0)=Variables!$B$5,((YEAR(B269)-YEAR($B$12))*12+MONTH(B269)-MONTH($B$12)),((YEAR(B269)-YEAR(VLOOKUP(I269,$C$3:$L$6,8,0)))*12+MONTH(B269)-MONTH(VLOOKUP(I269,$C$3:$L$6,8,0))))*VLOOKUP(I269,$C$3:$L$6,7,0),0)),""),"")</f>
        <v/>
      </c>
      <c r="L269" s="29" t="str">
        <f t="shared" ca="1" si="29"/>
        <v/>
      </c>
      <c r="M269" s="10"/>
      <c r="N269" s="10"/>
    </row>
    <row r="270" spans="1:14" x14ac:dyDescent="0.25">
      <c r="A270" s="10"/>
      <c r="B270" s="14" t="str">
        <f t="shared" ca="1" si="30"/>
        <v/>
      </c>
      <c r="C270" s="14" t="str">
        <f ca="1">IF(I269&lt;&gt;Variables!$B$1,IF(H269&lt;&gt;0,C269,I269),"")</f>
        <v/>
      </c>
      <c r="D270" s="29" t="str">
        <f t="shared" ca="1" si="27"/>
        <v/>
      </c>
      <c r="E270" s="29" t="str">
        <f t="shared" ca="1" si="28"/>
        <v/>
      </c>
      <c r="F270" s="29" t="str">
        <f ca="1">IF(C270&lt;&gt;"",IF(OR(VLOOKUP(C270,$C$3:$L$6,5,0)=Variables!$B$5,B270&gt;VLOOKUP(C270,$C$3:$L$6,8,0)),-D270*VLOOKUP(C270,$C$3:$L$6,6,0)/12,0),"")</f>
        <v/>
      </c>
      <c r="G270" s="29" t="str">
        <f ca="1">IF(I270&lt;&gt;Variables!$B$1,IF(C270&lt;&gt;"",$I$9-E270-F270,""),-D270)</f>
        <v/>
      </c>
      <c r="H270" s="29" t="str">
        <f t="shared" ca="1" si="31"/>
        <v/>
      </c>
      <c r="I270" s="31" t="str">
        <f ca="1">IF(C270&lt;&gt;"",IF(D270+$I$9-E270-F270&gt;=0,IF(ISERROR(INDEX($C$3:$C$6,MATCH(C270,$C$3:$C$6,0)+1,0)),Variables!$B$1,INDEX($C$3:$C$6,MATCH(C270,$C$3:$C$6,0)+1,0)),""),"")</f>
        <v/>
      </c>
      <c r="J270" s="29" t="str">
        <f ca="1">IF(ISERROR(VLOOKUP(I270,$C$3:$L$6,5,0)),"",IF(OR(VLOOKUP(I270,$C$3:$L$6,5,0)=Variables!$B$5,B270&gt;VLOOKUP(I270,$C$3:$L$6,8,0)),IF(VLOOKUP(I270,$C$3:$L$6,5,0)=Variables!$B$5,((YEAR(B270)-YEAR($B$12))*12+MONTH(B270)-MONTH($B$12)),((YEAR(B270)-YEAR(VLOOKUP(I270,$C$3:$L$6,8,0)))*12+MONTH(B270)-MONTH(VLOOKUP(I270,$C$3:$L$6,8,0))))*(VLOOKUP(I270,$C$3:$L$6,10,0)*VLOOKUP(I270,$C$3:$L$6,6,0)/12),0))</f>
        <v/>
      </c>
      <c r="K270" s="29" t="str">
        <f ca="1">IF(C270&lt;&gt;"",IF(I270&lt;&gt;"",IF(ISERROR(VLOOKUP(I270,$C$3:$L$6,10,0)),"",VLOOKUP(I270,$C$3:$L$6,10,0)+J270+IF(OR(VLOOKUP(I270,$C$3:$L$6,5,0)=Variables!$B$5,B270&gt;VLOOKUP(I270,$C$3:$L$6,8,0)),IF(VLOOKUP(I270,$C$3:$L$6,5,0)=Variables!$B$5,((YEAR(B270)-YEAR($B$12))*12+MONTH(B270)-MONTH($B$12)),((YEAR(B270)-YEAR(VLOOKUP(I270,$C$3:$L$6,8,0)))*12+MONTH(B270)-MONTH(VLOOKUP(I270,$C$3:$L$6,8,0))))*VLOOKUP(I270,$C$3:$L$6,7,0),0)),""),"")</f>
        <v/>
      </c>
      <c r="L270" s="29" t="str">
        <f t="shared" ca="1" si="29"/>
        <v/>
      </c>
      <c r="M270" s="10"/>
      <c r="N270" s="10"/>
    </row>
    <row r="271" spans="1:14" x14ac:dyDescent="0.25">
      <c r="A271" s="10"/>
      <c r="B271" s="14" t="str">
        <f t="shared" ca="1" si="30"/>
        <v/>
      </c>
      <c r="C271" s="14" t="str">
        <f ca="1">IF(I270&lt;&gt;Variables!$B$1,IF(H270&lt;&gt;0,C270,I270),"")</f>
        <v/>
      </c>
      <c r="D271" s="29" t="str">
        <f t="shared" ca="1" si="27"/>
        <v/>
      </c>
      <c r="E271" s="29" t="str">
        <f t="shared" ca="1" si="28"/>
        <v/>
      </c>
      <c r="F271" s="29" t="str">
        <f ca="1">IF(C271&lt;&gt;"",IF(OR(VLOOKUP(C271,$C$3:$L$6,5,0)=Variables!$B$5,B271&gt;VLOOKUP(C271,$C$3:$L$6,8,0)),-D271*VLOOKUP(C271,$C$3:$L$6,6,0)/12,0),"")</f>
        <v/>
      </c>
      <c r="G271" s="29" t="str">
        <f ca="1">IF(I271&lt;&gt;Variables!$B$1,IF(C271&lt;&gt;"",$I$9-E271-F271,""),-D271)</f>
        <v/>
      </c>
      <c r="H271" s="29" t="str">
        <f t="shared" ca="1" si="31"/>
        <v/>
      </c>
      <c r="I271" s="31" t="str">
        <f ca="1">IF(C271&lt;&gt;"",IF(D271+$I$9-E271-F271&gt;=0,IF(ISERROR(INDEX($C$3:$C$6,MATCH(C271,$C$3:$C$6,0)+1,0)),Variables!$B$1,INDEX($C$3:$C$6,MATCH(C271,$C$3:$C$6,0)+1,0)),""),"")</f>
        <v/>
      </c>
      <c r="J271" s="29" t="str">
        <f ca="1">IF(ISERROR(VLOOKUP(I271,$C$3:$L$6,5,0)),"",IF(OR(VLOOKUP(I271,$C$3:$L$6,5,0)=Variables!$B$5,B271&gt;VLOOKUP(I271,$C$3:$L$6,8,0)),IF(VLOOKUP(I271,$C$3:$L$6,5,0)=Variables!$B$5,((YEAR(B271)-YEAR($B$12))*12+MONTH(B271)-MONTH($B$12)),((YEAR(B271)-YEAR(VLOOKUP(I271,$C$3:$L$6,8,0)))*12+MONTH(B271)-MONTH(VLOOKUP(I271,$C$3:$L$6,8,0))))*(VLOOKUP(I271,$C$3:$L$6,10,0)*VLOOKUP(I271,$C$3:$L$6,6,0)/12),0))</f>
        <v/>
      </c>
      <c r="K271" s="29" t="str">
        <f ca="1">IF(C271&lt;&gt;"",IF(I271&lt;&gt;"",IF(ISERROR(VLOOKUP(I271,$C$3:$L$6,10,0)),"",VLOOKUP(I271,$C$3:$L$6,10,0)+J271+IF(OR(VLOOKUP(I271,$C$3:$L$6,5,0)=Variables!$B$5,B271&gt;VLOOKUP(I271,$C$3:$L$6,8,0)),IF(VLOOKUP(I271,$C$3:$L$6,5,0)=Variables!$B$5,((YEAR(B271)-YEAR($B$12))*12+MONTH(B271)-MONTH($B$12)),((YEAR(B271)-YEAR(VLOOKUP(I271,$C$3:$L$6,8,0)))*12+MONTH(B271)-MONTH(VLOOKUP(I271,$C$3:$L$6,8,0))))*VLOOKUP(I271,$C$3:$L$6,7,0),0)),""),"")</f>
        <v/>
      </c>
      <c r="L271" s="29" t="str">
        <f t="shared" ca="1" si="29"/>
        <v/>
      </c>
      <c r="M271" s="10"/>
      <c r="N271" s="10"/>
    </row>
    <row r="272" spans="1:14" x14ac:dyDescent="0.25">
      <c r="A272" s="10"/>
      <c r="B272" s="14" t="str">
        <f t="shared" ca="1" si="30"/>
        <v/>
      </c>
      <c r="C272" s="14" t="str">
        <f ca="1">IF(I271&lt;&gt;Variables!$B$1,IF(H271&lt;&gt;0,C271,I271),"")</f>
        <v/>
      </c>
      <c r="D272" s="29" t="str">
        <f t="shared" ca="1" si="27"/>
        <v/>
      </c>
      <c r="E272" s="29" t="str">
        <f t="shared" ca="1" si="28"/>
        <v/>
      </c>
      <c r="F272" s="29" t="str">
        <f ca="1">IF(C272&lt;&gt;"",IF(OR(VLOOKUP(C272,$C$3:$L$6,5,0)=Variables!$B$5,B272&gt;VLOOKUP(C272,$C$3:$L$6,8,0)),-D272*VLOOKUP(C272,$C$3:$L$6,6,0)/12,0),"")</f>
        <v/>
      </c>
      <c r="G272" s="29" t="str">
        <f ca="1">IF(I272&lt;&gt;Variables!$B$1,IF(C272&lt;&gt;"",$I$9-E272-F272,""),-D272)</f>
        <v/>
      </c>
      <c r="H272" s="29" t="str">
        <f t="shared" ca="1" si="31"/>
        <v/>
      </c>
      <c r="I272" s="31" t="str">
        <f ca="1">IF(C272&lt;&gt;"",IF(D272+$I$9-E272-F272&gt;=0,IF(ISERROR(INDEX($C$3:$C$6,MATCH(C272,$C$3:$C$6,0)+1,0)),Variables!$B$1,INDEX($C$3:$C$6,MATCH(C272,$C$3:$C$6,0)+1,0)),""),"")</f>
        <v/>
      </c>
      <c r="J272" s="29" t="str">
        <f ca="1">IF(ISERROR(VLOOKUP(I272,$C$3:$L$6,5,0)),"",IF(OR(VLOOKUP(I272,$C$3:$L$6,5,0)=Variables!$B$5,B272&gt;VLOOKUP(I272,$C$3:$L$6,8,0)),IF(VLOOKUP(I272,$C$3:$L$6,5,0)=Variables!$B$5,((YEAR(B272)-YEAR($B$12))*12+MONTH(B272)-MONTH($B$12)),((YEAR(B272)-YEAR(VLOOKUP(I272,$C$3:$L$6,8,0)))*12+MONTH(B272)-MONTH(VLOOKUP(I272,$C$3:$L$6,8,0))))*(VLOOKUP(I272,$C$3:$L$6,10,0)*VLOOKUP(I272,$C$3:$L$6,6,0)/12),0))</f>
        <v/>
      </c>
      <c r="K272" s="29" t="str">
        <f ca="1">IF(C272&lt;&gt;"",IF(I272&lt;&gt;"",IF(ISERROR(VLOOKUP(I272,$C$3:$L$6,10,0)),"",VLOOKUP(I272,$C$3:$L$6,10,0)+J272+IF(OR(VLOOKUP(I272,$C$3:$L$6,5,0)=Variables!$B$5,B272&gt;VLOOKUP(I272,$C$3:$L$6,8,0)),IF(VLOOKUP(I272,$C$3:$L$6,5,0)=Variables!$B$5,((YEAR(B272)-YEAR($B$12))*12+MONTH(B272)-MONTH($B$12)),((YEAR(B272)-YEAR(VLOOKUP(I272,$C$3:$L$6,8,0)))*12+MONTH(B272)-MONTH(VLOOKUP(I272,$C$3:$L$6,8,0))))*VLOOKUP(I272,$C$3:$L$6,7,0),0)),""),"")</f>
        <v/>
      </c>
      <c r="L272" s="29" t="str">
        <f t="shared" ca="1" si="29"/>
        <v/>
      </c>
      <c r="M272" s="10"/>
      <c r="N272" s="10"/>
    </row>
    <row r="273" spans="1:14" x14ac:dyDescent="0.25">
      <c r="A273" s="10"/>
      <c r="B273" s="14" t="str">
        <f t="shared" ca="1" si="30"/>
        <v/>
      </c>
      <c r="C273" s="14" t="str">
        <f ca="1">IF(I272&lt;&gt;Variables!$B$1,IF(H272&lt;&gt;0,C272,I272),"")</f>
        <v/>
      </c>
      <c r="D273" s="29" t="str">
        <f t="shared" ca="1" si="27"/>
        <v/>
      </c>
      <c r="E273" s="29" t="str">
        <f t="shared" ca="1" si="28"/>
        <v/>
      </c>
      <c r="F273" s="29" t="str">
        <f ca="1">IF(C273&lt;&gt;"",IF(OR(VLOOKUP(C273,$C$3:$L$6,5,0)=Variables!$B$5,B273&gt;VLOOKUP(C273,$C$3:$L$6,8,0)),-D273*VLOOKUP(C273,$C$3:$L$6,6,0)/12,0),"")</f>
        <v/>
      </c>
      <c r="G273" s="29" t="str">
        <f ca="1">IF(I273&lt;&gt;Variables!$B$1,IF(C273&lt;&gt;"",$I$9-E273-F273,""),-D273)</f>
        <v/>
      </c>
      <c r="H273" s="29" t="str">
        <f t="shared" ca="1" si="31"/>
        <v/>
      </c>
      <c r="I273" s="31" t="str">
        <f ca="1">IF(C273&lt;&gt;"",IF(D273+$I$9-E273-F273&gt;=0,IF(ISERROR(INDEX($C$3:$C$6,MATCH(C273,$C$3:$C$6,0)+1,0)),Variables!$B$1,INDEX($C$3:$C$6,MATCH(C273,$C$3:$C$6,0)+1,0)),""),"")</f>
        <v/>
      </c>
      <c r="J273" s="29" t="str">
        <f ca="1">IF(ISERROR(VLOOKUP(I273,$C$3:$L$6,5,0)),"",IF(OR(VLOOKUP(I273,$C$3:$L$6,5,0)=Variables!$B$5,B273&gt;VLOOKUP(I273,$C$3:$L$6,8,0)),IF(VLOOKUP(I273,$C$3:$L$6,5,0)=Variables!$B$5,((YEAR(B273)-YEAR($B$12))*12+MONTH(B273)-MONTH($B$12)),((YEAR(B273)-YEAR(VLOOKUP(I273,$C$3:$L$6,8,0)))*12+MONTH(B273)-MONTH(VLOOKUP(I273,$C$3:$L$6,8,0))))*(VLOOKUP(I273,$C$3:$L$6,10,0)*VLOOKUP(I273,$C$3:$L$6,6,0)/12),0))</f>
        <v/>
      </c>
      <c r="K273" s="29" t="str">
        <f ca="1">IF(C273&lt;&gt;"",IF(I273&lt;&gt;"",IF(ISERROR(VLOOKUP(I273,$C$3:$L$6,10,0)),"",VLOOKUP(I273,$C$3:$L$6,10,0)+J273+IF(OR(VLOOKUP(I273,$C$3:$L$6,5,0)=Variables!$B$5,B273&gt;VLOOKUP(I273,$C$3:$L$6,8,0)),IF(VLOOKUP(I273,$C$3:$L$6,5,0)=Variables!$B$5,((YEAR(B273)-YEAR($B$12))*12+MONTH(B273)-MONTH($B$12)),((YEAR(B273)-YEAR(VLOOKUP(I273,$C$3:$L$6,8,0)))*12+MONTH(B273)-MONTH(VLOOKUP(I273,$C$3:$L$6,8,0))))*VLOOKUP(I273,$C$3:$L$6,7,0),0)),""),"")</f>
        <v/>
      </c>
      <c r="L273" s="29" t="str">
        <f t="shared" ca="1" si="29"/>
        <v/>
      </c>
      <c r="M273" s="10"/>
      <c r="N273" s="10"/>
    </row>
    <row r="274" spans="1:14" x14ac:dyDescent="0.25">
      <c r="A274" s="10"/>
      <c r="B274" s="14" t="str">
        <f t="shared" ca="1" si="30"/>
        <v/>
      </c>
      <c r="C274" s="14" t="str">
        <f ca="1">IF(I273&lt;&gt;Variables!$B$1,IF(H273&lt;&gt;0,C273,I273),"")</f>
        <v/>
      </c>
      <c r="D274" s="29" t="str">
        <f t="shared" ca="1" si="27"/>
        <v/>
      </c>
      <c r="E274" s="29" t="str">
        <f t="shared" ca="1" si="28"/>
        <v/>
      </c>
      <c r="F274" s="29" t="str">
        <f ca="1">IF(C274&lt;&gt;"",IF(OR(VLOOKUP(C274,$C$3:$L$6,5,0)=Variables!$B$5,B274&gt;VLOOKUP(C274,$C$3:$L$6,8,0)),-D274*VLOOKUP(C274,$C$3:$L$6,6,0)/12,0),"")</f>
        <v/>
      </c>
      <c r="G274" s="29" t="str">
        <f ca="1">IF(I274&lt;&gt;Variables!$B$1,IF(C274&lt;&gt;"",$I$9-E274-F274,""),-D274)</f>
        <v/>
      </c>
      <c r="H274" s="29" t="str">
        <f t="shared" ca="1" si="31"/>
        <v/>
      </c>
      <c r="I274" s="31" t="str">
        <f ca="1">IF(C274&lt;&gt;"",IF(D274+$I$9-E274-F274&gt;=0,IF(ISERROR(INDEX($C$3:$C$6,MATCH(C274,$C$3:$C$6,0)+1,0)),Variables!$B$1,INDEX($C$3:$C$6,MATCH(C274,$C$3:$C$6,0)+1,0)),""),"")</f>
        <v/>
      </c>
      <c r="J274" s="29" t="str">
        <f ca="1">IF(ISERROR(VLOOKUP(I274,$C$3:$L$6,5,0)),"",IF(OR(VLOOKUP(I274,$C$3:$L$6,5,0)=Variables!$B$5,B274&gt;VLOOKUP(I274,$C$3:$L$6,8,0)),IF(VLOOKUP(I274,$C$3:$L$6,5,0)=Variables!$B$5,((YEAR(B274)-YEAR($B$12))*12+MONTH(B274)-MONTH($B$12)),((YEAR(B274)-YEAR(VLOOKUP(I274,$C$3:$L$6,8,0)))*12+MONTH(B274)-MONTH(VLOOKUP(I274,$C$3:$L$6,8,0))))*(VLOOKUP(I274,$C$3:$L$6,10,0)*VLOOKUP(I274,$C$3:$L$6,6,0)/12),0))</f>
        <v/>
      </c>
      <c r="K274" s="29" t="str">
        <f ca="1">IF(C274&lt;&gt;"",IF(I274&lt;&gt;"",IF(ISERROR(VLOOKUP(I274,$C$3:$L$6,10,0)),"",VLOOKUP(I274,$C$3:$L$6,10,0)+J274+IF(OR(VLOOKUP(I274,$C$3:$L$6,5,0)=Variables!$B$5,B274&gt;VLOOKUP(I274,$C$3:$L$6,8,0)),IF(VLOOKUP(I274,$C$3:$L$6,5,0)=Variables!$B$5,((YEAR(B274)-YEAR($B$12))*12+MONTH(B274)-MONTH($B$12)),((YEAR(B274)-YEAR(VLOOKUP(I274,$C$3:$L$6,8,0)))*12+MONTH(B274)-MONTH(VLOOKUP(I274,$C$3:$L$6,8,0))))*VLOOKUP(I274,$C$3:$L$6,7,0),0)),""),"")</f>
        <v/>
      </c>
      <c r="L274" s="29" t="str">
        <f t="shared" ca="1" si="29"/>
        <v/>
      </c>
      <c r="M274" s="10"/>
      <c r="N274" s="10"/>
    </row>
    <row r="275" spans="1:14" x14ac:dyDescent="0.25">
      <c r="A275" s="10"/>
      <c r="B275" s="14" t="str">
        <f t="shared" ca="1" si="30"/>
        <v/>
      </c>
      <c r="C275" s="14" t="str">
        <f ca="1">IF(I274&lt;&gt;Variables!$B$1,IF(H274&lt;&gt;0,C274,I274),"")</f>
        <v/>
      </c>
      <c r="D275" s="29" t="str">
        <f t="shared" ca="1" si="27"/>
        <v/>
      </c>
      <c r="E275" s="29" t="str">
        <f t="shared" ca="1" si="28"/>
        <v/>
      </c>
      <c r="F275" s="29" t="str">
        <f ca="1">IF(C275&lt;&gt;"",IF(OR(VLOOKUP(C275,$C$3:$L$6,5,0)=Variables!$B$5,B275&gt;VLOOKUP(C275,$C$3:$L$6,8,0)),-D275*VLOOKUP(C275,$C$3:$L$6,6,0)/12,0),"")</f>
        <v/>
      </c>
      <c r="G275" s="29" t="str">
        <f ca="1">IF(I275&lt;&gt;Variables!$B$1,IF(C275&lt;&gt;"",$I$9-E275-F275,""),-D275)</f>
        <v/>
      </c>
      <c r="H275" s="29" t="str">
        <f t="shared" ca="1" si="31"/>
        <v/>
      </c>
      <c r="I275" s="31" t="str">
        <f ca="1">IF(C275&lt;&gt;"",IF(D275+$I$9-E275-F275&gt;=0,IF(ISERROR(INDEX($C$3:$C$6,MATCH(C275,$C$3:$C$6,0)+1,0)),Variables!$B$1,INDEX($C$3:$C$6,MATCH(C275,$C$3:$C$6,0)+1,0)),""),"")</f>
        <v/>
      </c>
      <c r="J275" s="29" t="str">
        <f ca="1">IF(ISERROR(VLOOKUP(I275,$C$3:$L$6,5,0)),"",IF(OR(VLOOKUP(I275,$C$3:$L$6,5,0)=Variables!$B$5,B275&gt;VLOOKUP(I275,$C$3:$L$6,8,0)),IF(VLOOKUP(I275,$C$3:$L$6,5,0)=Variables!$B$5,((YEAR(B275)-YEAR($B$12))*12+MONTH(B275)-MONTH($B$12)),((YEAR(B275)-YEAR(VLOOKUP(I275,$C$3:$L$6,8,0)))*12+MONTH(B275)-MONTH(VLOOKUP(I275,$C$3:$L$6,8,0))))*(VLOOKUP(I275,$C$3:$L$6,10,0)*VLOOKUP(I275,$C$3:$L$6,6,0)/12),0))</f>
        <v/>
      </c>
      <c r="K275" s="29" t="str">
        <f ca="1">IF(C275&lt;&gt;"",IF(I275&lt;&gt;"",IF(ISERROR(VLOOKUP(I275,$C$3:$L$6,10,0)),"",VLOOKUP(I275,$C$3:$L$6,10,0)+J275+IF(OR(VLOOKUP(I275,$C$3:$L$6,5,0)=Variables!$B$5,B275&gt;VLOOKUP(I275,$C$3:$L$6,8,0)),IF(VLOOKUP(I275,$C$3:$L$6,5,0)=Variables!$B$5,((YEAR(B275)-YEAR($B$12))*12+MONTH(B275)-MONTH($B$12)),((YEAR(B275)-YEAR(VLOOKUP(I275,$C$3:$L$6,8,0)))*12+MONTH(B275)-MONTH(VLOOKUP(I275,$C$3:$L$6,8,0))))*VLOOKUP(I275,$C$3:$L$6,7,0),0)),""),"")</f>
        <v/>
      </c>
      <c r="L275" s="29" t="str">
        <f t="shared" ca="1" si="29"/>
        <v/>
      </c>
      <c r="M275" s="10"/>
      <c r="N275" s="10"/>
    </row>
    <row r="276" spans="1:14" x14ac:dyDescent="0.25">
      <c r="A276" s="10"/>
      <c r="B276" s="14" t="str">
        <f t="shared" ca="1" si="30"/>
        <v/>
      </c>
      <c r="C276" s="14" t="str">
        <f ca="1">IF(I275&lt;&gt;Variables!$B$1,IF(H275&lt;&gt;0,C275,I275),"")</f>
        <v/>
      </c>
      <c r="D276" s="29" t="str">
        <f t="shared" ca="1" si="27"/>
        <v/>
      </c>
      <c r="E276" s="29" t="str">
        <f t="shared" ca="1" si="28"/>
        <v/>
      </c>
      <c r="F276" s="29" t="str">
        <f ca="1">IF(C276&lt;&gt;"",IF(OR(VLOOKUP(C276,$C$3:$L$6,5,0)=Variables!$B$5,B276&gt;VLOOKUP(C276,$C$3:$L$6,8,0)),-D276*VLOOKUP(C276,$C$3:$L$6,6,0)/12,0),"")</f>
        <v/>
      </c>
      <c r="G276" s="29" t="str">
        <f ca="1">IF(I276&lt;&gt;Variables!$B$1,IF(C276&lt;&gt;"",$I$9-E276-F276,""),-D276)</f>
        <v/>
      </c>
      <c r="H276" s="29" t="str">
        <f t="shared" ca="1" si="31"/>
        <v/>
      </c>
      <c r="I276" s="31" t="str">
        <f ca="1">IF(C276&lt;&gt;"",IF(D276+$I$9-E276-F276&gt;=0,IF(ISERROR(INDEX($C$3:$C$6,MATCH(C276,$C$3:$C$6,0)+1,0)),Variables!$B$1,INDEX($C$3:$C$6,MATCH(C276,$C$3:$C$6,0)+1,0)),""),"")</f>
        <v/>
      </c>
      <c r="J276" s="29" t="str">
        <f ca="1">IF(ISERROR(VLOOKUP(I276,$C$3:$L$6,5,0)),"",IF(OR(VLOOKUP(I276,$C$3:$L$6,5,0)=Variables!$B$5,B276&gt;VLOOKUP(I276,$C$3:$L$6,8,0)),IF(VLOOKUP(I276,$C$3:$L$6,5,0)=Variables!$B$5,((YEAR(B276)-YEAR($B$12))*12+MONTH(B276)-MONTH($B$12)),((YEAR(B276)-YEAR(VLOOKUP(I276,$C$3:$L$6,8,0)))*12+MONTH(B276)-MONTH(VLOOKUP(I276,$C$3:$L$6,8,0))))*(VLOOKUP(I276,$C$3:$L$6,10,0)*VLOOKUP(I276,$C$3:$L$6,6,0)/12),0))</f>
        <v/>
      </c>
      <c r="K276" s="29" t="str">
        <f ca="1">IF(C276&lt;&gt;"",IF(I276&lt;&gt;"",IF(ISERROR(VLOOKUP(I276,$C$3:$L$6,10,0)),"",VLOOKUP(I276,$C$3:$L$6,10,0)+J276+IF(OR(VLOOKUP(I276,$C$3:$L$6,5,0)=Variables!$B$5,B276&gt;VLOOKUP(I276,$C$3:$L$6,8,0)),IF(VLOOKUP(I276,$C$3:$L$6,5,0)=Variables!$B$5,((YEAR(B276)-YEAR($B$12))*12+MONTH(B276)-MONTH($B$12)),((YEAR(B276)-YEAR(VLOOKUP(I276,$C$3:$L$6,8,0)))*12+MONTH(B276)-MONTH(VLOOKUP(I276,$C$3:$L$6,8,0))))*VLOOKUP(I276,$C$3:$L$6,7,0),0)),""),"")</f>
        <v/>
      </c>
      <c r="L276" s="29" t="str">
        <f t="shared" ca="1" si="29"/>
        <v/>
      </c>
      <c r="M276" s="10"/>
      <c r="N276" s="10"/>
    </row>
    <row r="277" spans="1:14" x14ac:dyDescent="0.25">
      <c r="A277" s="10"/>
      <c r="B277" s="14" t="str">
        <f t="shared" ca="1" si="30"/>
        <v/>
      </c>
      <c r="C277" s="14" t="str">
        <f ca="1">IF(I276&lt;&gt;Variables!$B$1,IF(H276&lt;&gt;0,C276,I276),"")</f>
        <v/>
      </c>
      <c r="D277" s="29" t="str">
        <f t="shared" ca="1" si="27"/>
        <v/>
      </c>
      <c r="E277" s="29" t="str">
        <f t="shared" ca="1" si="28"/>
        <v/>
      </c>
      <c r="F277" s="29" t="str">
        <f ca="1">IF(C277&lt;&gt;"",IF(OR(VLOOKUP(C277,$C$3:$L$6,5,0)=Variables!$B$5,B277&gt;VLOOKUP(C277,$C$3:$L$6,8,0)),-D277*VLOOKUP(C277,$C$3:$L$6,6,0)/12,0),"")</f>
        <v/>
      </c>
      <c r="G277" s="29" t="str">
        <f ca="1">IF(I277&lt;&gt;Variables!$B$1,IF(C277&lt;&gt;"",$I$9-E277-F277,""),-D277)</f>
        <v/>
      </c>
      <c r="H277" s="29" t="str">
        <f t="shared" ca="1" si="31"/>
        <v/>
      </c>
      <c r="I277" s="31" t="str">
        <f ca="1">IF(C277&lt;&gt;"",IF(D277+$I$9-E277-F277&gt;=0,IF(ISERROR(INDEX($C$3:$C$6,MATCH(C277,$C$3:$C$6,0)+1,0)),Variables!$B$1,INDEX($C$3:$C$6,MATCH(C277,$C$3:$C$6,0)+1,0)),""),"")</f>
        <v/>
      </c>
      <c r="J277" s="29" t="str">
        <f ca="1">IF(ISERROR(VLOOKUP(I277,$C$3:$L$6,5,0)),"",IF(OR(VLOOKUP(I277,$C$3:$L$6,5,0)=Variables!$B$5,B277&gt;VLOOKUP(I277,$C$3:$L$6,8,0)),IF(VLOOKUP(I277,$C$3:$L$6,5,0)=Variables!$B$5,((YEAR(B277)-YEAR($B$12))*12+MONTH(B277)-MONTH($B$12)),((YEAR(B277)-YEAR(VLOOKUP(I277,$C$3:$L$6,8,0)))*12+MONTH(B277)-MONTH(VLOOKUP(I277,$C$3:$L$6,8,0))))*(VLOOKUP(I277,$C$3:$L$6,10,0)*VLOOKUP(I277,$C$3:$L$6,6,0)/12),0))</f>
        <v/>
      </c>
      <c r="K277" s="29" t="str">
        <f ca="1">IF(C277&lt;&gt;"",IF(I277&lt;&gt;"",IF(ISERROR(VLOOKUP(I277,$C$3:$L$6,10,0)),"",VLOOKUP(I277,$C$3:$L$6,10,0)+J277+IF(OR(VLOOKUP(I277,$C$3:$L$6,5,0)=Variables!$B$5,B277&gt;VLOOKUP(I277,$C$3:$L$6,8,0)),IF(VLOOKUP(I277,$C$3:$L$6,5,0)=Variables!$B$5,((YEAR(B277)-YEAR($B$12))*12+MONTH(B277)-MONTH($B$12)),((YEAR(B277)-YEAR(VLOOKUP(I277,$C$3:$L$6,8,0)))*12+MONTH(B277)-MONTH(VLOOKUP(I277,$C$3:$L$6,8,0))))*VLOOKUP(I277,$C$3:$L$6,7,0),0)),""),"")</f>
        <v/>
      </c>
      <c r="L277" s="29" t="str">
        <f t="shared" ca="1" si="29"/>
        <v/>
      </c>
      <c r="M277" s="10"/>
      <c r="N277" s="10"/>
    </row>
    <row r="278" spans="1:14" x14ac:dyDescent="0.25">
      <c r="A278" s="10"/>
      <c r="B278" s="14" t="str">
        <f t="shared" ca="1" si="30"/>
        <v/>
      </c>
      <c r="C278" s="14" t="str">
        <f ca="1">IF(I277&lt;&gt;Variables!$B$1,IF(H277&lt;&gt;0,C277,I277),"")</f>
        <v/>
      </c>
      <c r="D278" s="29" t="str">
        <f t="shared" ca="1" si="27"/>
        <v/>
      </c>
      <c r="E278" s="29" t="str">
        <f t="shared" ca="1" si="28"/>
        <v/>
      </c>
      <c r="F278" s="29" t="str">
        <f ca="1">IF(C278&lt;&gt;"",IF(OR(VLOOKUP(C278,$C$3:$L$6,5,0)=Variables!$B$5,B278&gt;VLOOKUP(C278,$C$3:$L$6,8,0)),-D278*VLOOKUP(C278,$C$3:$L$6,6,0)/12,0),"")</f>
        <v/>
      </c>
      <c r="G278" s="29" t="str">
        <f ca="1">IF(I278&lt;&gt;Variables!$B$1,IF(C278&lt;&gt;"",$I$9-E278-F278,""),-D278)</f>
        <v/>
      </c>
      <c r="H278" s="29" t="str">
        <f t="shared" ca="1" si="31"/>
        <v/>
      </c>
      <c r="I278" s="31" t="str">
        <f ca="1">IF(C278&lt;&gt;"",IF(D278+$I$9-E278-F278&gt;=0,IF(ISERROR(INDEX($C$3:$C$6,MATCH(C278,$C$3:$C$6,0)+1,0)),Variables!$B$1,INDEX($C$3:$C$6,MATCH(C278,$C$3:$C$6,0)+1,0)),""),"")</f>
        <v/>
      </c>
      <c r="J278" s="29" t="str">
        <f ca="1">IF(ISERROR(VLOOKUP(I278,$C$3:$L$6,5,0)),"",IF(OR(VLOOKUP(I278,$C$3:$L$6,5,0)=Variables!$B$5,B278&gt;VLOOKUP(I278,$C$3:$L$6,8,0)),IF(VLOOKUP(I278,$C$3:$L$6,5,0)=Variables!$B$5,((YEAR(B278)-YEAR($B$12))*12+MONTH(B278)-MONTH($B$12)),((YEAR(B278)-YEAR(VLOOKUP(I278,$C$3:$L$6,8,0)))*12+MONTH(B278)-MONTH(VLOOKUP(I278,$C$3:$L$6,8,0))))*(VLOOKUP(I278,$C$3:$L$6,10,0)*VLOOKUP(I278,$C$3:$L$6,6,0)/12),0))</f>
        <v/>
      </c>
      <c r="K278" s="29" t="str">
        <f ca="1">IF(C278&lt;&gt;"",IF(I278&lt;&gt;"",IF(ISERROR(VLOOKUP(I278,$C$3:$L$6,10,0)),"",VLOOKUP(I278,$C$3:$L$6,10,0)+J278+IF(OR(VLOOKUP(I278,$C$3:$L$6,5,0)=Variables!$B$5,B278&gt;VLOOKUP(I278,$C$3:$L$6,8,0)),IF(VLOOKUP(I278,$C$3:$L$6,5,0)=Variables!$B$5,((YEAR(B278)-YEAR($B$12))*12+MONTH(B278)-MONTH($B$12)),((YEAR(B278)-YEAR(VLOOKUP(I278,$C$3:$L$6,8,0)))*12+MONTH(B278)-MONTH(VLOOKUP(I278,$C$3:$L$6,8,0))))*VLOOKUP(I278,$C$3:$L$6,7,0),0)),""),"")</f>
        <v/>
      </c>
      <c r="L278" s="29" t="str">
        <f t="shared" ca="1" si="29"/>
        <v/>
      </c>
      <c r="M278" s="10"/>
      <c r="N278" s="10"/>
    </row>
    <row r="279" spans="1:14" x14ac:dyDescent="0.25">
      <c r="A279" s="10"/>
      <c r="B279" s="14" t="str">
        <f t="shared" ca="1" si="30"/>
        <v/>
      </c>
      <c r="C279" s="14" t="str">
        <f ca="1">IF(I278&lt;&gt;Variables!$B$1,IF(H278&lt;&gt;0,C278,I278),"")</f>
        <v/>
      </c>
      <c r="D279" s="29" t="str">
        <f t="shared" ca="1" si="27"/>
        <v/>
      </c>
      <c r="E279" s="29" t="str">
        <f t="shared" ca="1" si="28"/>
        <v/>
      </c>
      <c r="F279" s="29" t="str">
        <f ca="1">IF(C279&lt;&gt;"",IF(OR(VLOOKUP(C279,$C$3:$L$6,5,0)=Variables!$B$5,B279&gt;VLOOKUP(C279,$C$3:$L$6,8,0)),-D279*VLOOKUP(C279,$C$3:$L$6,6,0)/12,0),"")</f>
        <v/>
      </c>
      <c r="G279" s="29" t="str">
        <f ca="1">IF(I279&lt;&gt;Variables!$B$1,IF(C279&lt;&gt;"",$I$9-E279-F279,""),-D279)</f>
        <v/>
      </c>
      <c r="H279" s="29" t="str">
        <f t="shared" ca="1" si="31"/>
        <v/>
      </c>
      <c r="I279" s="31" t="str">
        <f ca="1">IF(C279&lt;&gt;"",IF(D279+$I$9-E279-F279&gt;=0,IF(ISERROR(INDEX($C$3:$C$6,MATCH(C279,$C$3:$C$6,0)+1,0)),Variables!$B$1,INDEX($C$3:$C$6,MATCH(C279,$C$3:$C$6,0)+1,0)),""),"")</f>
        <v/>
      </c>
      <c r="J279" s="29" t="str">
        <f ca="1">IF(ISERROR(VLOOKUP(I279,$C$3:$L$6,5,0)),"",IF(OR(VLOOKUP(I279,$C$3:$L$6,5,0)=Variables!$B$5,B279&gt;VLOOKUP(I279,$C$3:$L$6,8,0)),IF(VLOOKUP(I279,$C$3:$L$6,5,0)=Variables!$B$5,((YEAR(B279)-YEAR($B$12))*12+MONTH(B279)-MONTH($B$12)),((YEAR(B279)-YEAR(VLOOKUP(I279,$C$3:$L$6,8,0)))*12+MONTH(B279)-MONTH(VLOOKUP(I279,$C$3:$L$6,8,0))))*(VLOOKUP(I279,$C$3:$L$6,10,0)*VLOOKUP(I279,$C$3:$L$6,6,0)/12),0))</f>
        <v/>
      </c>
      <c r="K279" s="29" t="str">
        <f ca="1">IF(C279&lt;&gt;"",IF(I279&lt;&gt;"",IF(ISERROR(VLOOKUP(I279,$C$3:$L$6,10,0)),"",VLOOKUP(I279,$C$3:$L$6,10,0)+J279+IF(OR(VLOOKUP(I279,$C$3:$L$6,5,0)=Variables!$B$5,B279&gt;VLOOKUP(I279,$C$3:$L$6,8,0)),IF(VLOOKUP(I279,$C$3:$L$6,5,0)=Variables!$B$5,((YEAR(B279)-YEAR($B$12))*12+MONTH(B279)-MONTH($B$12)),((YEAR(B279)-YEAR(VLOOKUP(I279,$C$3:$L$6,8,0)))*12+MONTH(B279)-MONTH(VLOOKUP(I279,$C$3:$L$6,8,0))))*VLOOKUP(I279,$C$3:$L$6,7,0),0)),""),"")</f>
        <v/>
      </c>
      <c r="L279" s="29" t="str">
        <f t="shared" ca="1" si="29"/>
        <v/>
      </c>
      <c r="M279" s="10"/>
      <c r="N279" s="10"/>
    </row>
    <row r="280" spans="1:14" x14ac:dyDescent="0.25">
      <c r="A280" s="10"/>
      <c r="B280" s="14" t="str">
        <f t="shared" ca="1" si="30"/>
        <v/>
      </c>
      <c r="C280" s="14" t="str">
        <f ca="1">IF(I279&lt;&gt;Variables!$B$1,IF(H279&lt;&gt;0,C279,I279),"")</f>
        <v/>
      </c>
      <c r="D280" s="29" t="str">
        <f t="shared" ca="1" si="27"/>
        <v/>
      </c>
      <c r="E280" s="29" t="str">
        <f t="shared" ca="1" si="28"/>
        <v/>
      </c>
      <c r="F280" s="29" t="str">
        <f ca="1">IF(C280&lt;&gt;"",IF(OR(VLOOKUP(C280,$C$3:$L$6,5,0)=Variables!$B$5,B280&gt;VLOOKUP(C280,$C$3:$L$6,8,0)),-D280*VLOOKUP(C280,$C$3:$L$6,6,0)/12,0),"")</f>
        <v/>
      </c>
      <c r="G280" s="29" t="str">
        <f ca="1">IF(I280&lt;&gt;Variables!$B$1,IF(C280&lt;&gt;"",$I$9-E280-F280,""),-D280)</f>
        <v/>
      </c>
      <c r="H280" s="29" t="str">
        <f t="shared" ca="1" si="31"/>
        <v/>
      </c>
      <c r="I280" s="31" t="str">
        <f ca="1">IF(C280&lt;&gt;"",IF(D280+$I$9-E280-F280&gt;=0,IF(ISERROR(INDEX($C$3:$C$6,MATCH(C280,$C$3:$C$6,0)+1,0)),Variables!$B$1,INDEX($C$3:$C$6,MATCH(C280,$C$3:$C$6,0)+1,0)),""),"")</f>
        <v/>
      </c>
      <c r="J280" s="29" t="str">
        <f ca="1">IF(ISERROR(VLOOKUP(I280,$C$3:$L$6,5,0)),"",IF(OR(VLOOKUP(I280,$C$3:$L$6,5,0)=Variables!$B$5,B280&gt;VLOOKUP(I280,$C$3:$L$6,8,0)),IF(VLOOKUP(I280,$C$3:$L$6,5,0)=Variables!$B$5,((YEAR(B280)-YEAR($B$12))*12+MONTH(B280)-MONTH($B$12)),((YEAR(B280)-YEAR(VLOOKUP(I280,$C$3:$L$6,8,0)))*12+MONTH(B280)-MONTH(VLOOKUP(I280,$C$3:$L$6,8,0))))*(VLOOKUP(I280,$C$3:$L$6,10,0)*VLOOKUP(I280,$C$3:$L$6,6,0)/12),0))</f>
        <v/>
      </c>
      <c r="K280" s="29" t="str">
        <f ca="1">IF(C280&lt;&gt;"",IF(I280&lt;&gt;"",IF(ISERROR(VLOOKUP(I280,$C$3:$L$6,10,0)),"",VLOOKUP(I280,$C$3:$L$6,10,0)+J280+IF(OR(VLOOKUP(I280,$C$3:$L$6,5,0)=Variables!$B$5,B280&gt;VLOOKUP(I280,$C$3:$L$6,8,0)),IF(VLOOKUP(I280,$C$3:$L$6,5,0)=Variables!$B$5,((YEAR(B280)-YEAR($B$12))*12+MONTH(B280)-MONTH($B$12)),((YEAR(B280)-YEAR(VLOOKUP(I280,$C$3:$L$6,8,0)))*12+MONTH(B280)-MONTH(VLOOKUP(I280,$C$3:$L$6,8,0))))*VLOOKUP(I280,$C$3:$L$6,7,0),0)),""),"")</f>
        <v/>
      </c>
      <c r="L280" s="29" t="str">
        <f t="shared" ca="1" si="29"/>
        <v/>
      </c>
      <c r="M280" s="10"/>
      <c r="N280" s="10"/>
    </row>
    <row r="281" spans="1:14" x14ac:dyDescent="0.25">
      <c r="A281" s="10"/>
      <c r="B281" s="14" t="str">
        <f t="shared" ca="1" si="30"/>
        <v/>
      </c>
      <c r="C281" s="14" t="str">
        <f ca="1">IF(I280&lt;&gt;Variables!$B$1,IF(H280&lt;&gt;0,C280,I280),"")</f>
        <v/>
      </c>
      <c r="D281" s="29" t="str">
        <f t="shared" ca="1" si="27"/>
        <v/>
      </c>
      <c r="E281" s="29" t="str">
        <f t="shared" ca="1" si="28"/>
        <v/>
      </c>
      <c r="F281" s="29" t="str">
        <f ca="1">IF(C281&lt;&gt;"",IF(OR(VLOOKUP(C281,$C$3:$L$6,5,0)=Variables!$B$5,B281&gt;VLOOKUP(C281,$C$3:$L$6,8,0)),-D281*VLOOKUP(C281,$C$3:$L$6,6,0)/12,0),"")</f>
        <v/>
      </c>
      <c r="G281" s="29" t="str">
        <f ca="1">IF(I281&lt;&gt;Variables!$B$1,IF(C281&lt;&gt;"",$I$9-E281-F281,""),-D281)</f>
        <v/>
      </c>
      <c r="H281" s="29" t="str">
        <f t="shared" ca="1" si="31"/>
        <v/>
      </c>
      <c r="I281" s="31" t="str">
        <f ca="1">IF(C281&lt;&gt;"",IF(D281+$I$9-E281-F281&gt;=0,IF(ISERROR(INDEX($C$3:$C$6,MATCH(C281,$C$3:$C$6,0)+1,0)),Variables!$B$1,INDEX($C$3:$C$6,MATCH(C281,$C$3:$C$6,0)+1,0)),""),"")</f>
        <v/>
      </c>
      <c r="J281" s="29" t="str">
        <f ca="1">IF(ISERROR(VLOOKUP(I281,$C$3:$L$6,5,0)),"",IF(OR(VLOOKUP(I281,$C$3:$L$6,5,0)=Variables!$B$5,B281&gt;VLOOKUP(I281,$C$3:$L$6,8,0)),IF(VLOOKUP(I281,$C$3:$L$6,5,0)=Variables!$B$5,((YEAR(B281)-YEAR($B$12))*12+MONTH(B281)-MONTH($B$12)),((YEAR(B281)-YEAR(VLOOKUP(I281,$C$3:$L$6,8,0)))*12+MONTH(B281)-MONTH(VLOOKUP(I281,$C$3:$L$6,8,0))))*(VLOOKUP(I281,$C$3:$L$6,10,0)*VLOOKUP(I281,$C$3:$L$6,6,0)/12),0))</f>
        <v/>
      </c>
      <c r="K281" s="29" t="str">
        <f ca="1">IF(C281&lt;&gt;"",IF(I281&lt;&gt;"",IF(ISERROR(VLOOKUP(I281,$C$3:$L$6,10,0)),"",VLOOKUP(I281,$C$3:$L$6,10,0)+J281+IF(OR(VLOOKUP(I281,$C$3:$L$6,5,0)=Variables!$B$5,B281&gt;VLOOKUP(I281,$C$3:$L$6,8,0)),IF(VLOOKUP(I281,$C$3:$L$6,5,0)=Variables!$B$5,((YEAR(B281)-YEAR($B$12))*12+MONTH(B281)-MONTH($B$12)),((YEAR(B281)-YEAR(VLOOKUP(I281,$C$3:$L$6,8,0)))*12+MONTH(B281)-MONTH(VLOOKUP(I281,$C$3:$L$6,8,0))))*VLOOKUP(I281,$C$3:$L$6,7,0),0)),""),"")</f>
        <v/>
      </c>
      <c r="L281" s="29" t="str">
        <f t="shared" ca="1" si="29"/>
        <v/>
      </c>
      <c r="M281" s="10"/>
      <c r="N281" s="10"/>
    </row>
    <row r="282" spans="1:14" x14ac:dyDescent="0.25">
      <c r="A282" s="10"/>
      <c r="B282" s="14" t="str">
        <f t="shared" ca="1" si="30"/>
        <v/>
      </c>
      <c r="C282" s="14" t="str">
        <f ca="1">IF(I281&lt;&gt;Variables!$B$1,IF(H281&lt;&gt;0,C281,I281),"")</f>
        <v/>
      </c>
      <c r="D282" s="29" t="str">
        <f t="shared" ca="1" si="27"/>
        <v/>
      </c>
      <c r="E282" s="29" t="str">
        <f t="shared" ca="1" si="28"/>
        <v/>
      </c>
      <c r="F282" s="29" t="str">
        <f ca="1">IF(C282&lt;&gt;"",IF(OR(VLOOKUP(C282,$C$3:$L$6,5,0)=Variables!$B$5,B282&gt;VLOOKUP(C282,$C$3:$L$6,8,0)),-D282*VLOOKUP(C282,$C$3:$L$6,6,0)/12,0),"")</f>
        <v/>
      </c>
      <c r="G282" s="29" t="str">
        <f ca="1">IF(I282&lt;&gt;Variables!$B$1,IF(C282&lt;&gt;"",$I$9-E282-F282,""),-D282)</f>
        <v/>
      </c>
      <c r="H282" s="29" t="str">
        <f t="shared" ca="1" si="31"/>
        <v/>
      </c>
      <c r="I282" s="31" t="str">
        <f ca="1">IF(C282&lt;&gt;"",IF(D282+$I$9-E282-F282&gt;=0,IF(ISERROR(INDEX($C$3:$C$6,MATCH(C282,$C$3:$C$6,0)+1,0)),Variables!$B$1,INDEX($C$3:$C$6,MATCH(C282,$C$3:$C$6,0)+1,0)),""),"")</f>
        <v/>
      </c>
      <c r="J282" s="29" t="str">
        <f ca="1">IF(ISERROR(VLOOKUP(I282,$C$3:$L$6,5,0)),"",IF(OR(VLOOKUP(I282,$C$3:$L$6,5,0)=Variables!$B$5,B282&gt;VLOOKUP(I282,$C$3:$L$6,8,0)),IF(VLOOKUP(I282,$C$3:$L$6,5,0)=Variables!$B$5,((YEAR(B282)-YEAR($B$12))*12+MONTH(B282)-MONTH($B$12)),((YEAR(B282)-YEAR(VLOOKUP(I282,$C$3:$L$6,8,0)))*12+MONTH(B282)-MONTH(VLOOKUP(I282,$C$3:$L$6,8,0))))*(VLOOKUP(I282,$C$3:$L$6,10,0)*VLOOKUP(I282,$C$3:$L$6,6,0)/12),0))</f>
        <v/>
      </c>
      <c r="K282" s="29" t="str">
        <f ca="1">IF(C282&lt;&gt;"",IF(I282&lt;&gt;"",IF(ISERROR(VLOOKUP(I282,$C$3:$L$6,10,0)),"",VLOOKUP(I282,$C$3:$L$6,10,0)+J282+IF(OR(VLOOKUP(I282,$C$3:$L$6,5,0)=Variables!$B$5,B282&gt;VLOOKUP(I282,$C$3:$L$6,8,0)),IF(VLOOKUP(I282,$C$3:$L$6,5,0)=Variables!$B$5,((YEAR(B282)-YEAR($B$12))*12+MONTH(B282)-MONTH($B$12)),((YEAR(B282)-YEAR(VLOOKUP(I282,$C$3:$L$6,8,0)))*12+MONTH(B282)-MONTH(VLOOKUP(I282,$C$3:$L$6,8,0))))*VLOOKUP(I282,$C$3:$L$6,7,0),0)),""),"")</f>
        <v/>
      </c>
      <c r="L282" s="29" t="str">
        <f t="shared" ca="1" si="29"/>
        <v/>
      </c>
      <c r="M282" s="10"/>
      <c r="N282" s="10"/>
    </row>
    <row r="283" spans="1:14" x14ac:dyDescent="0.25">
      <c r="A283" s="10"/>
      <c r="B283" s="14" t="str">
        <f t="shared" ca="1" si="30"/>
        <v/>
      </c>
      <c r="C283" s="14" t="str">
        <f ca="1">IF(I282&lt;&gt;Variables!$B$1,IF(H282&lt;&gt;0,C282,I282),"")</f>
        <v/>
      </c>
      <c r="D283" s="29" t="str">
        <f t="shared" ca="1" si="27"/>
        <v/>
      </c>
      <c r="E283" s="29" t="str">
        <f t="shared" ca="1" si="28"/>
        <v/>
      </c>
      <c r="F283" s="29" t="str">
        <f ca="1">IF(C283&lt;&gt;"",IF(OR(VLOOKUP(C283,$C$3:$L$6,5,0)=Variables!$B$5,B283&gt;VLOOKUP(C283,$C$3:$L$6,8,0)),-D283*VLOOKUP(C283,$C$3:$L$6,6,0)/12,0),"")</f>
        <v/>
      </c>
      <c r="G283" s="29" t="str">
        <f ca="1">IF(I283&lt;&gt;Variables!$B$1,IF(C283&lt;&gt;"",$I$9-E283-F283,""),-D283)</f>
        <v/>
      </c>
      <c r="H283" s="29" t="str">
        <f t="shared" ca="1" si="31"/>
        <v/>
      </c>
      <c r="I283" s="31" t="str">
        <f ca="1">IF(C283&lt;&gt;"",IF(D283+$I$9-E283-F283&gt;=0,IF(ISERROR(INDEX($C$3:$C$6,MATCH(C283,$C$3:$C$6,0)+1,0)),Variables!$B$1,INDEX($C$3:$C$6,MATCH(C283,$C$3:$C$6,0)+1,0)),""),"")</f>
        <v/>
      </c>
      <c r="J283" s="29" t="str">
        <f ca="1">IF(ISERROR(VLOOKUP(I283,$C$3:$L$6,5,0)),"",IF(OR(VLOOKUP(I283,$C$3:$L$6,5,0)=Variables!$B$5,B283&gt;VLOOKUP(I283,$C$3:$L$6,8,0)),IF(VLOOKUP(I283,$C$3:$L$6,5,0)=Variables!$B$5,((YEAR(B283)-YEAR($B$12))*12+MONTH(B283)-MONTH($B$12)),((YEAR(B283)-YEAR(VLOOKUP(I283,$C$3:$L$6,8,0)))*12+MONTH(B283)-MONTH(VLOOKUP(I283,$C$3:$L$6,8,0))))*(VLOOKUP(I283,$C$3:$L$6,10,0)*VLOOKUP(I283,$C$3:$L$6,6,0)/12),0))</f>
        <v/>
      </c>
      <c r="K283" s="29" t="str">
        <f ca="1">IF(C283&lt;&gt;"",IF(I283&lt;&gt;"",IF(ISERROR(VLOOKUP(I283,$C$3:$L$6,10,0)),"",VLOOKUP(I283,$C$3:$L$6,10,0)+J283+IF(OR(VLOOKUP(I283,$C$3:$L$6,5,0)=Variables!$B$5,B283&gt;VLOOKUP(I283,$C$3:$L$6,8,0)),IF(VLOOKUP(I283,$C$3:$L$6,5,0)=Variables!$B$5,((YEAR(B283)-YEAR($B$12))*12+MONTH(B283)-MONTH($B$12)),((YEAR(B283)-YEAR(VLOOKUP(I283,$C$3:$L$6,8,0)))*12+MONTH(B283)-MONTH(VLOOKUP(I283,$C$3:$L$6,8,0))))*VLOOKUP(I283,$C$3:$L$6,7,0),0)),""),"")</f>
        <v/>
      </c>
      <c r="L283" s="29" t="str">
        <f t="shared" ca="1" si="29"/>
        <v/>
      </c>
      <c r="M283" s="10"/>
      <c r="N283" s="10"/>
    </row>
    <row r="284" spans="1:14" x14ac:dyDescent="0.25">
      <c r="A284" s="10"/>
      <c r="B284" s="14" t="str">
        <f t="shared" ca="1" si="30"/>
        <v/>
      </c>
      <c r="C284" s="14" t="str">
        <f ca="1">IF(I283&lt;&gt;Variables!$B$1,IF(H283&lt;&gt;0,C283,I283),"")</f>
        <v/>
      </c>
      <c r="D284" s="29" t="str">
        <f t="shared" ref="D284:D347" ca="1" si="32">IF(C284&lt;&gt;"",IF(H283&lt;&gt;0,H283,L283),"")</f>
        <v/>
      </c>
      <c r="E284" s="29" t="str">
        <f t="shared" ref="E284:E347" ca="1" si="33">IF(C284&lt;&gt;"",MINPAYMENT(C284,ROW(B284),COLUMN(B284)),"")</f>
        <v/>
      </c>
      <c r="F284" s="29" t="str">
        <f ca="1">IF(C284&lt;&gt;"",IF(OR(VLOOKUP(C284,$C$3:$L$6,5,0)=Variables!$B$5,B284&gt;VLOOKUP(C284,$C$3:$L$6,8,0)),-D284*VLOOKUP(C284,$C$3:$L$6,6,0)/12,0),"")</f>
        <v/>
      </c>
      <c r="G284" s="29" t="str">
        <f ca="1">IF(I284&lt;&gt;Variables!$B$1,IF(C284&lt;&gt;"",$I$9-E284-F284,""),-D284)</f>
        <v/>
      </c>
      <c r="H284" s="29" t="str">
        <f t="shared" ca="1" si="31"/>
        <v/>
      </c>
      <c r="I284" s="31" t="str">
        <f ca="1">IF(C284&lt;&gt;"",IF(D284+$I$9-E284-F284&gt;=0,IF(ISERROR(INDEX($C$3:$C$6,MATCH(C284,$C$3:$C$6,0)+1,0)),Variables!$B$1,INDEX($C$3:$C$6,MATCH(C284,$C$3:$C$6,0)+1,0)),""),"")</f>
        <v/>
      </c>
      <c r="J284" s="29" t="str">
        <f ca="1">IF(ISERROR(VLOOKUP(I284,$C$3:$L$6,5,0)),"",IF(OR(VLOOKUP(I284,$C$3:$L$6,5,0)=Variables!$B$5,B284&gt;VLOOKUP(I284,$C$3:$L$6,8,0)),IF(VLOOKUP(I284,$C$3:$L$6,5,0)=Variables!$B$5,((YEAR(B284)-YEAR($B$12))*12+MONTH(B284)-MONTH($B$12)),((YEAR(B284)-YEAR(VLOOKUP(I284,$C$3:$L$6,8,0)))*12+MONTH(B284)-MONTH(VLOOKUP(I284,$C$3:$L$6,8,0))))*(VLOOKUP(I284,$C$3:$L$6,10,0)*VLOOKUP(I284,$C$3:$L$6,6,0)/12),0))</f>
        <v/>
      </c>
      <c r="K284" s="29" t="str">
        <f ca="1">IF(C284&lt;&gt;"",IF(I284&lt;&gt;"",IF(ISERROR(VLOOKUP(I284,$C$3:$L$6,10,0)),"",VLOOKUP(I284,$C$3:$L$6,10,0)+J284+IF(OR(VLOOKUP(I284,$C$3:$L$6,5,0)=Variables!$B$5,B284&gt;VLOOKUP(I284,$C$3:$L$6,8,0)),IF(VLOOKUP(I284,$C$3:$L$6,5,0)=Variables!$B$5,((YEAR(B284)-YEAR($B$12))*12+MONTH(B284)-MONTH($B$12)),((YEAR(B284)-YEAR(VLOOKUP(I284,$C$3:$L$6,8,0)))*12+MONTH(B284)-MONTH(VLOOKUP(I284,$C$3:$L$6,8,0))))*VLOOKUP(I284,$C$3:$L$6,7,0),0)),""),"")</f>
        <v/>
      </c>
      <c r="L284" s="29" t="str">
        <f t="shared" ref="L284:L347" ca="1" si="34">IF(C284&lt;&gt;"",IF(ISERROR(IF(D284+G284&gt;=0,K284+D284+G284,"")),"",IF(D284+G284&gt;=0,K284+D284+G284,"")),"")</f>
        <v/>
      </c>
      <c r="M284" s="10"/>
      <c r="N284" s="10"/>
    </row>
    <row r="285" spans="1:14" x14ac:dyDescent="0.25">
      <c r="A285" s="10"/>
      <c r="B285" s="14" t="str">
        <f t="shared" ref="B285:B348" ca="1" si="35">IF(C285&lt;&gt;"",DATE(YEAR(B284),MONTH(B284)+1,DAY(B284)),"")</f>
        <v/>
      </c>
      <c r="C285" s="14" t="str">
        <f ca="1">IF(I284&lt;&gt;Variables!$B$1,IF(H284&lt;&gt;0,C284,I284),"")</f>
        <v/>
      </c>
      <c r="D285" s="29" t="str">
        <f t="shared" ca="1" si="32"/>
        <v/>
      </c>
      <c r="E285" s="29" t="str">
        <f t="shared" ca="1" si="33"/>
        <v/>
      </c>
      <c r="F285" s="29" t="str">
        <f ca="1">IF(C285&lt;&gt;"",IF(OR(VLOOKUP(C285,$C$3:$L$6,5,0)=Variables!$B$5,B285&gt;VLOOKUP(C285,$C$3:$L$6,8,0)),-D285*VLOOKUP(C285,$C$3:$L$6,6,0)/12,0),"")</f>
        <v/>
      </c>
      <c r="G285" s="29" t="str">
        <f ca="1">IF(I285&lt;&gt;Variables!$B$1,IF(C285&lt;&gt;"",$I$9-E285-F285,""),-D285)</f>
        <v/>
      </c>
      <c r="H285" s="29" t="str">
        <f t="shared" ref="H285:H348" ca="1" si="36">IF(C285&lt;&gt;"",IF(D285+G285&lt;0,D285+G285,0),"")</f>
        <v/>
      </c>
      <c r="I285" s="31" t="str">
        <f ca="1">IF(C285&lt;&gt;"",IF(D285+$I$9-E285-F285&gt;=0,IF(ISERROR(INDEX($C$3:$C$6,MATCH(C285,$C$3:$C$6,0)+1,0)),Variables!$B$1,INDEX($C$3:$C$6,MATCH(C285,$C$3:$C$6,0)+1,0)),""),"")</f>
        <v/>
      </c>
      <c r="J285" s="29" t="str">
        <f ca="1">IF(ISERROR(VLOOKUP(I285,$C$3:$L$6,5,0)),"",IF(OR(VLOOKUP(I285,$C$3:$L$6,5,0)=Variables!$B$5,B285&gt;VLOOKUP(I285,$C$3:$L$6,8,0)),IF(VLOOKUP(I285,$C$3:$L$6,5,0)=Variables!$B$5,((YEAR(B285)-YEAR($B$12))*12+MONTH(B285)-MONTH($B$12)),((YEAR(B285)-YEAR(VLOOKUP(I285,$C$3:$L$6,8,0)))*12+MONTH(B285)-MONTH(VLOOKUP(I285,$C$3:$L$6,8,0))))*(VLOOKUP(I285,$C$3:$L$6,10,0)*VLOOKUP(I285,$C$3:$L$6,6,0)/12),0))</f>
        <v/>
      </c>
      <c r="K285" s="29" t="str">
        <f ca="1">IF(C285&lt;&gt;"",IF(I285&lt;&gt;"",IF(ISERROR(VLOOKUP(I285,$C$3:$L$6,10,0)),"",VLOOKUP(I285,$C$3:$L$6,10,0)+J285+IF(OR(VLOOKUP(I285,$C$3:$L$6,5,0)=Variables!$B$5,B285&gt;VLOOKUP(I285,$C$3:$L$6,8,0)),IF(VLOOKUP(I285,$C$3:$L$6,5,0)=Variables!$B$5,((YEAR(B285)-YEAR($B$12))*12+MONTH(B285)-MONTH($B$12)),((YEAR(B285)-YEAR(VLOOKUP(I285,$C$3:$L$6,8,0)))*12+MONTH(B285)-MONTH(VLOOKUP(I285,$C$3:$L$6,8,0))))*VLOOKUP(I285,$C$3:$L$6,7,0),0)),""),"")</f>
        <v/>
      </c>
      <c r="L285" s="29" t="str">
        <f t="shared" ca="1" si="34"/>
        <v/>
      </c>
      <c r="M285" s="10"/>
      <c r="N285" s="10"/>
    </row>
    <row r="286" spans="1:14" x14ac:dyDescent="0.25">
      <c r="A286" s="10"/>
      <c r="B286" s="14" t="str">
        <f t="shared" ca="1" si="35"/>
        <v/>
      </c>
      <c r="C286" s="14" t="str">
        <f ca="1">IF(I285&lt;&gt;Variables!$B$1,IF(H285&lt;&gt;0,C285,I285),"")</f>
        <v/>
      </c>
      <c r="D286" s="29" t="str">
        <f t="shared" ca="1" si="32"/>
        <v/>
      </c>
      <c r="E286" s="29" t="str">
        <f t="shared" ca="1" si="33"/>
        <v/>
      </c>
      <c r="F286" s="29" t="str">
        <f ca="1">IF(C286&lt;&gt;"",IF(OR(VLOOKUP(C286,$C$3:$L$6,5,0)=Variables!$B$5,B286&gt;VLOOKUP(C286,$C$3:$L$6,8,0)),-D286*VLOOKUP(C286,$C$3:$L$6,6,0)/12,0),"")</f>
        <v/>
      </c>
      <c r="G286" s="29" t="str">
        <f ca="1">IF(I286&lt;&gt;Variables!$B$1,IF(C286&lt;&gt;"",$I$9-E286-F286,""),-D286)</f>
        <v/>
      </c>
      <c r="H286" s="29" t="str">
        <f t="shared" ca="1" si="36"/>
        <v/>
      </c>
      <c r="I286" s="31" t="str">
        <f ca="1">IF(C286&lt;&gt;"",IF(D286+$I$9-E286-F286&gt;=0,IF(ISERROR(INDEX($C$3:$C$6,MATCH(C286,$C$3:$C$6,0)+1,0)),Variables!$B$1,INDEX($C$3:$C$6,MATCH(C286,$C$3:$C$6,0)+1,0)),""),"")</f>
        <v/>
      </c>
      <c r="J286" s="29" t="str">
        <f ca="1">IF(ISERROR(VLOOKUP(I286,$C$3:$L$6,5,0)),"",IF(OR(VLOOKUP(I286,$C$3:$L$6,5,0)=Variables!$B$5,B286&gt;VLOOKUP(I286,$C$3:$L$6,8,0)),IF(VLOOKUP(I286,$C$3:$L$6,5,0)=Variables!$B$5,((YEAR(B286)-YEAR($B$12))*12+MONTH(B286)-MONTH($B$12)),((YEAR(B286)-YEAR(VLOOKUP(I286,$C$3:$L$6,8,0)))*12+MONTH(B286)-MONTH(VLOOKUP(I286,$C$3:$L$6,8,0))))*(VLOOKUP(I286,$C$3:$L$6,10,0)*VLOOKUP(I286,$C$3:$L$6,6,0)/12),0))</f>
        <v/>
      </c>
      <c r="K286" s="29" t="str">
        <f ca="1">IF(C286&lt;&gt;"",IF(I286&lt;&gt;"",IF(ISERROR(VLOOKUP(I286,$C$3:$L$6,10,0)),"",VLOOKUP(I286,$C$3:$L$6,10,0)+J286+IF(OR(VLOOKUP(I286,$C$3:$L$6,5,0)=Variables!$B$5,B286&gt;VLOOKUP(I286,$C$3:$L$6,8,0)),IF(VLOOKUP(I286,$C$3:$L$6,5,0)=Variables!$B$5,((YEAR(B286)-YEAR($B$12))*12+MONTH(B286)-MONTH($B$12)),((YEAR(B286)-YEAR(VLOOKUP(I286,$C$3:$L$6,8,0)))*12+MONTH(B286)-MONTH(VLOOKUP(I286,$C$3:$L$6,8,0))))*VLOOKUP(I286,$C$3:$L$6,7,0),0)),""),"")</f>
        <v/>
      </c>
      <c r="L286" s="29" t="str">
        <f t="shared" ca="1" si="34"/>
        <v/>
      </c>
      <c r="M286" s="10"/>
      <c r="N286" s="10"/>
    </row>
    <row r="287" spans="1:14" x14ac:dyDescent="0.25">
      <c r="A287" s="10"/>
      <c r="B287" s="14" t="str">
        <f t="shared" ca="1" si="35"/>
        <v/>
      </c>
      <c r="C287" s="14" t="str">
        <f ca="1">IF(I286&lt;&gt;Variables!$B$1,IF(H286&lt;&gt;0,C286,I286),"")</f>
        <v/>
      </c>
      <c r="D287" s="29" t="str">
        <f t="shared" ca="1" si="32"/>
        <v/>
      </c>
      <c r="E287" s="29" t="str">
        <f t="shared" ca="1" si="33"/>
        <v/>
      </c>
      <c r="F287" s="29" t="str">
        <f ca="1">IF(C287&lt;&gt;"",IF(OR(VLOOKUP(C287,$C$3:$L$6,5,0)=Variables!$B$5,B287&gt;VLOOKUP(C287,$C$3:$L$6,8,0)),-D287*VLOOKUP(C287,$C$3:$L$6,6,0)/12,0),"")</f>
        <v/>
      </c>
      <c r="G287" s="29" t="str">
        <f ca="1">IF(I287&lt;&gt;Variables!$B$1,IF(C287&lt;&gt;"",$I$9-E287-F287,""),-D287)</f>
        <v/>
      </c>
      <c r="H287" s="29" t="str">
        <f t="shared" ca="1" si="36"/>
        <v/>
      </c>
      <c r="I287" s="31" t="str">
        <f ca="1">IF(C287&lt;&gt;"",IF(D287+$I$9-E287-F287&gt;=0,IF(ISERROR(INDEX($C$3:$C$6,MATCH(C287,$C$3:$C$6,0)+1,0)),Variables!$B$1,INDEX($C$3:$C$6,MATCH(C287,$C$3:$C$6,0)+1,0)),""),"")</f>
        <v/>
      </c>
      <c r="J287" s="29" t="str">
        <f ca="1">IF(ISERROR(VLOOKUP(I287,$C$3:$L$6,5,0)),"",IF(OR(VLOOKUP(I287,$C$3:$L$6,5,0)=Variables!$B$5,B287&gt;VLOOKUP(I287,$C$3:$L$6,8,0)),IF(VLOOKUP(I287,$C$3:$L$6,5,0)=Variables!$B$5,((YEAR(B287)-YEAR($B$12))*12+MONTH(B287)-MONTH($B$12)),((YEAR(B287)-YEAR(VLOOKUP(I287,$C$3:$L$6,8,0)))*12+MONTH(B287)-MONTH(VLOOKUP(I287,$C$3:$L$6,8,0))))*(VLOOKUP(I287,$C$3:$L$6,10,0)*VLOOKUP(I287,$C$3:$L$6,6,0)/12),0))</f>
        <v/>
      </c>
      <c r="K287" s="29" t="str">
        <f ca="1">IF(C287&lt;&gt;"",IF(I287&lt;&gt;"",IF(ISERROR(VLOOKUP(I287,$C$3:$L$6,10,0)),"",VLOOKUP(I287,$C$3:$L$6,10,0)+J287+IF(OR(VLOOKUP(I287,$C$3:$L$6,5,0)=Variables!$B$5,B287&gt;VLOOKUP(I287,$C$3:$L$6,8,0)),IF(VLOOKUP(I287,$C$3:$L$6,5,0)=Variables!$B$5,((YEAR(B287)-YEAR($B$12))*12+MONTH(B287)-MONTH($B$12)),((YEAR(B287)-YEAR(VLOOKUP(I287,$C$3:$L$6,8,0)))*12+MONTH(B287)-MONTH(VLOOKUP(I287,$C$3:$L$6,8,0))))*VLOOKUP(I287,$C$3:$L$6,7,0),0)),""),"")</f>
        <v/>
      </c>
      <c r="L287" s="29" t="str">
        <f t="shared" ca="1" si="34"/>
        <v/>
      </c>
      <c r="M287" s="10"/>
      <c r="N287" s="10"/>
    </row>
    <row r="288" spans="1:14" x14ac:dyDescent="0.25">
      <c r="A288" s="10"/>
      <c r="B288" s="14" t="str">
        <f t="shared" ca="1" si="35"/>
        <v/>
      </c>
      <c r="C288" s="14" t="str">
        <f ca="1">IF(I287&lt;&gt;Variables!$B$1,IF(H287&lt;&gt;0,C287,I287),"")</f>
        <v/>
      </c>
      <c r="D288" s="29" t="str">
        <f t="shared" ca="1" si="32"/>
        <v/>
      </c>
      <c r="E288" s="29" t="str">
        <f t="shared" ca="1" si="33"/>
        <v/>
      </c>
      <c r="F288" s="29" t="str">
        <f ca="1">IF(C288&lt;&gt;"",IF(OR(VLOOKUP(C288,$C$3:$L$6,5,0)=Variables!$B$5,B288&gt;VLOOKUP(C288,$C$3:$L$6,8,0)),-D288*VLOOKUP(C288,$C$3:$L$6,6,0)/12,0),"")</f>
        <v/>
      </c>
      <c r="G288" s="29" t="str">
        <f ca="1">IF(I288&lt;&gt;Variables!$B$1,IF(C288&lt;&gt;"",$I$9-E288-F288,""),-D288)</f>
        <v/>
      </c>
      <c r="H288" s="29" t="str">
        <f t="shared" ca="1" si="36"/>
        <v/>
      </c>
      <c r="I288" s="31" t="str">
        <f ca="1">IF(C288&lt;&gt;"",IF(D288+$I$9-E288-F288&gt;=0,IF(ISERROR(INDEX($C$3:$C$6,MATCH(C288,$C$3:$C$6,0)+1,0)),Variables!$B$1,INDEX($C$3:$C$6,MATCH(C288,$C$3:$C$6,0)+1,0)),""),"")</f>
        <v/>
      </c>
      <c r="J288" s="29" t="str">
        <f ca="1">IF(ISERROR(VLOOKUP(I288,$C$3:$L$6,5,0)),"",IF(OR(VLOOKUP(I288,$C$3:$L$6,5,0)=Variables!$B$5,B288&gt;VLOOKUP(I288,$C$3:$L$6,8,0)),IF(VLOOKUP(I288,$C$3:$L$6,5,0)=Variables!$B$5,((YEAR(B288)-YEAR($B$12))*12+MONTH(B288)-MONTH($B$12)),((YEAR(B288)-YEAR(VLOOKUP(I288,$C$3:$L$6,8,0)))*12+MONTH(B288)-MONTH(VLOOKUP(I288,$C$3:$L$6,8,0))))*(VLOOKUP(I288,$C$3:$L$6,10,0)*VLOOKUP(I288,$C$3:$L$6,6,0)/12),0))</f>
        <v/>
      </c>
      <c r="K288" s="29" t="str">
        <f ca="1">IF(C288&lt;&gt;"",IF(I288&lt;&gt;"",IF(ISERROR(VLOOKUP(I288,$C$3:$L$6,10,0)),"",VLOOKUP(I288,$C$3:$L$6,10,0)+J288+IF(OR(VLOOKUP(I288,$C$3:$L$6,5,0)=Variables!$B$5,B288&gt;VLOOKUP(I288,$C$3:$L$6,8,0)),IF(VLOOKUP(I288,$C$3:$L$6,5,0)=Variables!$B$5,((YEAR(B288)-YEAR($B$12))*12+MONTH(B288)-MONTH($B$12)),((YEAR(B288)-YEAR(VLOOKUP(I288,$C$3:$L$6,8,0)))*12+MONTH(B288)-MONTH(VLOOKUP(I288,$C$3:$L$6,8,0))))*VLOOKUP(I288,$C$3:$L$6,7,0),0)),""),"")</f>
        <v/>
      </c>
      <c r="L288" s="29" t="str">
        <f t="shared" ca="1" si="34"/>
        <v/>
      </c>
      <c r="M288" s="10"/>
      <c r="N288" s="10"/>
    </row>
    <row r="289" spans="1:14" x14ac:dyDescent="0.25">
      <c r="A289" s="10"/>
      <c r="B289" s="14" t="str">
        <f t="shared" ca="1" si="35"/>
        <v/>
      </c>
      <c r="C289" s="14" t="str">
        <f ca="1">IF(I288&lt;&gt;Variables!$B$1,IF(H288&lt;&gt;0,C288,I288),"")</f>
        <v/>
      </c>
      <c r="D289" s="29" t="str">
        <f t="shared" ca="1" si="32"/>
        <v/>
      </c>
      <c r="E289" s="29" t="str">
        <f t="shared" ca="1" si="33"/>
        <v/>
      </c>
      <c r="F289" s="29" t="str">
        <f ca="1">IF(C289&lt;&gt;"",IF(OR(VLOOKUP(C289,$C$3:$L$6,5,0)=Variables!$B$5,B289&gt;VLOOKUP(C289,$C$3:$L$6,8,0)),-D289*VLOOKUP(C289,$C$3:$L$6,6,0)/12,0),"")</f>
        <v/>
      </c>
      <c r="G289" s="29" t="str">
        <f ca="1">IF(I289&lt;&gt;Variables!$B$1,IF(C289&lt;&gt;"",$I$9-E289-F289,""),-D289)</f>
        <v/>
      </c>
      <c r="H289" s="29" t="str">
        <f t="shared" ca="1" si="36"/>
        <v/>
      </c>
      <c r="I289" s="31" t="str">
        <f ca="1">IF(C289&lt;&gt;"",IF(D289+$I$9-E289-F289&gt;=0,IF(ISERROR(INDEX($C$3:$C$6,MATCH(C289,$C$3:$C$6,0)+1,0)),Variables!$B$1,INDEX($C$3:$C$6,MATCH(C289,$C$3:$C$6,0)+1,0)),""),"")</f>
        <v/>
      </c>
      <c r="J289" s="29" t="str">
        <f ca="1">IF(ISERROR(VLOOKUP(I289,$C$3:$L$6,5,0)),"",IF(OR(VLOOKUP(I289,$C$3:$L$6,5,0)=Variables!$B$5,B289&gt;VLOOKUP(I289,$C$3:$L$6,8,0)),IF(VLOOKUP(I289,$C$3:$L$6,5,0)=Variables!$B$5,((YEAR(B289)-YEAR($B$12))*12+MONTH(B289)-MONTH($B$12)),((YEAR(B289)-YEAR(VLOOKUP(I289,$C$3:$L$6,8,0)))*12+MONTH(B289)-MONTH(VLOOKUP(I289,$C$3:$L$6,8,0))))*(VLOOKUP(I289,$C$3:$L$6,10,0)*VLOOKUP(I289,$C$3:$L$6,6,0)/12),0))</f>
        <v/>
      </c>
      <c r="K289" s="29" t="str">
        <f ca="1">IF(C289&lt;&gt;"",IF(I289&lt;&gt;"",IF(ISERROR(VLOOKUP(I289,$C$3:$L$6,10,0)),"",VLOOKUP(I289,$C$3:$L$6,10,0)+J289+IF(OR(VLOOKUP(I289,$C$3:$L$6,5,0)=Variables!$B$5,B289&gt;VLOOKUP(I289,$C$3:$L$6,8,0)),IF(VLOOKUP(I289,$C$3:$L$6,5,0)=Variables!$B$5,((YEAR(B289)-YEAR($B$12))*12+MONTH(B289)-MONTH($B$12)),((YEAR(B289)-YEAR(VLOOKUP(I289,$C$3:$L$6,8,0)))*12+MONTH(B289)-MONTH(VLOOKUP(I289,$C$3:$L$6,8,0))))*VLOOKUP(I289,$C$3:$L$6,7,0),0)),""),"")</f>
        <v/>
      </c>
      <c r="L289" s="29" t="str">
        <f t="shared" ca="1" si="34"/>
        <v/>
      </c>
      <c r="M289" s="10"/>
      <c r="N289" s="10"/>
    </row>
    <row r="290" spans="1:14" x14ac:dyDescent="0.25">
      <c r="A290" s="10"/>
      <c r="B290" s="14" t="str">
        <f t="shared" ca="1" si="35"/>
        <v/>
      </c>
      <c r="C290" s="14" t="str">
        <f ca="1">IF(I289&lt;&gt;Variables!$B$1,IF(H289&lt;&gt;0,C289,I289),"")</f>
        <v/>
      </c>
      <c r="D290" s="29" t="str">
        <f t="shared" ca="1" si="32"/>
        <v/>
      </c>
      <c r="E290" s="29" t="str">
        <f t="shared" ca="1" si="33"/>
        <v/>
      </c>
      <c r="F290" s="29" t="str">
        <f ca="1">IF(C290&lt;&gt;"",IF(OR(VLOOKUP(C290,$C$3:$L$6,5,0)=Variables!$B$5,B290&gt;VLOOKUP(C290,$C$3:$L$6,8,0)),-D290*VLOOKUP(C290,$C$3:$L$6,6,0)/12,0),"")</f>
        <v/>
      </c>
      <c r="G290" s="29" t="str">
        <f ca="1">IF(I290&lt;&gt;Variables!$B$1,IF(C290&lt;&gt;"",$I$9-E290-F290,""),-D290)</f>
        <v/>
      </c>
      <c r="H290" s="29" t="str">
        <f t="shared" ca="1" si="36"/>
        <v/>
      </c>
      <c r="I290" s="31" t="str">
        <f ca="1">IF(C290&lt;&gt;"",IF(D290+$I$9-E290-F290&gt;=0,IF(ISERROR(INDEX($C$3:$C$6,MATCH(C290,$C$3:$C$6,0)+1,0)),Variables!$B$1,INDEX($C$3:$C$6,MATCH(C290,$C$3:$C$6,0)+1,0)),""),"")</f>
        <v/>
      </c>
      <c r="J290" s="29" t="str">
        <f ca="1">IF(ISERROR(VLOOKUP(I290,$C$3:$L$6,5,0)),"",IF(OR(VLOOKUP(I290,$C$3:$L$6,5,0)=Variables!$B$5,B290&gt;VLOOKUP(I290,$C$3:$L$6,8,0)),IF(VLOOKUP(I290,$C$3:$L$6,5,0)=Variables!$B$5,((YEAR(B290)-YEAR($B$12))*12+MONTH(B290)-MONTH($B$12)),((YEAR(B290)-YEAR(VLOOKUP(I290,$C$3:$L$6,8,0)))*12+MONTH(B290)-MONTH(VLOOKUP(I290,$C$3:$L$6,8,0))))*(VLOOKUP(I290,$C$3:$L$6,10,0)*VLOOKUP(I290,$C$3:$L$6,6,0)/12),0))</f>
        <v/>
      </c>
      <c r="K290" s="29" t="str">
        <f ca="1">IF(C290&lt;&gt;"",IF(I290&lt;&gt;"",IF(ISERROR(VLOOKUP(I290,$C$3:$L$6,10,0)),"",VLOOKUP(I290,$C$3:$L$6,10,0)+J290+IF(OR(VLOOKUP(I290,$C$3:$L$6,5,0)=Variables!$B$5,B290&gt;VLOOKUP(I290,$C$3:$L$6,8,0)),IF(VLOOKUP(I290,$C$3:$L$6,5,0)=Variables!$B$5,((YEAR(B290)-YEAR($B$12))*12+MONTH(B290)-MONTH($B$12)),((YEAR(B290)-YEAR(VLOOKUP(I290,$C$3:$L$6,8,0)))*12+MONTH(B290)-MONTH(VLOOKUP(I290,$C$3:$L$6,8,0))))*VLOOKUP(I290,$C$3:$L$6,7,0),0)),""),"")</f>
        <v/>
      </c>
      <c r="L290" s="29" t="str">
        <f t="shared" ca="1" si="34"/>
        <v/>
      </c>
      <c r="M290" s="10"/>
      <c r="N290" s="10"/>
    </row>
    <row r="291" spans="1:14" x14ac:dyDescent="0.25">
      <c r="A291" s="10"/>
      <c r="B291" s="14" t="str">
        <f t="shared" ca="1" si="35"/>
        <v/>
      </c>
      <c r="C291" s="14" t="str">
        <f ca="1">IF(I290&lt;&gt;Variables!$B$1,IF(H290&lt;&gt;0,C290,I290),"")</f>
        <v/>
      </c>
      <c r="D291" s="29" t="str">
        <f t="shared" ca="1" si="32"/>
        <v/>
      </c>
      <c r="E291" s="29" t="str">
        <f t="shared" ca="1" si="33"/>
        <v/>
      </c>
      <c r="F291" s="29" t="str">
        <f ca="1">IF(C291&lt;&gt;"",IF(OR(VLOOKUP(C291,$C$3:$L$6,5,0)=Variables!$B$5,B291&gt;VLOOKUP(C291,$C$3:$L$6,8,0)),-D291*VLOOKUP(C291,$C$3:$L$6,6,0)/12,0),"")</f>
        <v/>
      </c>
      <c r="G291" s="29" t="str">
        <f ca="1">IF(I291&lt;&gt;Variables!$B$1,IF(C291&lt;&gt;"",$I$9-E291-F291,""),-D291)</f>
        <v/>
      </c>
      <c r="H291" s="29" t="str">
        <f t="shared" ca="1" si="36"/>
        <v/>
      </c>
      <c r="I291" s="31" t="str">
        <f ca="1">IF(C291&lt;&gt;"",IF(D291+$I$9-E291-F291&gt;=0,IF(ISERROR(INDEX($C$3:$C$6,MATCH(C291,$C$3:$C$6,0)+1,0)),Variables!$B$1,INDEX($C$3:$C$6,MATCH(C291,$C$3:$C$6,0)+1,0)),""),"")</f>
        <v/>
      </c>
      <c r="J291" s="29" t="str">
        <f ca="1">IF(ISERROR(VLOOKUP(I291,$C$3:$L$6,5,0)),"",IF(OR(VLOOKUP(I291,$C$3:$L$6,5,0)=Variables!$B$5,B291&gt;VLOOKUP(I291,$C$3:$L$6,8,0)),IF(VLOOKUP(I291,$C$3:$L$6,5,0)=Variables!$B$5,((YEAR(B291)-YEAR($B$12))*12+MONTH(B291)-MONTH($B$12)),((YEAR(B291)-YEAR(VLOOKUP(I291,$C$3:$L$6,8,0)))*12+MONTH(B291)-MONTH(VLOOKUP(I291,$C$3:$L$6,8,0))))*(VLOOKUP(I291,$C$3:$L$6,10,0)*VLOOKUP(I291,$C$3:$L$6,6,0)/12),0))</f>
        <v/>
      </c>
      <c r="K291" s="29" t="str">
        <f ca="1">IF(C291&lt;&gt;"",IF(I291&lt;&gt;"",IF(ISERROR(VLOOKUP(I291,$C$3:$L$6,10,0)),"",VLOOKUP(I291,$C$3:$L$6,10,0)+J291+IF(OR(VLOOKUP(I291,$C$3:$L$6,5,0)=Variables!$B$5,B291&gt;VLOOKUP(I291,$C$3:$L$6,8,0)),IF(VLOOKUP(I291,$C$3:$L$6,5,0)=Variables!$B$5,((YEAR(B291)-YEAR($B$12))*12+MONTH(B291)-MONTH($B$12)),((YEAR(B291)-YEAR(VLOOKUP(I291,$C$3:$L$6,8,0)))*12+MONTH(B291)-MONTH(VLOOKUP(I291,$C$3:$L$6,8,0))))*VLOOKUP(I291,$C$3:$L$6,7,0),0)),""),"")</f>
        <v/>
      </c>
      <c r="L291" s="29" t="str">
        <f t="shared" ca="1" si="34"/>
        <v/>
      </c>
      <c r="M291" s="10"/>
      <c r="N291" s="10"/>
    </row>
    <row r="292" spans="1:14" x14ac:dyDescent="0.25">
      <c r="A292" s="10"/>
      <c r="B292" s="14" t="str">
        <f t="shared" ca="1" si="35"/>
        <v/>
      </c>
      <c r="C292" s="14" t="str">
        <f ca="1">IF(I291&lt;&gt;Variables!$B$1,IF(H291&lt;&gt;0,C291,I291),"")</f>
        <v/>
      </c>
      <c r="D292" s="29" t="str">
        <f t="shared" ca="1" si="32"/>
        <v/>
      </c>
      <c r="E292" s="29" t="str">
        <f t="shared" ca="1" si="33"/>
        <v/>
      </c>
      <c r="F292" s="29" t="str">
        <f ca="1">IF(C292&lt;&gt;"",IF(OR(VLOOKUP(C292,$C$3:$L$6,5,0)=Variables!$B$5,B292&gt;VLOOKUP(C292,$C$3:$L$6,8,0)),-D292*VLOOKUP(C292,$C$3:$L$6,6,0)/12,0),"")</f>
        <v/>
      </c>
      <c r="G292" s="29" t="str">
        <f ca="1">IF(I292&lt;&gt;Variables!$B$1,IF(C292&lt;&gt;"",$I$9-E292-F292,""),-D292)</f>
        <v/>
      </c>
      <c r="H292" s="29" t="str">
        <f t="shared" ca="1" si="36"/>
        <v/>
      </c>
      <c r="I292" s="31" t="str">
        <f ca="1">IF(C292&lt;&gt;"",IF(D292+$I$9-E292-F292&gt;=0,IF(ISERROR(INDEX($C$3:$C$6,MATCH(C292,$C$3:$C$6,0)+1,0)),Variables!$B$1,INDEX($C$3:$C$6,MATCH(C292,$C$3:$C$6,0)+1,0)),""),"")</f>
        <v/>
      </c>
      <c r="J292" s="29" t="str">
        <f ca="1">IF(ISERROR(VLOOKUP(I292,$C$3:$L$6,5,0)),"",IF(OR(VLOOKUP(I292,$C$3:$L$6,5,0)=Variables!$B$5,B292&gt;VLOOKUP(I292,$C$3:$L$6,8,0)),IF(VLOOKUP(I292,$C$3:$L$6,5,0)=Variables!$B$5,((YEAR(B292)-YEAR($B$12))*12+MONTH(B292)-MONTH($B$12)),((YEAR(B292)-YEAR(VLOOKUP(I292,$C$3:$L$6,8,0)))*12+MONTH(B292)-MONTH(VLOOKUP(I292,$C$3:$L$6,8,0))))*(VLOOKUP(I292,$C$3:$L$6,10,0)*VLOOKUP(I292,$C$3:$L$6,6,0)/12),0))</f>
        <v/>
      </c>
      <c r="K292" s="29" t="str">
        <f ca="1">IF(C292&lt;&gt;"",IF(I292&lt;&gt;"",IF(ISERROR(VLOOKUP(I292,$C$3:$L$6,10,0)),"",VLOOKUP(I292,$C$3:$L$6,10,0)+J292+IF(OR(VLOOKUP(I292,$C$3:$L$6,5,0)=Variables!$B$5,B292&gt;VLOOKUP(I292,$C$3:$L$6,8,0)),IF(VLOOKUP(I292,$C$3:$L$6,5,0)=Variables!$B$5,((YEAR(B292)-YEAR($B$12))*12+MONTH(B292)-MONTH($B$12)),((YEAR(B292)-YEAR(VLOOKUP(I292,$C$3:$L$6,8,0)))*12+MONTH(B292)-MONTH(VLOOKUP(I292,$C$3:$L$6,8,0))))*VLOOKUP(I292,$C$3:$L$6,7,0),0)),""),"")</f>
        <v/>
      </c>
      <c r="L292" s="29" t="str">
        <f t="shared" ca="1" si="34"/>
        <v/>
      </c>
      <c r="M292" s="10"/>
      <c r="N292" s="10"/>
    </row>
    <row r="293" spans="1:14" x14ac:dyDescent="0.25">
      <c r="A293" s="10"/>
      <c r="B293" s="14" t="str">
        <f t="shared" ca="1" si="35"/>
        <v/>
      </c>
      <c r="C293" s="14" t="str">
        <f ca="1">IF(I292&lt;&gt;Variables!$B$1,IF(H292&lt;&gt;0,C292,I292),"")</f>
        <v/>
      </c>
      <c r="D293" s="29" t="str">
        <f t="shared" ca="1" si="32"/>
        <v/>
      </c>
      <c r="E293" s="29" t="str">
        <f t="shared" ca="1" si="33"/>
        <v/>
      </c>
      <c r="F293" s="29" t="str">
        <f ca="1">IF(C293&lt;&gt;"",IF(OR(VLOOKUP(C293,$C$3:$L$6,5,0)=Variables!$B$5,B293&gt;VLOOKUP(C293,$C$3:$L$6,8,0)),-D293*VLOOKUP(C293,$C$3:$L$6,6,0)/12,0),"")</f>
        <v/>
      </c>
      <c r="G293" s="29" t="str">
        <f ca="1">IF(I293&lt;&gt;Variables!$B$1,IF(C293&lt;&gt;"",$I$9-E293-F293,""),-D293)</f>
        <v/>
      </c>
      <c r="H293" s="29" t="str">
        <f t="shared" ca="1" si="36"/>
        <v/>
      </c>
      <c r="I293" s="31" t="str">
        <f ca="1">IF(C293&lt;&gt;"",IF(D293+$I$9-E293-F293&gt;=0,IF(ISERROR(INDEX($C$3:$C$6,MATCH(C293,$C$3:$C$6,0)+1,0)),Variables!$B$1,INDEX($C$3:$C$6,MATCH(C293,$C$3:$C$6,0)+1,0)),""),"")</f>
        <v/>
      </c>
      <c r="J293" s="29" t="str">
        <f ca="1">IF(ISERROR(VLOOKUP(I293,$C$3:$L$6,5,0)),"",IF(OR(VLOOKUP(I293,$C$3:$L$6,5,0)=Variables!$B$5,B293&gt;VLOOKUP(I293,$C$3:$L$6,8,0)),IF(VLOOKUP(I293,$C$3:$L$6,5,0)=Variables!$B$5,((YEAR(B293)-YEAR($B$12))*12+MONTH(B293)-MONTH($B$12)),((YEAR(B293)-YEAR(VLOOKUP(I293,$C$3:$L$6,8,0)))*12+MONTH(B293)-MONTH(VLOOKUP(I293,$C$3:$L$6,8,0))))*(VLOOKUP(I293,$C$3:$L$6,10,0)*VLOOKUP(I293,$C$3:$L$6,6,0)/12),0))</f>
        <v/>
      </c>
      <c r="K293" s="29" t="str">
        <f ca="1">IF(C293&lt;&gt;"",IF(I293&lt;&gt;"",IF(ISERROR(VLOOKUP(I293,$C$3:$L$6,10,0)),"",VLOOKUP(I293,$C$3:$L$6,10,0)+J293+IF(OR(VLOOKUP(I293,$C$3:$L$6,5,0)=Variables!$B$5,B293&gt;VLOOKUP(I293,$C$3:$L$6,8,0)),IF(VLOOKUP(I293,$C$3:$L$6,5,0)=Variables!$B$5,((YEAR(B293)-YEAR($B$12))*12+MONTH(B293)-MONTH($B$12)),((YEAR(B293)-YEAR(VLOOKUP(I293,$C$3:$L$6,8,0)))*12+MONTH(B293)-MONTH(VLOOKUP(I293,$C$3:$L$6,8,0))))*VLOOKUP(I293,$C$3:$L$6,7,0),0)),""),"")</f>
        <v/>
      </c>
      <c r="L293" s="29" t="str">
        <f t="shared" ca="1" si="34"/>
        <v/>
      </c>
      <c r="M293" s="10"/>
      <c r="N293" s="10"/>
    </row>
    <row r="294" spans="1:14" x14ac:dyDescent="0.25">
      <c r="A294" s="10"/>
      <c r="B294" s="14" t="str">
        <f t="shared" ca="1" si="35"/>
        <v/>
      </c>
      <c r="C294" s="14" t="str">
        <f ca="1">IF(I293&lt;&gt;Variables!$B$1,IF(H293&lt;&gt;0,C293,I293),"")</f>
        <v/>
      </c>
      <c r="D294" s="29" t="str">
        <f t="shared" ca="1" si="32"/>
        <v/>
      </c>
      <c r="E294" s="29" t="str">
        <f t="shared" ca="1" si="33"/>
        <v/>
      </c>
      <c r="F294" s="29" t="str">
        <f ca="1">IF(C294&lt;&gt;"",IF(OR(VLOOKUP(C294,$C$3:$L$6,5,0)=Variables!$B$5,B294&gt;VLOOKUP(C294,$C$3:$L$6,8,0)),-D294*VLOOKUP(C294,$C$3:$L$6,6,0)/12,0),"")</f>
        <v/>
      </c>
      <c r="G294" s="29" t="str">
        <f ca="1">IF(I294&lt;&gt;Variables!$B$1,IF(C294&lt;&gt;"",$I$9-E294-F294,""),-D294)</f>
        <v/>
      </c>
      <c r="H294" s="29" t="str">
        <f t="shared" ca="1" si="36"/>
        <v/>
      </c>
      <c r="I294" s="31" t="str">
        <f ca="1">IF(C294&lt;&gt;"",IF(D294+$I$9-E294-F294&gt;=0,IF(ISERROR(INDEX($C$3:$C$6,MATCH(C294,$C$3:$C$6,0)+1,0)),Variables!$B$1,INDEX($C$3:$C$6,MATCH(C294,$C$3:$C$6,0)+1,0)),""),"")</f>
        <v/>
      </c>
      <c r="J294" s="29" t="str">
        <f ca="1">IF(ISERROR(VLOOKUP(I294,$C$3:$L$6,5,0)),"",IF(OR(VLOOKUP(I294,$C$3:$L$6,5,0)=Variables!$B$5,B294&gt;VLOOKUP(I294,$C$3:$L$6,8,0)),IF(VLOOKUP(I294,$C$3:$L$6,5,0)=Variables!$B$5,((YEAR(B294)-YEAR($B$12))*12+MONTH(B294)-MONTH($B$12)),((YEAR(B294)-YEAR(VLOOKUP(I294,$C$3:$L$6,8,0)))*12+MONTH(B294)-MONTH(VLOOKUP(I294,$C$3:$L$6,8,0))))*(VLOOKUP(I294,$C$3:$L$6,10,0)*VLOOKUP(I294,$C$3:$L$6,6,0)/12),0))</f>
        <v/>
      </c>
      <c r="K294" s="29" t="str">
        <f ca="1">IF(C294&lt;&gt;"",IF(I294&lt;&gt;"",IF(ISERROR(VLOOKUP(I294,$C$3:$L$6,10,0)),"",VLOOKUP(I294,$C$3:$L$6,10,0)+J294+IF(OR(VLOOKUP(I294,$C$3:$L$6,5,0)=Variables!$B$5,B294&gt;VLOOKUP(I294,$C$3:$L$6,8,0)),IF(VLOOKUP(I294,$C$3:$L$6,5,0)=Variables!$B$5,((YEAR(B294)-YEAR($B$12))*12+MONTH(B294)-MONTH($B$12)),((YEAR(B294)-YEAR(VLOOKUP(I294,$C$3:$L$6,8,0)))*12+MONTH(B294)-MONTH(VLOOKUP(I294,$C$3:$L$6,8,0))))*VLOOKUP(I294,$C$3:$L$6,7,0),0)),""),"")</f>
        <v/>
      </c>
      <c r="L294" s="29" t="str">
        <f t="shared" ca="1" si="34"/>
        <v/>
      </c>
      <c r="M294" s="10"/>
      <c r="N294" s="10"/>
    </row>
    <row r="295" spans="1:14" x14ac:dyDescent="0.25">
      <c r="A295" s="10"/>
      <c r="B295" s="14" t="str">
        <f t="shared" ca="1" si="35"/>
        <v/>
      </c>
      <c r="C295" s="14" t="str">
        <f ca="1">IF(I294&lt;&gt;Variables!$B$1,IF(H294&lt;&gt;0,C294,I294),"")</f>
        <v/>
      </c>
      <c r="D295" s="29" t="str">
        <f t="shared" ca="1" si="32"/>
        <v/>
      </c>
      <c r="E295" s="29" t="str">
        <f t="shared" ca="1" si="33"/>
        <v/>
      </c>
      <c r="F295" s="29" t="str">
        <f ca="1">IF(C295&lt;&gt;"",IF(OR(VLOOKUP(C295,$C$3:$L$6,5,0)=Variables!$B$5,B295&gt;VLOOKUP(C295,$C$3:$L$6,8,0)),-D295*VLOOKUP(C295,$C$3:$L$6,6,0)/12,0),"")</f>
        <v/>
      </c>
      <c r="G295" s="29" t="str">
        <f ca="1">IF(I295&lt;&gt;Variables!$B$1,IF(C295&lt;&gt;"",$I$9-E295-F295,""),-D295)</f>
        <v/>
      </c>
      <c r="H295" s="29" t="str">
        <f t="shared" ca="1" si="36"/>
        <v/>
      </c>
      <c r="I295" s="31" t="str">
        <f ca="1">IF(C295&lt;&gt;"",IF(D295+$I$9-E295-F295&gt;=0,IF(ISERROR(INDEX($C$3:$C$6,MATCH(C295,$C$3:$C$6,0)+1,0)),Variables!$B$1,INDEX($C$3:$C$6,MATCH(C295,$C$3:$C$6,0)+1,0)),""),"")</f>
        <v/>
      </c>
      <c r="J295" s="29" t="str">
        <f ca="1">IF(ISERROR(VLOOKUP(I295,$C$3:$L$6,5,0)),"",IF(OR(VLOOKUP(I295,$C$3:$L$6,5,0)=Variables!$B$5,B295&gt;VLOOKUP(I295,$C$3:$L$6,8,0)),IF(VLOOKUP(I295,$C$3:$L$6,5,0)=Variables!$B$5,((YEAR(B295)-YEAR($B$12))*12+MONTH(B295)-MONTH($B$12)),((YEAR(B295)-YEAR(VLOOKUP(I295,$C$3:$L$6,8,0)))*12+MONTH(B295)-MONTH(VLOOKUP(I295,$C$3:$L$6,8,0))))*(VLOOKUP(I295,$C$3:$L$6,10,0)*VLOOKUP(I295,$C$3:$L$6,6,0)/12),0))</f>
        <v/>
      </c>
      <c r="K295" s="29" t="str">
        <f ca="1">IF(C295&lt;&gt;"",IF(I295&lt;&gt;"",IF(ISERROR(VLOOKUP(I295,$C$3:$L$6,10,0)),"",VLOOKUP(I295,$C$3:$L$6,10,0)+J295+IF(OR(VLOOKUP(I295,$C$3:$L$6,5,0)=Variables!$B$5,B295&gt;VLOOKUP(I295,$C$3:$L$6,8,0)),IF(VLOOKUP(I295,$C$3:$L$6,5,0)=Variables!$B$5,((YEAR(B295)-YEAR($B$12))*12+MONTH(B295)-MONTH($B$12)),((YEAR(B295)-YEAR(VLOOKUP(I295,$C$3:$L$6,8,0)))*12+MONTH(B295)-MONTH(VLOOKUP(I295,$C$3:$L$6,8,0))))*VLOOKUP(I295,$C$3:$L$6,7,0),0)),""),"")</f>
        <v/>
      </c>
      <c r="L295" s="29" t="str">
        <f t="shared" ca="1" si="34"/>
        <v/>
      </c>
      <c r="M295" s="10"/>
      <c r="N295" s="10"/>
    </row>
    <row r="296" spans="1:14" x14ac:dyDescent="0.25">
      <c r="A296" s="10"/>
      <c r="B296" s="14" t="str">
        <f t="shared" ca="1" si="35"/>
        <v/>
      </c>
      <c r="C296" s="14" t="str">
        <f ca="1">IF(I295&lt;&gt;Variables!$B$1,IF(H295&lt;&gt;0,C295,I295),"")</f>
        <v/>
      </c>
      <c r="D296" s="29" t="str">
        <f t="shared" ca="1" si="32"/>
        <v/>
      </c>
      <c r="E296" s="29" t="str">
        <f t="shared" ca="1" si="33"/>
        <v/>
      </c>
      <c r="F296" s="29" t="str">
        <f ca="1">IF(C296&lt;&gt;"",IF(OR(VLOOKUP(C296,$C$3:$L$6,5,0)=Variables!$B$5,B296&gt;VLOOKUP(C296,$C$3:$L$6,8,0)),-D296*VLOOKUP(C296,$C$3:$L$6,6,0)/12,0),"")</f>
        <v/>
      </c>
      <c r="G296" s="29" t="str">
        <f ca="1">IF(I296&lt;&gt;Variables!$B$1,IF(C296&lt;&gt;"",$I$9-E296-F296,""),-D296)</f>
        <v/>
      </c>
      <c r="H296" s="29" t="str">
        <f t="shared" ca="1" si="36"/>
        <v/>
      </c>
      <c r="I296" s="31" t="str">
        <f ca="1">IF(C296&lt;&gt;"",IF(D296+$I$9-E296-F296&gt;=0,IF(ISERROR(INDEX($C$3:$C$6,MATCH(C296,$C$3:$C$6,0)+1,0)),Variables!$B$1,INDEX($C$3:$C$6,MATCH(C296,$C$3:$C$6,0)+1,0)),""),"")</f>
        <v/>
      </c>
      <c r="J296" s="29" t="str">
        <f ca="1">IF(ISERROR(VLOOKUP(I296,$C$3:$L$6,5,0)),"",IF(OR(VLOOKUP(I296,$C$3:$L$6,5,0)=Variables!$B$5,B296&gt;VLOOKUP(I296,$C$3:$L$6,8,0)),IF(VLOOKUP(I296,$C$3:$L$6,5,0)=Variables!$B$5,((YEAR(B296)-YEAR($B$12))*12+MONTH(B296)-MONTH($B$12)),((YEAR(B296)-YEAR(VLOOKUP(I296,$C$3:$L$6,8,0)))*12+MONTH(B296)-MONTH(VLOOKUP(I296,$C$3:$L$6,8,0))))*(VLOOKUP(I296,$C$3:$L$6,10,0)*VLOOKUP(I296,$C$3:$L$6,6,0)/12),0))</f>
        <v/>
      </c>
      <c r="K296" s="29" t="str">
        <f ca="1">IF(C296&lt;&gt;"",IF(I296&lt;&gt;"",IF(ISERROR(VLOOKUP(I296,$C$3:$L$6,10,0)),"",VLOOKUP(I296,$C$3:$L$6,10,0)+J296+IF(OR(VLOOKUP(I296,$C$3:$L$6,5,0)=Variables!$B$5,B296&gt;VLOOKUP(I296,$C$3:$L$6,8,0)),IF(VLOOKUP(I296,$C$3:$L$6,5,0)=Variables!$B$5,((YEAR(B296)-YEAR($B$12))*12+MONTH(B296)-MONTH($B$12)),((YEAR(B296)-YEAR(VLOOKUP(I296,$C$3:$L$6,8,0)))*12+MONTH(B296)-MONTH(VLOOKUP(I296,$C$3:$L$6,8,0))))*VLOOKUP(I296,$C$3:$L$6,7,0),0)),""),"")</f>
        <v/>
      </c>
      <c r="L296" s="29" t="str">
        <f t="shared" ca="1" si="34"/>
        <v/>
      </c>
      <c r="M296" s="10"/>
      <c r="N296" s="10"/>
    </row>
    <row r="297" spans="1:14" x14ac:dyDescent="0.25">
      <c r="A297" s="10"/>
      <c r="B297" s="14" t="str">
        <f t="shared" ca="1" si="35"/>
        <v/>
      </c>
      <c r="C297" s="14" t="str">
        <f ca="1">IF(I296&lt;&gt;Variables!$B$1,IF(H296&lt;&gt;0,C296,I296),"")</f>
        <v/>
      </c>
      <c r="D297" s="29" t="str">
        <f t="shared" ca="1" si="32"/>
        <v/>
      </c>
      <c r="E297" s="29" t="str">
        <f t="shared" ca="1" si="33"/>
        <v/>
      </c>
      <c r="F297" s="29" t="str">
        <f ca="1">IF(C297&lt;&gt;"",IF(OR(VLOOKUP(C297,$C$3:$L$6,5,0)=Variables!$B$5,B297&gt;VLOOKUP(C297,$C$3:$L$6,8,0)),-D297*VLOOKUP(C297,$C$3:$L$6,6,0)/12,0),"")</f>
        <v/>
      </c>
      <c r="G297" s="29" t="str">
        <f ca="1">IF(I297&lt;&gt;Variables!$B$1,IF(C297&lt;&gt;"",$I$9-E297-F297,""),-D297)</f>
        <v/>
      </c>
      <c r="H297" s="29" t="str">
        <f t="shared" ca="1" si="36"/>
        <v/>
      </c>
      <c r="I297" s="31" t="str">
        <f ca="1">IF(C297&lt;&gt;"",IF(D297+$I$9-E297-F297&gt;=0,IF(ISERROR(INDEX($C$3:$C$6,MATCH(C297,$C$3:$C$6,0)+1,0)),Variables!$B$1,INDEX($C$3:$C$6,MATCH(C297,$C$3:$C$6,0)+1,0)),""),"")</f>
        <v/>
      </c>
      <c r="J297" s="29" t="str">
        <f ca="1">IF(ISERROR(VLOOKUP(I297,$C$3:$L$6,5,0)),"",IF(OR(VLOOKUP(I297,$C$3:$L$6,5,0)=Variables!$B$5,B297&gt;VLOOKUP(I297,$C$3:$L$6,8,0)),IF(VLOOKUP(I297,$C$3:$L$6,5,0)=Variables!$B$5,((YEAR(B297)-YEAR($B$12))*12+MONTH(B297)-MONTH($B$12)),((YEAR(B297)-YEAR(VLOOKUP(I297,$C$3:$L$6,8,0)))*12+MONTH(B297)-MONTH(VLOOKUP(I297,$C$3:$L$6,8,0))))*(VLOOKUP(I297,$C$3:$L$6,10,0)*VLOOKUP(I297,$C$3:$L$6,6,0)/12),0))</f>
        <v/>
      </c>
      <c r="K297" s="29" t="str">
        <f ca="1">IF(C297&lt;&gt;"",IF(I297&lt;&gt;"",IF(ISERROR(VLOOKUP(I297,$C$3:$L$6,10,0)),"",VLOOKUP(I297,$C$3:$L$6,10,0)+J297+IF(OR(VLOOKUP(I297,$C$3:$L$6,5,0)=Variables!$B$5,B297&gt;VLOOKUP(I297,$C$3:$L$6,8,0)),IF(VLOOKUP(I297,$C$3:$L$6,5,0)=Variables!$B$5,((YEAR(B297)-YEAR($B$12))*12+MONTH(B297)-MONTH($B$12)),((YEAR(B297)-YEAR(VLOOKUP(I297,$C$3:$L$6,8,0)))*12+MONTH(B297)-MONTH(VLOOKUP(I297,$C$3:$L$6,8,0))))*VLOOKUP(I297,$C$3:$L$6,7,0),0)),""),"")</f>
        <v/>
      </c>
      <c r="L297" s="29" t="str">
        <f t="shared" ca="1" si="34"/>
        <v/>
      </c>
      <c r="M297" s="10"/>
      <c r="N297" s="10"/>
    </row>
    <row r="298" spans="1:14" x14ac:dyDescent="0.25">
      <c r="A298" s="10"/>
      <c r="B298" s="14" t="str">
        <f t="shared" ca="1" si="35"/>
        <v/>
      </c>
      <c r="C298" s="14" t="str">
        <f ca="1">IF(I297&lt;&gt;Variables!$B$1,IF(H297&lt;&gt;0,C297,I297),"")</f>
        <v/>
      </c>
      <c r="D298" s="29" t="str">
        <f t="shared" ca="1" si="32"/>
        <v/>
      </c>
      <c r="E298" s="29" t="str">
        <f t="shared" ca="1" si="33"/>
        <v/>
      </c>
      <c r="F298" s="29" t="str">
        <f ca="1">IF(C298&lt;&gt;"",IF(OR(VLOOKUP(C298,$C$3:$L$6,5,0)=Variables!$B$5,B298&gt;VLOOKUP(C298,$C$3:$L$6,8,0)),-D298*VLOOKUP(C298,$C$3:$L$6,6,0)/12,0),"")</f>
        <v/>
      </c>
      <c r="G298" s="29" t="str">
        <f ca="1">IF(I298&lt;&gt;Variables!$B$1,IF(C298&lt;&gt;"",$I$9-E298-F298,""),-D298)</f>
        <v/>
      </c>
      <c r="H298" s="29" t="str">
        <f t="shared" ca="1" si="36"/>
        <v/>
      </c>
      <c r="I298" s="31" t="str">
        <f ca="1">IF(C298&lt;&gt;"",IF(D298+$I$9-E298-F298&gt;=0,IF(ISERROR(INDEX($C$3:$C$6,MATCH(C298,$C$3:$C$6,0)+1,0)),Variables!$B$1,INDEX($C$3:$C$6,MATCH(C298,$C$3:$C$6,0)+1,0)),""),"")</f>
        <v/>
      </c>
      <c r="J298" s="29" t="str">
        <f ca="1">IF(ISERROR(VLOOKUP(I298,$C$3:$L$6,5,0)),"",IF(OR(VLOOKUP(I298,$C$3:$L$6,5,0)=Variables!$B$5,B298&gt;VLOOKUP(I298,$C$3:$L$6,8,0)),IF(VLOOKUP(I298,$C$3:$L$6,5,0)=Variables!$B$5,((YEAR(B298)-YEAR($B$12))*12+MONTH(B298)-MONTH($B$12)),((YEAR(B298)-YEAR(VLOOKUP(I298,$C$3:$L$6,8,0)))*12+MONTH(B298)-MONTH(VLOOKUP(I298,$C$3:$L$6,8,0))))*(VLOOKUP(I298,$C$3:$L$6,10,0)*VLOOKUP(I298,$C$3:$L$6,6,0)/12),0))</f>
        <v/>
      </c>
      <c r="K298" s="29" t="str">
        <f ca="1">IF(C298&lt;&gt;"",IF(I298&lt;&gt;"",IF(ISERROR(VLOOKUP(I298,$C$3:$L$6,10,0)),"",VLOOKUP(I298,$C$3:$L$6,10,0)+J298+IF(OR(VLOOKUP(I298,$C$3:$L$6,5,0)=Variables!$B$5,B298&gt;VLOOKUP(I298,$C$3:$L$6,8,0)),IF(VLOOKUP(I298,$C$3:$L$6,5,0)=Variables!$B$5,((YEAR(B298)-YEAR($B$12))*12+MONTH(B298)-MONTH($B$12)),((YEAR(B298)-YEAR(VLOOKUP(I298,$C$3:$L$6,8,0)))*12+MONTH(B298)-MONTH(VLOOKUP(I298,$C$3:$L$6,8,0))))*VLOOKUP(I298,$C$3:$L$6,7,0),0)),""),"")</f>
        <v/>
      </c>
      <c r="L298" s="29" t="str">
        <f t="shared" ca="1" si="34"/>
        <v/>
      </c>
      <c r="M298" s="10"/>
      <c r="N298" s="10"/>
    </row>
    <row r="299" spans="1:14" x14ac:dyDescent="0.25">
      <c r="A299" s="10"/>
      <c r="B299" s="14" t="str">
        <f t="shared" ca="1" si="35"/>
        <v/>
      </c>
      <c r="C299" s="14" t="str">
        <f ca="1">IF(I298&lt;&gt;Variables!$B$1,IF(H298&lt;&gt;0,C298,I298),"")</f>
        <v/>
      </c>
      <c r="D299" s="29" t="str">
        <f t="shared" ca="1" si="32"/>
        <v/>
      </c>
      <c r="E299" s="29" t="str">
        <f t="shared" ca="1" si="33"/>
        <v/>
      </c>
      <c r="F299" s="29" t="str">
        <f ca="1">IF(C299&lt;&gt;"",IF(OR(VLOOKUP(C299,$C$3:$L$6,5,0)=Variables!$B$5,B299&gt;VLOOKUP(C299,$C$3:$L$6,8,0)),-D299*VLOOKUP(C299,$C$3:$L$6,6,0)/12,0),"")</f>
        <v/>
      </c>
      <c r="G299" s="29" t="str">
        <f ca="1">IF(I299&lt;&gt;Variables!$B$1,IF(C299&lt;&gt;"",$I$9-E299-F299,""),-D299)</f>
        <v/>
      </c>
      <c r="H299" s="29" t="str">
        <f t="shared" ca="1" si="36"/>
        <v/>
      </c>
      <c r="I299" s="31" t="str">
        <f ca="1">IF(C299&lt;&gt;"",IF(D299+$I$9-E299-F299&gt;=0,IF(ISERROR(INDEX($C$3:$C$6,MATCH(C299,$C$3:$C$6,0)+1,0)),Variables!$B$1,INDEX($C$3:$C$6,MATCH(C299,$C$3:$C$6,0)+1,0)),""),"")</f>
        <v/>
      </c>
      <c r="J299" s="29" t="str">
        <f ca="1">IF(ISERROR(VLOOKUP(I299,$C$3:$L$6,5,0)),"",IF(OR(VLOOKUP(I299,$C$3:$L$6,5,0)=Variables!$B$5,B299&gt;VLOOKUP(I299,$C$3:$L$6,8,0)),IF(VLOOKUP(I299,$C$3:$L$6,5,0)=Variables!$B$5,((YEAR(B299)-YEAR($B$12))*12+MONTH(B299)-MONTH($B$12)),((YEAR(B299)-YEAR(VLOOKUP(I299,$C$3:$L$6,8,0)))*12+MONTH(B299)-MONTH(VLOOKUP(I299,$C$3:$L$6,8,0))))*(VLOOKUP(I299,$C$3:$L$6,10,0)*VLOOKUP(I299,$C$3:$L$6,6,0)/12),0))</f>
        <v/>
      </c>
      <c r="K299" s="29" t="str">
        <f ca="1">IF(C299&lt;&gt;"",IF(I299&lt;&gt;"",IF(ISERROR(VLOOKUP(I299,$C$3:$L$6,10,0)),"",VLOOKUP(I299,$C$3:$L$6,10,0)+J299+IF(OR(VLOOKUP(I299,$C$3:$L$6,5,0)=Variables!$B$5,B299&gt;VLOOKUP(I299,$C$3:$L$6,8,0)),IF(VLOOKUP(I299,$C$3:$L$6,5,0)=Variables!$B$5,((YEAR(B299)-YEAR($B$12))*12+MONTH(B299)-MONTH($B$12)),((YEAR(B299)-YEAR(VLOOKUP(I299,$C$3:$L$6,8,0)))*12+MONTH(B299)-MONTH(VLOOKUP(I299,$C$3:$L$6,8,0))))*VLOOKUP(I299,$C$3:$L$6,7,0),0)),""),"")</f>
        <v/>
      </c>
      <c r="L299" s="29" t="str">
        <f t="shared" ca="1" si="34"/>
        <v/>
      </c>
      <c r="M299" s="10"/>
      <c r="N299" s="10"/>
    </row>
    <row r="300" spans="1:14" x14ac:dyDescent="0.25">
      <c r="A300" s="10"/>
      <c r="B300" s="14" t="str">
        <f t="shared" ca="1" si="35"/>
        <v/>
      </c>
      <c r="C300" s="14" t="str">
        <f ca="1">IF(I299&lt;&gt;Variables!$B$1,IF(H299&lt;&gt;0,C299,I299),"")</f>
        <v/>
      </c>
      <c r="D300" s="29" t="str">
        <f t="shared" ca="1" si="32"/>
        <v/>
      </c>
      <c r="E300" s="29" t="str">
        <f t="shared" ca="1" si="33"/>
        <v/>
      </c>
      <c r="F300" s="29" t="str">
        <f ca="1">IF(C300&lt;&gt;"",IF(OR(VLOOKUP(C300,$C$3:$L$6,5,0)=Variables!$B$5,B300&gt;VLOOKUP(C300,$C$3:$L$6,8,0)),-D300*VLOOKUP(C300,$C$3:$L$6,6,0)/12,0),"")</f>
        <v/>
      </c>
      <c r="G300" s="29" t="str">
        <f ca="1">IF(I300&lt;&gt;Variables!$B$1,IF(C300&lt;&gt;"",$I$9-E300-F300,""),-D300)</f>
        <v/>
      </c>
      <c r="H300" s="29" t="str">
        <f t="shared" ca="1" si="36"/>
        <v/>
      </c>
      <c r="I300" s="31" t="str">
        <f ca="1">IF(C300&lt;&gt;"",IF(D300+$I$9-E300-F300&gt;=0,IF(ISERROR(INDEX($C$3:$C$6,MATCH(C300,$C$3:$C$6,0)+1,0)),Variables!$B$1,INDEX($C$3:$C$6,MATCH(C300,$C$3:$C$6,0)+1,0)),""),"")</f>
        <v/>
      </c>
      <c r="J300" s="29" t="str">
        <f ca="1">IF(ISERROR(VLOOKUP(I300,$C$3:$L$6,5,0)),"",IF(OR(VLOOKUP(I300,$C$3:$L$6,5,0)=Variables!$B$5,B300&gt;VLOOKUP(I300,$C$3:$L$6,8,0)),IF(VLOOKUP(I300,$C$3:$L$6,5,0)=Variables!$B$5,((YEAR(B300)-YEAR($B$12))*12+MONTH(B300)-MONTH($B$12)),((YEAR(B300)-YEAR(VLOOKUP(I300,$C$3:$L$6,8,0)))*12+MONTH(B300)-MONTH(VLOOKUP(I300,$C$3:$L$6,8,0))))*(VLOOKUP(I300,$C$3:$L$6,10,0)*VLOOKUP(I300,$C$3:$L$6,6,0)/12),0))</f>
        <v/>
      </c>
      <c r="K300" s="29" t="str">
        <f ca="1">IF(C300&lt;&gt;"",IF(I300&lt;&gt;"",IF(ISERROR(VLOOKUP(I300,$C$3:$L$6,10,0)),"",VLOOKUP(I300,$C$3:$L$6,10,0)+J300+IF(OR(VLOOKUP(I300,$C$3:$L$6,5,0)=Variables!$B$5,B300&gt;VLOOKUP(I300,$C$3:$L$6,8,0)),IF(VLOOKUP(I300,$C$3:$L$6,5,0)=Variables!$B$5,((YEAR(B300)-YEAR($B$12))*12+MONTH(B300)-MONTH($B$12)),((YEAR(B300)-YEAR(VLOOKUP(I300,$C$3:$L$6,8,0)))*12+MONTH(B300)-MONTH(VLOOKUP(I300,$C$3:$L$6,8,0))))*VLOOKUP(I300,$C$3:$L$6,7,0),0)),""),"")</f>
        <v/>
      </c>
      <c r="L300" s="29" t="str">
        <f t="shared" ca="1" si="34"/>
        <v/>
      </c>
      <c r="M300" s="10"/>
      <c r="N300" s="10"/>
    </row>
    <row r="301" spans="1:14" x14ac:dyDescent="0.25">
      <c r="A301" s="10"/>
      <c r="B301" s="14" t="str">
        <f t="shared" ca="1" si="35"/>
        <v/>
      </c>
      <c r="C301" s="14" t="str">
        <f ca="1">IF(I300&lt;&gt;Variables!$B$1,IF(H300&lt;&gt;0,C300,I300),"")</f>
        <v/>
      </c>
      <c r="D301" s="29" t="str">
        <f t="shared" ca="1" si="32"/>
        <v/>
      </c>
      <c r="E301" s="29" t="str">
        <f t="shared" ca="1" si="33"/>
        <v/>
      </c>
      <c r="F301" s="29" t="str">
        <f ca="1">IF(C301&lt;&gt;"",IF(OR(VLOOKUP(C301,$C$3:$L$6,5,0)=Variables!$B$5,B301&gt;VLOOKUP(C301,$C$3:$L$6,8,0)),-D301*VLOOKUP(C301,$C$3:$L$6,6,0)/12,0),"")</f>
        <v/>
      </c>
      <c r="G301" s="29" t="str">
        <f ca="1">IF(I301&lt;&gt;Variables!$B$1,IF(C301&lt;&gt;"",$I$9-E301-F301,""),-D301)</f>
        <v/>
      </c>
      <c r="H301" s="29" t="str">
        <f t="shared" ca="1" si="36"/>
        <v/>
      </c>
      <c r="I301" s="31" t="str">
        <f ca="1">IF(C301&lt;&gt;"",IF(D301+$I$9-E301-F301&gt;=0,IF(ISERROR(INDEX($C$3:$C$6,MATCH(C301,$C$3:$C$6,0)+1,0)),Variables!$B$1,INDEX($C$3:$C$6,MATCH(C301,$C$3:$C$6,0)+1,0)),""),"")</f>
        <v/>
      </c>
      <c r="J301" s="29" t="str">
        <f ca="1">IF(ISERROR(VLOOKUP(I301,$C$3:$L$6,5,0)),"",IF(OR(VLOOKUP(I301,$C$3:$L$6,5,0)=Variables!$B$5,B301&gt;VLOOKUP(I301,$C$3:$L$6,8,0)),IF(VLOOKUP(I301,$C$3:$L$6,5,0)=Variables!$B$5,((YEAR(B301)-YEAR($B$12))*12+MONTH(B301)-MONTH($B$12)),((YEAR(B301)-YEAR(VLOOKUP(I301,$C$3:$L$6,8,0)))*12+MONTH(B301)-MONTH(VLOOKUP(I301,$C$3:$L$6,8,0))))*(VLOOKUP(I301,$C$3:$L$6,10,0)*VLOOKUP(I301,$C$3:$L$6,6,0)/12),0))</f>
        <v/>
      </c>
      <c r="K301" s="29" t="str">
        <f ca="1">IF(C301&lt;&gt;"",IF(I301&lt;&gt;"",IF(ISERROR(VLOOKUP(I301,$C$3:$L$6,10,0)),"",VLOOKUP(I301,$C$3:$L$6,10,0)+J301+IF(OR(VLOOKUP(I301,$C$3:$L$6,5,0)=Variables!$B$5,B301&gt;VLOOKUP(I301,$C$3:$L$6,8,0)),IF(VLOOKUP(I301,$C$3:$L$6,5,0)=Variables!$B$5,((YEAR(B301)-YEAR($B$12))*12+MONTH(B301)-MONTH($B$12)),((YEAR(B301)-YEAR(VLOOKUP(I301,$C$3:$L$6,8,0)))*12+MONTH(B301)-MONTH(VLOOKUP(I301,$C$3:$L$6,8,0))))*VLOOKUP(I301,$C$3:$L$6,7,0),0)),""),"")</f>
        <v/>
      </c>
      <c r="L301" s="29" t="str">
        <f t="shared" ca="1" si="34"/>
        <v/>
      </c>
      <c r="M301" s="10"/>
      <c r="N301" s="10"/>
    </row>
    <row r="302" spans="1:14" x14ac:dyDescent="0.25">
      <c r="A302" s="10"/>
      <c r="B302" s="14" t="str">
        <f t="shared" ca="1" si="35"/>
        <v/>
      </c>
      <c r="C302" s="14" t="str">
        <f ca="1">IF(I301&lt;&gt;Variables!$B$1,IF(H301&lt;&gt;0,C301,I301),"")</f>
        <v/>
      </c>
      <c r="D302" s="29" t="str">
        <f t="shared" ca="1" si="32"/>
        <v/>
      </c>
      <c r="E302" s="29" t="str">
        <f t="shared" ca="1" si="33"/>
        <v/>
      </c>
      <c r="F302" s="29" t="str">
        <f ca="1">IF(C302&lt;&gt;"",IF(OR(VLOOKUP(C302,$C$3:$L$6,5,0)=Variables!$B$5,B302&gt;VLOOKUP(C302,$C$3:$L$6,8,0)),-D302*VLOOKUP(C302,$C$3:$L$6,6,0)/12,0),"")</f>
        <v/>
      </c>
      <c r="G302" s="29" t="str">
        <f ca="1">IF(I302&lt;&gt;Variables!$B$1,IF(C302&lt;&gt;"",$I$9-E302-F302,""),-D302)</f>
        <v/>
      </c>
      <c r="H302" s="29" t="str">
        <f t="shared" ca="1" si="36"/>
        <v/>
      </c>
      <c r="I302" s="31" t="str">
        <f ca="1">IF(C302&lt;&gt;"",IF(D302+$I$9-E302-F302&gt;=0,IF(ISERROR(INDEX($C$3:$C$6,MATCH(C302,$C$3:$C$6,0)+1,0)),Variables!$B$1,INDEX($C$3:$C$6,MATCH(C302,$C$3:$C$6,0)+1,0)),""),"")</f>
        <v/>
      </c>
      <c r="J302" s="29" t="str">
        <f ca="1">IF(ISERROR(VLOOKUP(I302,$C$3:$L$6,5,0)),"",IF(OR(VLOOKUP(I302,$C$3:$L$6,5,0)=Variables!$B$5,B302&gt;VLOOKUP(I302,$C$3:$L$6,8,0)),IF(VLOOKUP(I302,$C$3:$L$6,5,0)=Variables!$B$5,((YEAR(B302)-YEAR($B$12))*12+MONTH(B302)-MONTH($B$12)),((YEAR(B302)-YEAR(VLOOKUP(I302,$C$3:$L$6,8,0)))*12+MONTH(B302)-MONTH(VLOOKUP(I302,$C$3:$L$6,8,0))))*(VLOOKUP(I302,$C$3:$L$6,10,0)*VLOOKUP(I302,$C$3:$L$6,6,0)/12),0))</f>
        <v/>
      </c>
      <c r="K302" s="29" t="str">
        <f ca="1">IF(C302&lt;&gt;"",IF(I302&lt;&gt;"",IF(ISERROR(VLOOKUP(I302,$C$3:$L$6,10,0)),"",VLOOKUP(I302,$C$3:$L$6,10,0)+J302+IF(OR(VLOOKUP(I302,$C$3:$L$6,5,0)=Variables!$B$5,B302&gt;VLOOKUP(I302,$C$3:$L$6,8,0)),IF(VLOOKUP(I302,$C$3:$L$6,5,0)=Variables!$B$5,((YEAR(B302)-YEAR($B$12))*12+MONTH(B302)-MONTH($B$12)),((YEAR(B302)-YEAR(VLOOKUP(I302,$C$3:$L$6,8,0)))*12+MONTH(B302)-MONTH(VLOOKUP(I302,$C$3:$L$6,8,0))))*VLOOKUP(I302,$C$3:$L$6,7,0),0)),""),"")</f>
        <v/>
      </c>
      <c r="L302" s="29" t="str">
        <f t="shared" ca="1" si="34"/>
        <v/>
      </c>
      <c r="M302" s="10"/>
      <c r="N302" s="10"/>
    </row>
    <row r="303" spans="1:14" x14ac:dyDescent="0.25">
      <c r="A303" s="10"/>
      <c r="B303" s="14" t="str">
        <f t="shared" ca="1" si="35"/>
        <v/>
      </c>
      <c r="C303" s="14" t="str">
        <f ca="1">IF(I302&lt;&gt;Variables!$B$1,IF(H302&lt;&gt;0,C302,I302),"")</f>
        <v/>
      </c>
      <c r="D303" s="29" t="str">
        <f t="shared" ca="1" si="32"/>
        <v/>
      </c>
      <c r="E303" s="29" t="str">
        <f t="shared" ca="1" si="33"/>
        <v/>
      </c>
      <c r="F303" s="29" t="str">
        <f ca="1">IF(C303&lt;&gt;"",IF(OR(VLOOKUP(C303,$C$3:$L$6,5,0)=Variables!$B$5,B303&gt;VLOOKUP(C303,$C$3:$L$6,8,0)),-D303*VLOOKUP(C303,$C$3:$L$6,6,0)/12,0),"")</f>
        <v/>
      </c>
      <c r="G303" s="29" t="str">
        <f ca="1">IF(I303&lt;&gt;Variables!$B$1,IF(C303&lt;&gt;"",$I$9-E303-F303,""),-D303)</f>
        <v/>
      </c>
      <c r="H303" s="29" t="str">
        <f t="shared" ca="1" si="36"/>
        <v/>
      </c>
      <c r="I303" s="31" t="str">
        <f ca="1">IF(C303&lt;&gt;"",IF(D303+$I$9-E303-F303&gt;=0,IF(ISERROR(INDEX($C$3:$C$6,MATCH(C303,$C$3:$C$6,0)+1,0)),Variables!$B$1,INDEX($C$3:$C$6,MATCH(C303,$C$3:$C$6,0)+1,0)),""),"")</f>
        <v/>
      </c>
      <c r="J303" s="29" t="str">
        <f ca="1">IF(ISERROR(VLOOKUP(I303,$C$3:$L$6,5,0)),"",IF(OR(VLOOKUP(I303,$C$3:$L$6,5,0)=Variables!$B$5,B303&gt;VLOOKUP(I303,$C$3:$L$6,8,0)),IF(VLOOKUP(I303,$C$3:$L$6,5,0)=Variables!$B$5,((YEAR(B303)-YEAR($B$12))*12+MONTH(B303)-MONTH($B$12)),((YEAR(B303)-YEAR(VLOOKUP(I303,$C$3:$L$6,8,0)))*12+MONTH(B303)-MONTH(VLOOKUP(I303,$C$3:$L$6,8,0))))*(VLOOKUP(I303,$C$3:$L$6,10,0)*VLOOKUP(I303,$C$3:$L$6,6,0)/12),0))</f>
        <v/>
      </c>
      <c r="K303" s="29" t="str">
        <f ca="1">IF(C303&lt;&gt;"",IF(I303&lt;&gt;"",IF(ISERROR(VLOOKUP(I303,$C$3:$L$6,10,0)),"",VLOOKUP(I303,$C$3:$L$6,10,0)+J303+IF(OR(VLOOKUP(I303,$C$3:$L$6,5,0)=Variables!$B$5,B303&gt;VLOOKUP(I303,$C$3:$L$6,8,0)),IF(VLOOKUP(I303,$C$3:$L$6,5,0)=Variables!$B$5,((YEAR(B303)-YEAR($B$12))*12+MONTH(B303)-MONTH($B$12)),((YEAR(B303)-YEAR(VLOOKUP(I303,$C$3:$L$6,8,0)))*12+MONTH(B303)-MONTH(VLOOKUP(I303,$C$3:$L$6,8,0))))*VLOOKUP(I303,$C$3:$L$6,7,0),0)),""),"")</f>
        <v/>
      </c>
      <c r="L303" s="29" t="str">
        <f t="shared" ca="1" si="34"/>
        <v/>
      </c>
      <c r="M303" s="10"/>
      <c r="N303" s="10"/>
    </row>
    <row r="304" spans="1:14" x14ac:dyDescent="0.25">
      <c r="A304" s="10"/>
      <c r="B304" s="14" t="str">
        <f t="shared" ca="1" si="35"/>
        <v/>
      </c>
      <c r="C304" s="14" t="str">
        <f ca="1">IF(I303&lt;&gt;Variables!$B$1,IF(H303&lt;&gt;0,C303,I303),"")</f>
        <v/>
      </c>
      <c r="D304" s="29" t="str">
        <f t="shared" ca="1" si="32"/>
        <v/>
      </c>
      <c r="E304" s="29" t="str">
        <f t="shared" ca="1" si="33"/>
        <v/>
      </c>
      <c r="F304" s="29" t="str">
        <f ca="1">IF(C304&lt;&gt;"",IF(OR(VLOOKUP(C304,$C$3:$L$6,5,0)=Variables!$B$5,B304&gt;VLOOKUP(C304,$C$3:$L$6,8,0)),-D304*VLOOKUP(C304,$C$3:$L$6,6,0)/12,0),"")</f>
        <v/>
      </c>
      <c r="G304" s="29" t="str">
        <f ca="1">IF(I304&lt;&gt;Variables!$B$1,IF(C304&lt;&gt;"",$I$9-E304-F304,""),-D304)</f>
        <v/>
      </c>
      <c r="H304" s="29" t="str">
        <f t="shared" ca="1" si="36"/>
        <v/>
      </c>
      <c r="I304" s="31" t="str">
        <f ca="1">IF(C304&lt;&gt;"",IF(D304+$I$9-E304-F304&gt;=0,IF(ISERROR(INDEX($C$3:$C$6,MATCH(C304,$C$3:$C$6,0)+1,0)),Variables!$B$1,INDEX($C$3:$C$6,MATCH(C304,$C$3:$C$6,0)+1,0)),""),"")</f>
        <v/>
      </c>
      <c r="J304" s="29" t="str">
        <f ca="1">IF(ISERROR(VLOOKUP(I304,$C$3:$L$6,5,0)),"",IF(OR(VLOOKUP(I304,$C$3:$L$6,5,0)=Variables!$B$5,B304&gt;VLOOKUP(I304,$C$3:$L$6,8,0)),IF(VLOOKUP(I304,$C$3:$L$6,5,0)=Variables!$B$5,((YEAR(B304)-YEAR($B$12))*12+MONTH(B304)-MONTH($B$12)),((YEAR(B304)-YEAR(VLOOKUP(I304,$C$3:$L$6,8,0)))*12+MONTH(B304)-MONTH(VLOOKUP(I304,$C$3:$L$6,8,0))))*(VLOOKUP(I304,$C$3:$L$6,10,0)*VLOOKUP(I304,$C$3:$L$6,6,0)/12),0))</f>
        <v/>
      </c>
      <c r="K304" s="29" t="str">
        <f ca="1">IF(C304&lt;&gt;"",IF(I304&lt;&gt;"",IF(ISERROR(VLOOKUP(I304,$C$3:$L$6,10,0)),"",VLOOKUP(I304,$C$3:$L$6,10,0)+J304+IF(OR(VLOOKUP(I304,$C$3:$L$6,5,0)=Variables!$B$5,B304&gt;VLOOKUP(I304,$C$3:$L$6,8,0)),IF(VLOOKUP(I304,$C$3:$L$6,5,0)=Variables!$B$5,((YEAR(B304)-YEAR($B$12))*12+MONTH(B304)-MONTH($B$12)),((YEAR(B304)-YEAR(VLOOKUP(I304,$C$3:$L$6,8,0)))*12+MONTH(B304)-MONTH(VLOOKUP(I304,$C$3:$L$6,8,0))))*VLOOKUP(I304,$C$3:$L$6,7,0),0)),""),"")</f>
        <v/>
      </c>
      <c r="L304" s="29" t="str">
        <f t="shared" ca="1" si="34"/>
        <v/>
      </c>
      <c r="M304" s="10"/>
      <c r="N304" s="10"/>
    </row>
    <row r="305" spans="1:14" x14ac:dyDescent="0.25">
      <c r="A305" s="10"/>
      <c r="B305" s="14" t="str">
        <f t="shared" ca="1" si="35"/>
        <v/>
      </c>
      <c r="C305" s="14" t="str">
        <f ca="1">IF(I304&lt;&gt;Variables!$B$1,IF(H304&lt;&gt;0,C304,I304),"")</f>
        <v/>
      </c>
      <c r="D305" s="29" t="str">
        <f t="shared" ca="1" si="32"/>
        <v/>
      </c>
      <c r="E305" s="29" t="str">
        <f t="shared" ca="1" si="33"/>
        <v/>
      </c>
      <c r="F305" s="29" t="str">
        <f ca="1">IF(C305&lt;&gt;"",IF(OR(VLOOKUP(C305,$C$3:$L$6,5,0)=Variables!$B$5,B305&gt;VLOOKUP(C305,$C$3:$L$6,8,0)),-D305*VLOOKUP(C305,$C$3:$L$6,6,0)/12,0),"")</f>
        <v/>
      </c>
      <c r="G305" s="29" t="str">
        <f ca="1">IF(I305&lt;&gt;Variables!$B$1,IF(C305&lt;&gt;"",$I$9-E305-F305,""),-D305)</f>
        <v/>
      </c>
      <c r="H305" s="29" t="str">
        <f t="shared" ca="1" si="36"/>
        <v/>
      </c>
      <c r="I305" s="31" t="str">
        <f ca="1">IF(C305&lt;&gt;"",IF(D305+$I$9-E305-F305&gt;=0,IF(ISERROR(INDEX($C$3:$C$6,MATCH(C305,$C$3:$C$6,0)+1,0)),Variables!$B$1,INDEX($C$3:$C$6,MATCH(C305,$C$3:$C$6,0)+1,0)),""),"")</f>
        <v/>
      </c>
      <c r="J305" s="29" t="str">
        <f ca="1">IF(ISERROR(VLOOKUP(I305,$C$3:$L$6,5,0)),"",IF(OR(VLOOKUP(I305,$C$3:$L$6,5,0)=Variables!$B$5,B305&gt;VLOOKUP(I305,$C$3:$L$6,8,0)),IF(VLOOKUP(I305,$C$3:$L$6,5,0)=Variables!$B$5,((YEAR(B305)-YEAR($B$12))*12+MONTH(B305)-MONTH($B$12)),((YEAR(B305)-YEAR(VLOOKUP(I305,$C$3:$L$6,8,0)))*12+MONTH(B305)-MONTH(VLOOKUP(I305,$C$3:$L$6,8,0))))*(VLOOKUP(I305,$C$3:$L$6,10,0)*VLOOKUP(I305,$C$3:$L$6,6,0)/12),0))</f>
        <v/>
      </c>
      <c r="K305" s="29" t="str">
        <f ca="1">IF(C305&lt;&gt;"",IF(I305&lt;&gt;"",IF(ISERROR(VLOOKUP(I305,$C$3:$L$6,10,0)),"",VLOOKUP(I305,$C$3:$L$6,10,0)+J305+IF(OR(VLOOKUP(I305,$C$3:$L$6,5,0)=Variables!$B$5,B305&gt;VLOOKUP(I305,$C$3:$L$6,8,0)),IF(VLOOKUP(I305,$C$3:$L$6,5,0)=Variables!$B$5,((YEAR(B305)-YEAR($B$12))*12+MONTH(B305)-MONTH($B$12)),((YEAR(B305)-YEAR(VLOOKUP(I305,$C$3:$L$6,8,0)))*12+MONTH(B305)-MONTH(VLOOKUP(I305,$C$3:$L$6,8,0))))*VLOOKUP(I305,$C$3:$L$6,7,0),0)),""),"")</f>
        <v/>
      </c>
      <c r="L305" s="29" t="str">
        <f t="shared" ca="1" si="34"/>
        <v/>
      </c>
      <c r="M305" s="10"/>
      <c r="N305" s="10"/>
    </row>
    <row r="306" spans="1:14" x14ac:dyDescent="0.25">
      <c r="A306" s="10"/>
      <c r="B306" s="14" t="str">
        <f t="shared" ca="1" si="35"/>
        <v/>
      </c>
      <c r="C306" s="14" t="str">
        <f ca="1">IF(I305&lt;&gt;Variables!$B$1,IF(H305&lt;&gt;0,C305,I305),"")</f>
        <v/>
      </c>
      <c r="D306" s="29" t="str">
        <f t="shared" ca="1" si="32"/>
        <v/>
      </c>
      <c r="E306" s="29" t="str">
        <f t="shared" ca="1" si="33"/>
        <v/>
      </c>
      <c r="F306" s="29" t="str">
        <f ca="1">IF(C306&lt;&gt;"",IF(OR(VLOOKUP(C306,$C$3:$L$6,5,0)=Variables!$B$5,B306&gt;VLOOKUP(C306,$C$3:$L$6,8,0)),-D306*VLOOKUP(C306,$C$3:$L$6,6,0)/12,0),"")</f>
        <v/>
      </c>
      <c r="G306" s="29" t="str">
        <f ca="1">IF(I306&lt;&gt;Variables!$B$1,IF(C306&lt;&gt;"",$I$9-E306-F306,""),-D306)</f>
        <v/>
      </c>
      <c r="H306" s="29" t="str">
        <f t="shared" ca="1" si="36"/>
        <v/>
      </c>
      <c r="I306" s="31" t="str">
        <f ca="1">IF(C306&lt;&gt;"",IF(D306+$I$9-E306-F306&gt;=0,IF(ISERROR(INDEX($C$3:$C$6,MATCH(C306,$C$3:$C$6,0)+1,0)),Variables!$B$1,INDEX($C$3:$C$6,MATCH(C306,$C$3:$C$6,0)+1,0)),""),"")</f>
        <v/>
      </c>
      <c r="J306" s="29" t="str">
        <f ca="1">IF(ISERROR(VLOOKUP(I306,$C$3:$L$6,5,0)),"",IF(OR(VLOOKUP(I306,$C$3:$L$6,5,0)=Variables!$B$5,B306&gt;VLOOKUP(I306,$C$3:$L$6,8,0)),IF(VLOOKUP(I306,$C$3:$L$6,5,0)=Variables!$B$5,((YEAR(B306)-YEAR($B$12))*12+MONTH(B306)-MONTH($B$12)),((YEAR(B306)-YEAR(VLOOKUP(I306,$C$3:$L$6,8,0)))*12+MONTH(B306)-MONTH(VLOOKUP(I306,$C$3:$L$6,8,0))))*(VLOOKUP(I306,$C$3:$L$6,10,0)*VLOOKUP(I306,$C$3:$L$6,6,0)/12),0))</f>
        <v/>
      </c>
      <c r="K306" s="29" t="str">
        <f ca="1">IF(C306&lt;&gt;"",IF(I306&lt;&gt;"",IF(ISERROR(VLOOKUP(I306,$C$3:$L$6,10,0)),"",VLOOKUP(I306,$C$3:$L$6,10,0)+J306+IF(OR(VLOOKUP(I306,$C$3:$L$6,5,0)=Variables!$B$5,B306&gt;VLOOKUP(I306,$C$3:$L$6,8,0)),IF(VLOOKUP(I306,$C$3:$L$6,5,0)=Variables!$B$5,((YEAR(B306)-YEAR($B$12))*12+MONTH(B306)-MONTH($B$12)),((YEAR(B306)-YEAR(VLOOKUP(I306,$C$3:$L$6,8,0)))*12+MONTH(B306)-MONTH(VLOOKUP(I306,$C$3:$L$6,8,0))))*VLOOKUP(I306,$C$3:$L$6,7,0),0)),""),"")</f>
        <v/>
      </c>
      <c r="L306" s="29" t="str">
        <f t="shared" ca="1" si="34"/>
        <v/>
      </c>
      <c r="M306" s="10"/>
      <c r="N306" s="10"/>
    </row>
    <row r="307" spans="1:14" x14ac:dyDescent="0.25">
      <c r="A307" s="10"/>
      <c r="B307" s="14" t="str">
        <f t="shared" ca="1" si="35"/>
        <v/>
      </c>
      <c r="C307" s="14" t="str">
        <f ca="1">IF(I306&lt;&gt;Variables!$B$1,IF(H306&lt;&gt;0,C306,I306),"")</f>
        <v/>
      </c>
      <c r="D307" s="29" t="str">
        <f t="shared" ca="1" si="32"/>
        <v/>
      </c>
      <c r="E307" s="29" t="str">
        <f t="shared" ca="1" si="33"/>
        <v/>
      </c>
      <c r="F307" s="29" t="str">
        <f ca="1">IF(C307&lt;&gt;"",IF(OR(VLOOKUP(C307,$C$3:$L$6,5,0)=Variables!$B$5,B307&gt;VLOOKUP(C307,$C$3:$L$6,8,0)),-D307*VLOOKUP(C307,$C$3:$L$6,6,0)/12,0),"")</f>
        <v/>
      </c>
      <c r="G307" s="29" t="str">
        <f ca="1">IF(I307&lt;&gt;Variables!$B$1,IF(C307&lt;&gt;"",$I$9-E307-F307,""),-D307)</f>
        <v/>
      </c>
      <c r="H307" s="29" t="str">
        <f t="shared" ca="1" si="36"/>
        <v/>
      </c>
      <c r="I307" s="31" t="str">
        <f ca="1">IF(C307&lt;&gt;"",IF(D307+$I$9-E307-F307&gt;=0,IF(ISERROR(INDEX($C$3:$C$6,MATCH(C307,$C$3:$C$6,0)+1,0)),Variables!$B$1,INDEX($C$3:$C$6,MATCH(C307,$C$3:$C$6,0)+1,0)),""),"")</f>
        <v/>
      </c>
      <c r="J307" s="29" t="str">
        <f ca="1">IF(ISERROR(VLOOKUP(I307,$C$3:$L$6,5,0)),"",IF(OR(VLOOKUP(I307,$C$3:$L$6,5,0)=Variables!$B$5,B307&gt;VLOOKUP(I307,$C$3:$L$6,8,0)),IF(VLOOKUP(I307,$C$3:$L$6,5,0)=Variables!$B$5,((YEAR(B307)-YEAR($B$12))*12+MONTH(B307)-MONTH($B$12)),((YEAR(B307)-YEAR(VLOOKUP(I307,$C$3:$L$6,8,0)))*12+MONTH(B307)-MONTH(VLOOKUP(I307,$C$3:$L$6,8,0))))*(VLOOKUP(I307,$C$3:$L$6,10,0)*VLOOKUP(I307,$C$3:$L$6,6,0)/12),0))</f>
        <v/>
      </c>
      <c r="K307" s="29" t="str">
        <f ca="1">IF(C307&lt;&gt;"",IF(I307&lt;&gt;"",IF(ISERROR(VLOOKUP(I307,$C$3:$L$6,10,0)),"",VLOOKUP(I307,$C$3:$L$6,10,0)+J307+IF(OR(VLOOKUP(I307,$C$3:$L$6,5,0)=Variables!$B$5,B307&gt;VLOOKUP(I307,$C$3:$L$6,8,0)),IF(VLOOKUP(I307,$C$3:$L$6,5,0)=Variables!$B$5,((YEAR(B307)-YEAR($B$12))*12+MONTH(B307)-MONTH($B$12)),((YEAR(B307)-YEAR(VLOOKUP(I307,$C$3:$L$6,8,0)))*12+MONTH(B307)-MONTH(VLOOKUP(I307,$C$3:$L$6,8,0))))*VLOOKUP(I307,$C$3:$L$6,7,0),0)),""),"")</f>
        <v/>
      </c>
      <c r="L307" s="29" t="str">
        <f t="shared" ca="1" si="34"/>
        <v/>
      </c>
      <c r="M307" s="10"/>
      <c r="N307" s="10"/>
    </row>
    <row r="308" spans="1:14" x14ac:dyDescent="0.25">
      <c r="A308" s="10"/>
      <c r="B308" s="14" t="str">
        <f t="shared" ca="1" si="35"/>
        <v/>
      </c>
      <c r="C308" s="14" t="str">
        <f ca="1">IF(I307&lt;&gt;Variables!$B$1,IF(H307&lt;&gt;0,C307,I307),"")</f>
        <v/>
      </c>
      <c r="D308" s="29" t="str">
        <f t="shared" ca="1" si="32"/>
        <v/>
      </c>
      <c r="E308" s="29" t="str">
        <f t="shared" ca="1" si="33"/>
        <v/>
      </c>
      <c r="F308" s="29" t="str">
        <f ca="1">IF(C308&lt;&gt;"",IF(OR(VLOOKUP(C308,$C$3:$L$6,5,0)=Variables!$B$5,B308&gt;VLOOKUP(C308,$C$3:$L$6,8,0)),-D308*VLOOKUP(C308,$C$3:$L$6,6,0)/12,0),"")</f>
        <v/>
      </c>
      <c r="G308" s="29" t="str">
        <f ca="1">IF(I308&lt;&gt;Variables!$B$1,IF(C308&lt;&gt;"",$I$9-E308-F308,""),-D308)</f>
        <v/>
      </c>
      <c r="H308" s="29" t="str">
        <f t="shared" ca="1" si="36"/>
        <v/>
      </c>
      <c r="I308" s="31" t="str">
        <f ca="1">IF(C308&lt;&gt;"",IF(D308+$I$9-E308-F308&gt;=0,IF(ISERROR(INDEX($C$3:$C$6,MATCH(C308,$C$3:$C$6,0)+1,0)),Variables!$B$1,INDEX($C$3:$C$6,MATCH(C308,$C$3:$C$6,0)+1,0)),""),"")</f>
        <v/>
      </c>
      <c r="J308" s="29" t="str">
        <f ca="1">IF(ISERROR(VLOOKUP(I308,$C$3:$L$6,5,0)),"",IF(OR(VLOOKUP(I308,$C$3:$L$6,5,0)=Variables!$B$5,B308&gt;VLOOKUP(I308,$C$3:$L$6,8,0)),IF(VLOOKUP(I308,$C$3:$L$6,5,0)=Variables!$B$5,((YEAR(B308)-YEAR($B$12))*12+MONTH(B308)-MONTH($B$12)),((YEAR(B308)-YEAR(VLOOKUP(I308,$C$3:$L$6,8,0)))*12+MONTH(B308)-MONTH(VLOOKUP(I308,$C$3:$L$6,8,0))))*(VLOOKUP(I308,$C$3:$L$6,10,0)*VLOOKUP(I308,$C$3:$L$6,6,0)/12),0))</f>
        <v/>
      </c>
      <c r="K308" s="29" t="str">
        <f ca="1">IF(C308&lt;&gt;"",IF(I308&lt;&gt;"",IF(ISERROR(VLOOKUP(I308,$C$3:$L$6,10,0)),"",VLOOKUP(I308,$C$3:$L$6,10,0)+J308+IF(OR(VLOOKUP(I308,$C$3:$L$6,5,0)=Variables!$B$5,B308&gt;VLOOKUP(I308,$C$3:$L$6,8,0)),IF(VLOOKUP(I308,$C$3:$L$6,5,0)=Variables!$B$5,((YEAR(B308)-YEAR($B$12))*12+MONTH(B308)-MONTH($B$12)),((YEAR(B308)-YEAR(VLOOKUP(I308,$C$3:$L$6,8,0)))*12+MONTH(B308)-MONTH(VLOOKUP(I308,$C$3:$L$6,8,0))))*VLOOKUP(I308,$C$3:$L$6,7,0),0)),""),"")</f>
        <v/>
      </c>
      <c r="L308" s="29" t="str">
        <f t="shared" ca="1" si="34"/>
        <v/>
      </c>
      <c r="M308" s="10"/>
      <c r="N308" s="10"/>
    </row>
    <row r="309" spans="1:14" x14ac:dyDescent="0.25">
      <c r="A309" s="10"/>
      <c r="B309" s="14" t="str">
        <f t="shared" ca="1" si="35"/>
        <v/>
      </c>
      <c r="C309" s="14" t="str">
        <f ca="1">IF(I308&lt;&gt;Variables!$B$1,IF(H308&lt;&gt;0,C308,I308),"")</f>
        <v/>
      </c>
      <c r="D309" s="29" t="str">
        <f t="shared" ca="1" si="32"/>
        <v/>
      </c>
      <c r="E309" s="29" t="str">
        <f t="shared" ca="1" si="33"/>
        <v/>
      </c>
      <c r="F309" s="29" t="str">
        <f ca="1">IF(C309&lt;&gt;"",IF(OR(VLOOKUP(C309,$C$3:$L$6,5,0)=Variables!$B$5,B309&gt;VLOOKUP(C309,$C$3:$L$6,8,0)),-D309*VLOOKUP(C309,$C$3:$L$6,6,0)/12,0),"")</f>
        <v/>
      </c>
      <c r="G309" s="29" t="str">
        <f ca="1">IF(I309&lt;&gt;Variables!$B$1,IF(C309&lt;&gt;"",$I$9-E309-F309,""),-D309)</f>
        <v/>
      </c>
      <c r="H309" s="29" t="str">
        <f t="shared" ca="1" si="36"/>
        <v/>
      </c>
      <c r="I309" s="31" t="str">
        <f ca="1">IF(C309&lt;&gt;"",IF(D309+$I$9-E309-F309&gt;=0,IF(ISERROR(INDEX($C$3:$C$6,MATCH(C309,$C$3:$C$6,0)+1,0)),Variables!$B$1,INDEX($C$3:$C$6,MATCH(C309,$C$3:$C$6,0)+1,0)),""),"")</f>
        <v/>
      </c>
      <c r="J309" s="29" t="str">
        <f ca="1">IF(ISERROR(VLOOKUP(I309,$C$3:$L$6,5,0)),"",IF(OR(VLOOKUP(I309,$C$3:$L$6,5,0)=Variables!$B$5,B309&gt;VLOOKUP(I309,$C$3:$L$6,8,0)),IF(VLOOKUP(I309,$C$3:$L$6,5,0)=Variables!$B$5,((YEAR(B309)-YEAR($B$12))*12+MONTH(B309)-MONTH($B$12)),((YEAR(B309)-YEAR(VLOOKUP(I309,$C$3:$L$6,8,0)))*12+MONTH(B309)-MONTH(VLOOKUP(I309,$C$3:$L$6,8,0))))*(VLOOKUP(I309,$C$3:$L$6,10,0)*VLOOKUP(I309,$C$3:$L$6,6,0)/12),0))</f>
        <v/>
      </c>
      <c r="K309" s="29" t="str">
        <f ca="1">IF(C309&lt;&gt;"",IF(I309&lt;&gt;"",IF(ISERROR(VLOOKUP(I309,$C$3:$L$6,10,0)),"",VLOOKUP(I309,$C$3:$L$6,10,0)+J309+IF(OR(VLOOKUP(I309,$C$3:$L$6,5,0)=Variables!$B$5,B309&gt;VLOOKUP(I309,$C$3:$L$6,8,0)),IF(VLOOKUP(I309,$C$3:$L$6,5,0)=Variables!$B$5,((YEAR(B309)-YEAR($B$12))*12+MONTH(B309)-MONTH($B$12)),((YEAR(B309)-YEAR(VLOOKUP(I309,$C$3:$L$6,8,0)))*12+MONTH(B309)-MONTH(VLOOKUP(I309,$C$3:$L$6,8,0))))*VLOOKUP(I309,$C$3:$L$6,7,0),0)),""),"")</f>
        <v/>
      </c>
      <c r="L309" s="29" t="str">
        <f t="shared" ca="1" si="34"/>
        <v/>
      </c>
      <c r="M309" s="10"/>
      <c r="N309" s="10"/>
    </row>
    <row r="310" spans="1:14" x14ac:dyDescent="0.25">
      <c r="A310" s="10"/>
      <c r="B310" s="14" t="str">
        <f t="shared" ca="1" si="35"/>
        <v/>
      </c>
      <c r="C310" s="14" t="str">
        <f ca="1">IF(I309&lt;&gt;Variables!$B$1,IF(H309&lt;&gt;0,C309,I309),"")</f>
        <v/>
      </c>
      <c r="D310" s="29" t="str">
        <f t="shared" ca="1" si="32"/>
        <v/>
      </c>
      <c r="E310" s="29" t="str">
        <f t="shared" ca="1" si="33"/>
        <v/>
      </c>
      <c r="F310" s="29" t="str">
        <f ca="1">IF(C310&lt;&gt;"",IF(OR(VLOOKUP(C310,$C$3:$L$6,5,0)=Variables!$B$5,B310&gt;VLOOKUP(C310,$C$3:$L$6,8,0)),-D310*VLOOKUP(C310,$C$3:$L$6,6,0)/12,0),"")</f>
        <v/>
      </c>
      <c r="G310" s="29" t="str">
        <f ca="1">IF(I310&lt;&gt;Variables!$B$1,IF(C310&lt;&gt;"",$I$9-E310-F310,""),-D310)</f>
        <v/>
      </c>
      <c r="H310" s="29" t="str">
        <f t="shared" ca="1" si="36"/>
        <v/>
      </c>
      <c r="I310" s="31" t="str">
        <f ca="1">IF(C310&lt;&gt;"",IF(D310+$I$9-E310-F310&gt;=0,IF(ISERROR(INDEX($C$3:$C$6,MATCH(C310,$C$3:$C$6,0)+1,0)),Variables!$B$1,INDEX($C$3:$C$6,MATCH(C310,$C$3:$C$6,0)+1,0)),""),"")</f>
        <v/>
      </c>
      <c r="J310" s="29" t="str">
        <f ca="1">IF(ISERROR(VLOOKUP(I310,$C$3:$L$6,5,0)),"",IF(OR(VLOOKUP(I310,$C$3:$L$6,5,0)=Variables!$B$5,B310&gt;VLOOKUP(I310,$C$3:$L$6,8,0)),IF(VLOOKUP(I310,$C$3:$L$6,5,0)=Variables!$B$5,((YEAR(B310)-YEAR($B$12))*12+MONTH(B310)-MONTH($B$12)),((YEAR(B310)-YEAR(VLOOKUP(I310,$C$3:$L$6,8,0)))*12+MONTH(B310)-MONTH(VLOOKUP(I310,$C$3:$L$6,8,0))))*(VLOOKUP(I310,$C$3:$L$6,10,0)*VLOOKUP(I310,$C$3:$L$6,6,0)/12),0))</f>
        <v/>
      </c>
      <c r="K310" s="29" t="str">
        <f ca="1">IF(C310&lt;&gt;"",IF(I310&lt;&gt;"",IF(ISERROR(VLOOKUP(I310,$C$3:$L$6,10,0)),"",VLOOKUP(I310,$C$3:$L$6,10,0)+J310+IF(OR(VLOOKUP(I310,$C$3:$L$6,5,0)=Variables!$B$5,B310&gt;VLOOKUP(I310,$C$3:$L$6,8,0)),IF(VLOOKUP(I310,$C$3:$L$6,5,0)=Variables!$B$5,((YEAR(B310)-YEAR($B$12))*12+MONTH(B310)-MONTH($B$12)),((YEAR(B310)-YEAR(VLOOKUP(I310,$C$3:$L$6,8,0)))*12+MONTH(B310)-MONTH(VLOOKUP(I310,$C$3:$L$6,8,0))))*VLOOKUP(I310,$C$3:$L$6,7,0),0)),""),"")</f>
        <v/>
      </c>
      <c r="L310" s="29" t="str">
        <f t="shared" ca="1" si="34"/>
        <v/>
      </c>
      <c r="M310" s="10"/>
      <c r="N310" s="10"/>
    </row>
    <row r="311" spans="1:14" x14ac:dyDescent="0.25">
      <c r="A311" s="10"/>
      <c r="B311" s="14" t="str">
        <f t="shared" ca="1" si="35"/>
        <v/>
      </c>
      <c r="C311" s="14" t="str">
        <f ca="1">IF(I310&lt;&gt;Variables!$B$1,IF(H310&lt;&gt;0,C310,I310),"")</f>
        <v/>
      </c>
      <c r="D311" s="29" t="str">
        <f t="shared" ca="1" si="32"/>
        <v/>
      </c>
      <c r="E311" s="29" t="str">
        <f t="shared" ca="1" si="33"/>
        <v/>
      </c>
      <c r="F311" s="29" t="str">
        <f ca="1">IF(C311&lt;&gt;"",IF(OR(VLOOKUP(C311,$C$3:$L$6,5,0)=Variables!$B$5,B311&gt;VLOOKUP(C311,$C$3:$L$6,8,0)),-D311*VLOOKUP(C311,$C$3:$L$6,6,0)/12,0),"")</f>
        <v/>
      </c>
      <c r="G311" s="29" t="str">
        <f ca="1">IF(I311&lt;&gt;Variables!$B$1,IF(C311&lt;&gt;"",$I$9-E311-F311,""),-D311)</f>
        <v/>
      </c>
      <c r="H311" s="29" t="str">
        <f t="shared" ca="1" si="36"/>
        <v/>
      </c>
      <c r="I311" s="31" t="str">
        <f ca="1">IF(C311&lt;&gt;"",IF(D311+$I$9-E311-F311&gt;=0,IF(ISERROR(INDEX($C$3:$C$6,MATCH(C311,$C$3:$C$6,0)+1,0)),Variables!$B$1,INDEX($C$3:$C$6,MATCH(C311,$C$3:$C$6,0)+1,0)),""),"")</f>
        <v/>
      </c>
      <c r="J311" s="29" t="str">
        <f ca="1">IF(ISERROR(VLOOKUP(I311,$C$3:$L$6,5,0)),"",IF(OR(VLOOKUP(I311,$C$3:$L$6,5,0)=Variables!$B$5,B311&gt;VLOOKUP(I311,$C$3:$L$6,8,0)),IF(VLOOKUP(I311,$C$3:$L$6,5,0)=Variables!$B$5,((YEAR(B311)-YEAR($B$12))*12+MONTH(B311)-MONTH($B$12)),((YEAR(B311)-YEAR(VLOOKUP(I311,$C$3:$L$6,8,0)))*12+MONTH(B311)-MONTH(VLOOKUP(I311,$C$3:$L$6,8,0))))*(VLOOKUP(I311,$C$3:$L$6,10,0)*VLOOKUP(I311,$C$3:$L$6,6,0)/12),0))</f>
        <v/>
      </c>
      <c r="K311" s="29" t="str">
        <f ca="1">IF(C311&lt;&gt;"",IF(I311&lt;&gt;"",IF(ISERROR(VLOOKUP(I311,$C$3:$L$6,10,0)),"",VLOOKUP(I311,$C$3:$L$6,10,0)+J311+IF(OR(VLOOKUP(I311,$C$3:$L$6,5,0)=Variables!$B$5,B311&gt;VLOOKUP(I311,$C$3:$L$6,8,0)),IF(VLOOKUP(I311,$C$3:$L$6,5,0)=Variables!$B$5,((YEAR(B311)-YEAR($B$12))*12+MONTH(B311)-MONTH($B$12)),((YEAR(B311)-YEAR(VLOOKUP(I311,$C$3:$L$6,8,0)))*12+MONTH(B311)-MONTH(VLOOKUP(I311,$C$3:$L$6,8,0))))*VLOOKUP(I311,$C$3:$L$6,7,0),0)),""),"")</f>
        <v/>
      </c>
      <c r="L311" s="29" t="str">
        <f t="shared" ca="1" si="34"/>
        <v/>
      </c>
      <c r="M311" s="10"/>
      <c r="N311" s="10"/>
    </row>
    <row r="312" spans="1:14" x14ac:dyDescent="0.25">
      <c r="A312" s="10"/>
      <c r="B312" s="14" t="str">
        <f t="shared" ca="1" si="35"/>
        <v/>
      </c>
      <c r="C312" s="14" t="str">
        <f ca="1">IF(I311&lt;&gt;Variables!$B$1,IF(H311&lt;&gt;0,C311,I311),"")</f>
        <v/>
      </c>
      <c r="D312" s="29" t="str">
        <f t="shared" ca="1" si="32"/>
        <v/>
      </c>
      <c r="E312" s="29" t="str">
        <f t="shared" ca="1" si="33"/>
        <v/>
      </c>
      <c r="F312" s="29" t="str">
        <f ca="1">IF(C312&lt;&gt;"",IF(OR(VLOOKUP(C312,$C$3:$L$6,5,0)=Variables!$B$5,B312&gt;VLOOKUP(C312,$C$3:$L$6,8,0)),-D312*VLOOKUP(C312,$C$3:$L$6,6,0)/12,0),"")</f>
        <v/>
      </c>
      <c r="G312" s="29" t="str">
        <f ca="1">IF(I312&lt;&gt;Variables!$B$1,IF(C312&lt;&gt;"",$I$9-E312-F312,""),-D312)</f>
        <v/>
      </c>
      <c r="H312" s="29" t="str">
        <f t="shared" ca="1" si="36"/>
        <v/>
      </c>
      <c r="I312" s="31" t="str">
        <f ca="1">IF(C312&lt;&gt;"",IF(D312+$I$9-E312-F312&gt;=0,IF(ISERROR(INDEX($C$3:$C$6,MATCH(C312,$C$3:$C$6,0)+1,0)),Variables!$B$1,INDEX($C$3:$C$6,MATCH(C312,$C$3:$C$6,0)+1,0)),""),"")</f>
        <v/>
      </c>
      <c r="J312" s="29" t="str">
        <f ca="1">IF(ISERROR(VLOOKUP(I312,$C$3:$L$6,5,0)),"",IF(OR(VLOOKUP(I312,$C$3:$L$6,5,0)=Variables!$B$5,B312&gt;VLOOKUP(I312,$C$3:$L$6,8,0)),IF(VLOOKUP(I312,$C$3:$L$6,5,0)=Variables!$B$5,((YEAR(B312)-YEAR($B$12))*12+MONTH(B312)-MONTH($B$12)),((YEAR(B312)-YEAR(VLOOKUP(I312,$C$3:$L$6,8,0)))*12+MONTH(B312)-MONTH(VLOOKUP(I312,$C$3:$L$6,8,0))))*(VLOOKUP(I312,$C$3:$L$6,10,0)*VLOOKUP(I312,$C$3:$L$6,6,0)/12),0))</f>
        <v/>
      </c>
      <c r="K312" s="29" t="str">
        <f ca="1">IF(C312&lt;&gt;"",IF(I312&lt;&gt;"",IF(ISERROR(VLOOKUP(I312,$C$3:$L$6,10,0)),"",VLOOKUP(I312,$C$3:$L$6,10,0)+J312+IF(OR(VLOOKUP(I312,$C$3:$L$6,5,0)=Variables!$B$5,B312&gt;VLOOKUP(I312,$C$3:$L$6,8,0)),IF(VLOOKUP(I312,$C$3:$L$6,5,0)=Variables!$B$5,((YEAR(B312)-YEAR($B$12))*12+MONTH(B312)-MONTH($B$12)),((YEAR(B312)-YEAR(VLOOKUP(I312,$C$3:$L$6,8,0)))*12+MONTH(B312)-MONTH(VLOOKUP(I312,$C$3:$L$6,8,0))))*VLOOKUP(I312,$C$3:$L$6,7,0),0)),""),"")</f>
        <v/>
      </c>
      <c r="L312" s="29" t="str">
        <f t="shared" ca="1" si="34"/>
        <v/>
      </c>
      <c r="M312" s="10"/>
      <c r="N312" s="10"/>
    </row>
    <row r="313" spans="1:14" x14ac:dyDescent="0.25">
      <c r="A313" s="10"/>
      <c r="B313" s="14" t="str">
        <f t="shared" ca="1" si="35"/>
        <v/>
      </c>
      <c r="C313" s="14" t="str">
        <f ca="1">IF(I312&lt;&gt;Variables!$B$1,IF(H312&lt;&gt;0,C312,I312),"")</f>
        <v/>
      </c>
      <c r="D313" s="29" t="str">
        <f t="shared" ca="1" si="32"/>
        <v/>
      </c>
      <c r="E313" s="29" t="str">
        <f t="shared" ca="1" si="33"/>
        <v/>
      </c>
      <c r="F313" s="29" t="str">
        <f ca="1">IF(C313&lt;&gt;"",IF(OR(VLOOKUP(C313,$C$3:$L$6,5,0)=Variables!$B$5,B313&gt;VLOOKUP(C313,$C$3:$L$6,8,0)),-D313*VLOOKUP(C313,$C$3:$L$6,6,0)/12,0),"")</f>
        <v/>
      </c>
      <c r="G313" s="29" t="str">
        <f ca="1">IF(I313&lt;&gt;Variables!$B$1,IF(C313&lt;&gt;"",$I$9-E313-F313,""),-D313)</f>
        <v/>
      </c>
      <c r="H313" s="29" t="str">
        <f t="shared" ca="1" si="36"/>
        <v/>
      </c>
      <c r="I313" s="31" t="str">
        <f ca="1">IF(C313&lt;&gt;"",IF(D313+$I$9-E313-F313&gt;=0,IF(ISERROR(INDEX($C$3:$C$6,MATCH(C313,$C$3:$C$6,0)+1,0)),Variables!$B$1,INDEX($C$3:$C$6,MATCH(C313,$C$3:$C$6,0)+1,0)),""),"")</f>
        <v/>
      </c>
      <c r="J313" s="29" t="str">
        <f ca="1">IF(ISERROR(VLOOKUP(I313,$C$3:$L$6,5,0)),"",IF(OR(VLOOKUP(I313,$C$3:$L$6,5,0)=Variables!$B$5,B313&gt;VLOOKUP(I313,$C$3:$L$6,8,0)),IF(VLOOKUP(I313,$C$3:$L$6,5,0)=Variables!$B$5,((YEAR(B313)-YEAR($B$12))*12+MONTH(B313)-MONTH($B$12)),((YEAR(B313)-YEAR(VLOOKUP(I313,$C$3:$L$6,8,0)))*12+MONTH(B313)-MONTH(VLOOKUP(I313,$C$3:$L$6,8,0))))*(VLOOKUP(I313,$C$3:$L$6,10,0)*VLOOKUP(I313,$C$3:$L$6,6,0)/12),0))</f>
        <v/>
      </c>
      <c r="K313" s="29" t="str">
        <f ca="1">IF(C313&lt;&gt;"",IF(I313&lt;&gt;"",IF(ISERROR(VLOOKUP(I313,$C$3:$L$6,10,0)),"",VLOOKUP(I313,$C$3:$L$6,10,0)+J313+IF(OR(VLOOKUP(I313,$C$3:$L$6,5,0)=Variables!$B$5,B313&gt;VLOOKUP(I313,$C$3:$L$6,8,0)),IF(VLOOKUP(I313,$C$3:$L$6,5,0)=Variables!$B$5,((YEAR(B313)-YEAR($B$12))*12+MONTH(B313)-MONTH($B$12)),((YEAR(B313)-YEAR(VLOOKUP(I313,$C$3:$L$6,8,0)))*12+MONTH(B313)-MONTH(VLOOKUP(I313,$C$3:$L$6,8,0))))*VLOOKUP(I313,$C$3:$L$6,7,0),0)),""),"")</f>
        <v/>
      </c>
      <c r="L313" s="29" t="str">
        <f t="shared" ca="1" si="34"/>
        <v/>
      </c>
      <c r="M313" s="10"/>
      <c r="N313" s="10"/>
    </row>
    <row r="314" spans="1:14" x14ac:dyDescent="0.25">
      <c r="A314" s="10"/>
      <c r="B314" s="14" t="str">
        <f t="shared" ca="1" si="35"/>
        <v/>
      </c>
      <c r="C314" s="14" t="str">
        <f ca="1">IF(I313&lt;&gt;Variables!$B$1,IF(H313&lt;&gt;0,C313,I313),"")</f>
        <v/>
      </c>
      <c r="D314" s="29" t="str">
        <f t="shared" ca="1" si="32"/>
        <v/>
      </c>
      <c r="E314" s="29" t="str">
        <f t="shared" ca="1" si="33"/>
        <v/>
      </c>
      <c r="F314" s="29" t="str">
        <f ca="1">IF(C314&lt;&gt;"",IF(OR(VLOOKUP(C314,$C$3:$L$6,5,0)=Variables!$B$5,B314&gt;VLOOKUP(C314,$C$3:$L$6,8,0)),-D314*VLOOKUP(C314,$C$3:$L$6,6,0)/12,0),"")</f>
        <v/>
      </c>
      <c r="G314" s="29" t="str">
        <f ca="1">IF(I314&lt;&gt;Variables!$B$1,IF(C314&lt;&gt;"",$I$9-E314-F314,""),-D314)</f>
        <v/>
      </c>
      <c r="H314" s="29" t="str">
        <f t="shared" ca="1" si="36"/>
        <v/>
      </c>
      <c r="I314" s="31" t="str">
        <f ca="1">IF(C314&lt;&gt;"",IF(D314+$I$9-E314-F314&gt;=0,IF(ISERROR(INDEX($C$3:$C$6,MATCH(C314,$C$3:$C$6,0)+1,0)),Variables!$B$1,INDEX($C$3:$C$6,MATCH(C314,$C$3:$C$6,0)+1,0)),""),"")</f>
        <v/>
      </c>
      <c r="J314" s="29" t="str">
        <f ca="1">IF(ISERROR(VLOOKUP(I314,$C$3:$L$6,5,0)),"",IF(OR(VLOOKUP(I314,$C$3:$L$6,5,0)=Variables!$B$5,B314&gt;VLOOKUP(I314,$C$3:$L$6,8,0)),IF(VLOOKUP(I314,$C$3:$L$6,5,0)=Variables!$B$5,((YEAR(B314)-YEAR($B$12))*12+MONTH(B314)-MONTH($B$12)),((YEAR(B314)-YEAR(VLOOKUP(I314,$C$3:$L$6,8,0)))*12+MONTH(B314)-MONTH(VLOOKUP(I314,$C$3:$L$6,8,0))))*(VLOOKUP(I314,$C$3:$L$6,10,0)*VLOOKUP(I314,$C$3:$L$6,6,0)/12),0))</f>
        <v/>
      </c>
      <c r="K314" s="29" t="str">
        <f ca="1">IF(C314&lt;&gt;"",IF(I314&lt;&gt;"",IF(ISERROR(VLOOKUP(I314,$C$3:$L$6,10,0)),"",VLOOKUP(I314,$C$3:$L$6,10,0)+J314+IF(OR(VLOOKUP(I314,$C$3:$L$6,5,0)=Variables!$B$5,B314&gt;VLOOKUP(I314,$C$3:$L$6,8,0)),IF(VLOOKUP(I314,$C$3:$L$6,5,0)=Variables!$B$5,((YEAR(B314)-YEAR($B$12))*12+MONTH(B314)-MONTH($B$12)),((YEAR(B314)-YEAR(VLOOKUP(I314,$C$3:$L$6,8,0)))*12+MONTH(B314)-MONTH(VLOOKUP(I314,$C$3:$L$6,8,0))))*VLOOKUP(I314,$C$3:$L$6,7,0),0)),""),"")</f>
        <v/>
      </c>
      <c r="L314" s="29" t="str">
        <f t="shared" ca="1" si="34"/>
        <v/>
      </c>
      <c r="M314" s="10"/>
      <c r="N314" s="10"/>
    </row>
    <row r="315" spans="1:14" x14ac:dyDescent="0.25">
      <c r="A315" s="10"/>
      <c r="B315" s="14" t="str">
        <f t="shared" ca="1" si="35"/>
        <v/>
      </c>
      <c r="C315" s="14" t="str">
        <f ca="1">IF(I314&lt;&gt;Variables!$B$1,IF(H314&lt;&gt;0,C314,I314),"")</f>
        <v/>
      </c>
      <c r="D315" s="29" t="str">
        <f t="shared" ca="1" si="32"/>
        <v/>
      </c>
      <c r="E315" s="29" t="str">
        <f t="shared" ca="1" si="33"/>
        <v/>
      </c>
      <c r="F315" s="29" t="str">
        <f ca="1">IF(C315&lt;&gt;"",IF(OR(VLOOKUP(C315,$C$3:$L$6,5,0)=Variables!$B$5,B315&gt;VLOOKUP(C315,$C$3:$L$6,8,0)),-D315*VLOOKUP(C315,$C$3:$L$6,6,0)/12,0),"")</f>
        <v/>
      </c>
      <c r="G315" s="29" t="str">
        <f ca="1">IF(I315&lt;&gt;Variables!$B$1,IF(C315&lt;&gt;"",$I$9-E315-F315,""),-D315)</f>
        <v/>
      </c>
      <c r="H315" s="29" t="str">
        <f t="shared" ca="1" si="36"/>
        <v/>
      </c>
      <c r="I315" s="31" t="str">
        <f ca="1">IF(C315&lt;&gt;"",IF(D315+$I$9-E315-F315&gt;=0,IF(ISERROR(INDEX($C$3:$C$6,MATCH(C315,$C$3:$C$6,0)+1,0)),Variables!$B$1,INDEX($C$3:$C$6,MATCH(C315,$C$3:$C$6,0)+1,0)),""),"")</f>
        <v/>
      </c>
      <c r="J315" s="29" t="str">
        <f ca="1">IF(ISERROR(VLOOKUP(I315,$C$3:$L$6,5,0)),"",IF(OR(VLOOKUP(I315,$C$3:$L$6,5,0)=Variables!$B$5,B315&gt;VLOOKUP(I315,$C$3:$L$6,8,0)),IF(VLOOKUP(I315,$C$3:$L$6,5,0)=Variables!$B$5,((YEAR(B315)-YEAR($B$12))*12+MONTH(B315)-MONTH($B$12)),((YEAR(B315)-YEAR(VLOOKUP(I315,$C$3:$L$6,8,0)))*12+MONTH(B315)-MONTH(VLOOKUP(I315,$C$3:$L$6,8,0))))*(VLOOKUP(I315,$C$3:$L$6,10,0)*VLOOKUP(I315,$C$3:$L$6,6,0)/12),0))</f>
        <v/>
      </c>
      <c r="K315" s="29" t="str">
        <f ca="1">IF(C315&lt;&gt;"",IF(I315&lt;&gt;"",IF(ISERROR(VLOOKUP(I315,$C$3:$L$6,10,0)),"",VLOOKUP(I315,$C$3:$L$6,10,0)+J315+IF(OR(VLOOKUP(I315,$C$3:$L$6,5,0)=Variables!$B$5,B315&gt;VLOOKUP(I315,$C$3:$L$6,8,0)),IF(VLOOKUP(I315,$C$3:$L$6,5,0)=Variables!$B$5,((YEAR(B315)-YEAR($B$12))*12+MONTH(B315)-MONTH($B$12)),((YEAR(B315)-YEAR(VLOOKUP(I315,$C$3:$L$6,8,0)))*12+MONTH(B315)-MONTH(VLOOKUP(I315,$C$3:$L$6,8,0))))*VLOOKUP(I315,$C$3:$L$6,7,0),0)),""),"")</f>
        <v/>
      </c>
      <c r="L315" s="29" t="str">
        <f t="shared" ca="1" si="34"/>
        <v/>
      </c>
      <c r="M315" s="10"/>
      <c r="N315" s="10"/>
    </row>
    <row r="316" spans="1:14" x14ac:dyDescent="0.25">
      <c r="A316" s="10"/>
      <c r="B316" s="14" t="str">
        <f t="shared" ca="1" si="35"/>
        <v/>
      </c>
      <c r="C316" s="14" t="str">
        <f ca="1">IF(I315&lt;&gt;Variables!$B$1,IF(H315&lt;&gt;0,C315,I315),"")</f>
        <v/>
      </c>
      <c r="D316" s="29" t="str">
        <f t="shared" ca="1" si="32"/>
        <v/>
      </c>
      <c r="E316" s="29" t="str">
        <f t="shared" ca="1" si="33"/>
        <v/>
      </c>
      <c r="F316" s="29" t="str">
        <f ca="1">IF(C316&lt;&gt;"",IF(OR(VLOOKUP(C316,$C$3:$L$6,5,0)=Variables!$B$5,B316&gt;VLOOKUP(C316,$C$3:$L$6,8,0)),-D316*VLOOKUP(C316,$C$3:$L$6,6,0)/12,0),"")</f>
        <v/>
      </c>
      <c r="G316" s="29" t="str">
        <f ca="1">IF(I316&lt;&gt;Variables!$B$1,IF(C316&lt;&gt;"",$I$9-E316-F316,""),-D316)</f>
        <v/>
      </c>
      <c r="H316" s="29" t="str">
        <f t="shared" ca="1" si="36"/>
        <v/>
      </c>
      <c r="I316" s="31" t="str">
        <f ca="1">IF(C316&lt;&gt;"",IF(D316+$I$9-E316-F316&gt;=0,IF(ISERROR(INDEX($C$3:$C$6,MATCH(C316,$C$3:$C$6,0)+1,0)),Variables!$B$1,INDEX($C$3:$C$6,MATCH(C316,$C$3:$C$6,0)+1,0)),""),"")</f>
        <v/>
      </c>
      <c r="J316" s="29" t="str">
        <f ca="1">IF(ISERROR(VLOOKUP(I316,$C$3:$L$6,5,0)),"",IF(OR(VLOOKUP(I316,$C$3:$L$6,5,0)=Variables!$B$5,B316&gt;VLOOKUP(I316,$C$3:$L$6,8,0)),IF(VLOOKUP(I316,$C$3:$L$6,5,0)=Variables!$B$5,((YEAR(B316)-YEAR($B$12))*12+MONTH(B316)-MONTH($B$12)),((YEAR(B316)-YEAR(VLOOKUP(I316,$C$3:$L$6,8,0)))*12+MONTH(B316)-MONTH(VLOOKUP(I316,$C$3:$L$6,8,0))))*(VLOOKUP(I316,$C$3:$L$6,10,0)*VLOOKUP(I316,$C$3:$L$6,6,0)/12),0))</f>
        <v/>
      </c>
      <c r="K316" s="29" t="str">
        <f ca="1">IF(C316&lt;&gt;"",IF(I316&lt;&gt;"",IF(ISERROR(VLOOKUP(I316,$C$3:$L$6,10,0)),"",VLOOKUP(I316,$C$3:$L$6,10,0)+J316+IF(OR(VLOOKUP(I316,$C$3:$L$6,5,0)=Variables!$B$5,B316&gt;VLOOKUP(I316,$C$3:$L$6,8,0)),IF(VLOOKUP(I316,$C$3:$L$6,5,0)=Variables!$B$5,((YEAR(B316)-YEAR($B$12))*12+MONTH(B316)-MONTH($B$12)),((YEAR(B316)-YEAR(VLOOKUP(I316,$C$3:$L$6,8,0)))*12+MONTH(B316)-MONTH(VLOOKUP(I316,$C$3:$L$6,8,0))))*VLOOKUP(I316,$C$3:$L$6,7,0),0)),""),"")</f>
        <v/>
      </c>
      <c r="L316" s="29" t="str">
        <f t="shared" ca="1" si="34"/>
        <v/>
      </c>
      <c r="M316" s="10"/>
      <c r="N316" s="10"/>
    </row>
    <row r="317" spans="1:14" x14ac:dyDescent="0.25">
      <c r="A317" s="10"/>
      <c r="B317" s="14" t="str">
        <f t="shared" ca="1" si="35"/>
        <v/>
      </c>
      <c r="C317" s="14" t="str">
        <f ca="1">IF(I316&lt;&gt;Variables!$B$1,IF(H316&lt;&gt;0,C316,I316),"")</f>
        <v/>
      </c>
      <c r="D317" s="29" t="str">
        <f t="shared" ca="1" si="32"/>
        <v/>
      </c>
      <c r="E317" s="29" t="str">
        <f t="shared" ca="1" si="33"/>
        <v/>
      </c>
      <c r="F317" s="29" t="str">
        <f ca="1">IF(C317&lt;&gt;"",IF(OR(VLOOKUP(C317,$C$3:$L$6,5,0)=Variables!$B$5,B317&gt;VLOOKUP(C317,$C$3:$L$6,8,0)),-D317*VLOOKUP(C317,$C$3:$L$6,6,0)/12,0),"")</f>
        <v/>
      </c>
      <c r="G317" s="29" t="str">
        <f ca="1">IF(I317&lt;&gt;Variables!$B$1,IF(C317&lt;&gt;"",$I$9-E317-F317,""),-D317)</f>
        <v/>
      </c>
      <c r="H317" s="29" t="str">
        <f t="shared" ca="1" si="36"/>
        <v/>
      </c>
      <c r="I317" s="31" t="str">
        <f ca="1">IF(C317&lt;&gt;"",IF(D317+$I$9-E317-F317&gt;=0,IF(ISERROR(INDEX($C$3:$C$6,MATCH(C317,$C$3:$C$6,0)+1,0)),Variables!$B$1,INDEX($C$3:$C$6,MATCH(C317,$C$3:$C$6,0)+1,0)),""),"")</f>
        <v/>
      </c>
      <c r="J317" s="29" t="str">
        <f ca="1">IF(ISERROR(VLOOKUP(I317,$C$3:$L$6,5,0)),"",IF(OR(VLOOKUP(I317,$C$3:$L$6,5,0)=Variables!$B$5,B317&gt;VLOOKUP(I317,$C$3:$L$6,8,0)),IF(VLOOKUP(I317,$C$3:$L$6,5,0)=Variables!$B$5,((YEAR(B317)-YEAR($B$12))*12+MONTH(B317)-MONTH($B$12)),((YEAR(B317)-YEAR(VLOOKUP(I317,$C$3:$L$6,8,0)))*12+MONTH(B317)-MONTH(VLOOKUP(I317,$C$3:$L$6,8,0))))*(VLOOKUP(I317,$C$3:$L$6,10,0)*VLOOKUP(I317,$C$3:$L$6,6,0)/12),0))</f>
        <v/>
      </c>
      <c r="K317" s="29" t="str">
        <f ca="1">IF(C317&lt;&gt;"",IF(I317&lt;&gt;"",IF(ISERROR(VLOOKUP(I317,$C$3:$L$6,10,0)),"",VLOOKUP(I317,$C$3:$L$6,10,0)+J317+IF(OR(VLOOKUP(I317,$C$3:$L$6,5,0)=Variables!$B$5,B317&gt;VLOOKUP(I317,$C$3:$L$6,8,0)),IF(VLOOKUP(I317,$C$3:$L$6,5,0)=Variables!$B$5,((YEAR(B317)-YEAR($B$12))*12+MONTH(B317)-MONTH($B$12)),((YEAR(B317)-YEAR(VLOOKUP(I317,$C$3:$L$6,8,0)))*12+MONTH(B317)-MONTH(VLOOKUP(I317,$C$3:$L$6,8,0))))*VLOOKUP(I317,$C$3:$L$6,7,0),0)),""),"")</f>
        <v/>
      </c>
      <c r="L317" s="29" t="str">
        <f t="shared" ca="1" si="34"/>
        <v/>
      </c>
      <c r="M317" s="10"/>
      <c r="N317" s="10"/>
    </row>
    <row r="318" spans="1:14" x14ac:dyDescent="0.25">
      <c r="A318" s="10"/>
      <c r="B318" s="14" t="str">
        <f t="shared" ca="1" si="35"/>
        <v/>
      </c>
      <c r="C318" s="14" t="str">
        <f ca="1">IF(I317&lt;&gt;Variables!$B$1,IF(H317&lt;&gt;0,C317,I317),"")</f>
        <v/>
      </c>
      <c r="D318" s="29" t="str">
        <f t="shared" ca="1" si="32"/>
        <v/>
      </c>
      <c r="E318" s="29" t="str">
        <f t="shared" ca="1" si="33"/>
        <v/>
      </c>
      <c r="F318" s="29" t="str">
        <f ca="1">IF(C318&lt;&gt;"",IF(OR(VLOOKUP(C318,$C$3:$L$6,5,0)=Variables!$B$5,B318&gt;VLOOKUP(C318,$C$3:$L$6,8,0)),-D318*VLOOKUP(C318,$C$3:$L$6,6,0)/12,0),"")</f>
        <v/>
      </c>
      <c r="G318" s="29" t="str">
        <f ca="1">IF(I318&lt;&gt;Variables!$B$1,IF(C318&lt;&gt;"",$I$9-E318-F318,""),-D318)</f>
        <v/>
      </c>
      <c r="H318" s="29" t="str">
        <f t="shared" ca="1" si="36"/>
        <v/>
      </c>
      <c r="I318" s="31" t="str">
        <f ca="1">IF(C318&lt;&gt;"",IF(D318+$I$9-E318-F318&gt;=0,IF(ISERROR(INDEX($C$3:$C$6,MATCH(C318,$C$3:$C$6,0)+1,0)),Variables!$B$1,INDEX($C$3:$C$6,MATCH(C318,$C$3:$C$6,0)+1,0)),""),"")</f>
        <v/>
      </c>
      <c r="J318" s="29" t="str">
        <f ca="1">IF(ISERROR(VLOOKUP(I318,$C$3:$L$6,5,0)),"",IF(OR(VLOOKUP(I318,$C$3:$L$6,5,0)=Variables!$B$5,B318&gt;VLOOKUP(I318,$C$3:$L$6,8,0)),IF(VLOOKUP(I318,$C$3:$L$6,5,0)=Variables!$B$5,((YEAR(B318)-YEAR($B$12))*12+MONTH(B318)-MONTH($B$12)),((YEAR(B318)-YEAR(VLOOKUP(I318,$C$3:$L$6,8,0)))*12+MONTH(B318)-MONTH(VLOOKUP(I318,$C$3:$L$6,8,0))))*(VLOOKUP(I318,$C$3:$L$6,10,0)*VLOOKUP(I318,$C$3:$L$6,6,0)/12),0))</f>
        <v/>
      </c>
      <c r="K318" s="29" t="str">
        <f ca="1">IF(C318&lt;&gt;"",IF(I318&lt;&gt;"",IF(ISERROR(VLOOKUP(I318,$C$3:$L$6,10,0)),"",VLOOKUP(I318,$C$3:$L$6,10,0)+J318+IF(OR(VLOOKUP(I318,$C$3:$L$6,5,0)=Variables!$B$5,B318&gt;VLOOKUP(I318,$C$3:$L$6,8,0)),IF(VLOOKUP(I318,$C$3:$L$6,5,0)=Variables!$B$5,((YEAR(B318)-YEAR($B$12))*12+MONTH(B318)-MONTH($B$12)),((YEAR(B318)-YEAR(VLOOKUP(I318,$C$3:$L$6,8,0)))*12+MONTH(B318)-MONTH(VLOOKUP(I318,$C$3:$L$6,8,0))))*VLOOKUP(I318,$C$3:$L$6,7,0),0)),""),"")</f>
        <v/>
      </c>
      <c r="L318" s="29" t="str">
        <f t="shared" ca="1" si="34"/>
        <v/>
      </c>
      <c r="M318" s="10"/>
      <c r="N318" s="10"/>
    </row>
    <row r="319" spans="1:14" x14ac:dyDescent="0.25">
      <c r="A319" s="10"/>
      <c r="B319" s="14" t="str">
        <f t="shared" ca="1" si="35"/>
        <v/>
      </c>
      <c r="C319" s="14" t="str">
        <f ca="1">IF(I318&lt;&gt;Variables!$B$1,IF(H318&lt;&gt;0,C318,I318),"")</f>
        <v/>
      </c>
      <c r="D319" s="29" t="str">
        <f t="shared" ca="1" si="32"/>
        <v/>
      </c>
      <c r="E319" s="29" t="str">
        <f t="shared" ca="1" si="33"/>
        <v/>
      </c>
      <c r="F319" s="29" t="str">
        <f ca="1">IF(C319&lt;&gt;"",IF(OR(VLOOKUP(C319,$C$3:$L$6,5,0)=Variables!$B$5,B319&gt;VLOOKUP(C319,$C$3:$L$6,8,0)),-D319*VLOOKUP(C319,$C$3:$L$6,6,0)/12,0),"")</f>
        <v/>
      </c>
      <c r="G319" s="29" t="str">
        <f ca="1">IF(I319&lt;&gt;Variables!$B$1,IF(C319&lt;&gt;"",$I$9-E319-F319,""),-D319)</f>
        <v/>
      </c>
      <c r="H319" s="29" t="str">
        <f t="shared" ca="1" si="36"/>
        <v/>
      </c>
      <c r="I319" s="31" t="str">
        <f ca="1">IF(C319&lt;&gt;"",IF(D319+$I$9-E319-F319&gt;=0,IF(ISERROR(INDEX($C$3:$C$6,MATCH(C319,$C$3:$C$6,0)+1,0)),Variables!$B$1,INDEX($C$3:$C$6,MATCH(C319,$C$3:$C$6,0)+1,0)),""),"")</f>
        <v/>
      </c>
      <c r="J319" s="29" t="str">
        <f ca="1">IF(ISERROR(VLOOKUP(I319,$C$3:$L$6,5,0)),"",IF(OR(VLOOKUP(I319,$C$3:$L$6,5,0)=Variables!$B$5,B319&gt;VLOOKUP(I319,$C$3:$L$6,8,0)),IF(VLOOKUP(I319,$C$3:$L$6,5,0)=Variables!$B$5,((YEAR(B319)-YEAR($B$12))*12+MONTH(B319)-MONTH($B$12)),((YEAR(B319)-YEAR(VLOOKUP(I319,$C$3:$L$6,8,0)))*12+MONTH(B319)-MONTH(VLOOKUP(I319,$C$3:$L$6,8,0))))*(VLOOKUP(I319,$C$3:$L$6,10,0)*VLOOKUP(I319,$C$3:$L$6,6,0)/12),0))</f>
        <v/>
      </c>
      <c r="K319" s="29" t="str">
        <f ca="1">IF(C319&lt;&gt;"",IF(I319&lt;&gt;"",IF(ISERROR(VLOOKUP(I319,$C$3:$L$6,10,0)),"",VLOOKUP(I319,$C$3:$L$6,10,0)+J319+IF(OR(VLOOKUP(I319,$C$3:$L$6,5,0)=Variables!$B$5,B319&gt;VLOOKUP(I319,$C$3:$L$6,8,0)),IF(VLOOKUP(I319,$C$3:$L$6,5,0)=Variables!$B$5,((YEAR(B319)-YEAR($B$12))*12+MONTH(B319)-MONTH($B$12)),((YEAR(B319)-YEAR(VLOOKUP(I319,$C$3:$L$6,8,0)))*12+MONTH(B319)-MONTH(VLOOKUP(I319,$C$3:$L$6,8,0))))*VLOOKUP(I319,$C$3:$L$6,7,0),0)),""),"")</f>
        <v/>
      </c>
      <c r="L319" s="29" t="str">
        <f t="shared" ca="1" si="34"/>
        <v/>
      </c>
      <c r="M319" s="10"/>
      <c r="N319" s="10"/>
    </row>
    <row r="320" spans="1:14" x14ac:dyDescent="0.25">
      <c r="A320" s="10"/>
      <c r="B320" s="14" t="str">
        <f t="shared" ca="1" si="35"/>
        <v/>
      </c>
      <c r="C320" s="14" t="str">
        <f ca="1">IF(I319&lt;&gt;Variables!$B$1,IF(H319&lt;&gt;0,C319,I319),"")</f>
        <v/>
      </c>
      <c r="D320" s="29" t="str">
        <f t="shared" ca="1" si="32"/>
        <v/>
      </c>
      <c r="E320" s="29" t="str">
        <f t="shared" ca="1" si="33"/>
        <v/>
      </c>
      <c r="F320" s="29" t="str">
        <f ca="1">IF(C320&lt;&gt;"",IF(OR(VLOOKUP(C320,$C$3:$L$6,5,0)=Variables!$B$5,B320&gt;VLOOKUP(C320,$C$3:$L$6,8,0)),-D320*VLOOKUP(C320,$C$3:$L$6,6,0)/12,0),"")</f>
        <v/>
      </c>
      <c r="G320" s="29" t="str">
        <f ca="1">IF(I320&lt;&gt;Variables!$B$1,IF(C320&lt;&gt;"",$I$9-E320-F320,""),-D320)</f>
        <v/>
      </c>
      <c r="H320" s="29" t="str">
        <f t="shared" ca="1" si="36"/>
        <v/>
      </c>
      <c r="I320" s="31" t="str">
        <f ca="1">IF(C320&lt;&gt;"",IF(D320+$I$9-E320-F320&gt;=0,IF(ISERROR(INDEX($C$3:$C$6,MATCH(C320,$C$3:$C$6,0)+1,0)),Variables!$B$1,INDEX($C$3:$C$6,MATCH(C320,$C$3:$C$6,0)+1,0)),""),"")</f>
        <v/>
      </c>
      <c r="J320" s="29" t="str">
        <f ca="1">IF(ISERROR(VLOOKUP(I320,$C$3:$L$6,5,0)),"",IF(OR(VLOOKUP(I320,$C$3:$L$6,5,0)=Variables!$B$5,B320&gt;VLOOKUP(I320,$C$3:$L$6,8,0)),IF(VLOOKUP(I320,$C$3:$L$6,5,0)=Variables!$B$5,((YEAR(B320)-YEAR($B$12))*12+MONTH(B320)-MONTH($B$12)),((YEAR(B320)-YEAR(VLOOKUP(I320,$C$3:$L$6,8,0)))*12+MONTH(B320)-MONTH(VLOOKUP(I320,$C$3:$L$6,8,0))))*(VLOOKUP(I320,$C$3:$L$6,10,0)*VLOOKUP(I320,$C$3:$L$6,6,0)/12),0))</f>
        <v/>
      </c>
      <c r="K320" s="29" t="str">
        <f ca="1">IF(C320&lt;&gt;"",IF(I320&lt;&gt;"",IF(ISERROR(VLOOKUP(I320,$C$3:$L$6,10,0)),"",VLOOKUP(I320,$C$3:$L$6,10,0)+J320+IF(OR(VLOOKUP(I320,$C$3:$L$6,5,0)=Variables!$B$5,B320&gt;VLOOKUP(I320,$C$3:$L$6,8,0)),IF(VLOOKUP(I320,$C$3:$L$6,5,0)=Variables!$B$5,((YEAR(B320)-YEAR($B$12))*12+MONTH(B320)-MONTH($B$12)),((YEAR(B320)-YEAR(VLOOKUP(I320,$C$3:$L$6,8,0)))*12+MONTH(B320)-MONTH(VLOOKUP(I320,$C$3:$L$6,8,0))))*VLOOKUP(I320,$C$3:$L$6,7,0),0)),""),"")</f>
        <v/>
      </c>
      <c r="L320" s="29" t="str">
        <f t="shared" ca="1" si="34"/>
        <v/>
      </c>
      <c r="M320" s="10"/>
      <c r="N320" s="10"/>
    </row>
    <row r="321" spans="1:14" x14ac:dyDescent="0.25">
      <c r="A321" s="10"/>
      <c r="B321" s="14" t="str">
        <f t="shared" ca="1" si="35"/>
        <v/>
      </c>
      <c r="C321" s="14" t="str">
        <f ca="1">IF(I320&lt;&gt;Variables!$B$1,IF(H320&lt;&gt;0,C320,I320),"")</f>
        <v/>
      </c>
      <c r="D321" s="29" t="str">
        <f t="shared" ca="1" si="32"/>
        <v/>
      </c>
      <c r="E321" s="29" t="str">
        <f t="shared" ca="1" si="33"/>
        <v/>
      </c>
      <c r="F321" s="29" t="str">
        <f ca="1">IF(C321&lt;&gt;"",IF(OR(VLOOKUP(C321,$C$3:$L$6,5,0)=Variables!$B$5,B321&gt;VLOOKUP(C321,$C$3:$L$6,8,0)),-D321*VLOOKUP(C321,$C$3:$L$6,6,0)/12,0),"")</f>
        <v/>
      </c>
      <c r="G321" s="29" t="str">
        <f ca="1">IF(I321&lt;&gt;Variables!$B$1,IF(C321&lt;&gt;"",$I$9-E321-F321,""),-D321)</f>
        <v/>
      </c>
      <c r="H321" s="29" t="str">
        <f t="shared" ca="1" si="36"/>
        <v/>
      </c>
      <c r="I321" s="31" t="str">
        <f ca="1">IF(C321&lt;&gt;"",IF(D321+$I$9-E321-F321&gt;=0,IF(ISERROR(INDEX($C$3:$C$6,MATCH(C321,$C$3:$C$6,0)+1,0)),Variables!$B$1,INDEX($C$3:$C$6,MATCH(C321,$C$3:$C$6,0)+1,0)),""),"")</f>
        <v/>
      </c>
      <c r="J321" s="29" t="str">
        <f ca="1">IF(ISERROR(VLOOKUP(I321,$C$3:$L$6,5,0)),"",IF(OR(VLOOKUP(I321,$C$3:$L$6,5,0)=Variables!$B$5,B321&gt;VLOOKUP(I321,$C$3:$L$6,8,0)),IF(VLOOKUP(I321,$C$3:$L$6,5,0)=Variables!$B$5,((YEAR(B321)-YEAR($B$12))*12+MONTH(B321)-MONTH($B$12)),((YEAR(B321)-YEAR(VLOOKUP(I321,$C$3:$L$6,8,0)))*12+MONTH(B321)-MONTH(VLOOKUP(I321,$C$3:$L$6,8,0))))*(VLOOKUP(I321,$C$3:$L$6,10,0)*VLOOKUP(I321,$C$3:$L$6,6,0)/12),0))</f>
        <v/>
      </c>
      <c r="K321" s="29" t="str">
        <f ca="1">IF(C321&lt;&gt;"",IF(I321&lt;&gt;"",IF(ISERROR(VLOOKUP(I321,$C$3:$L$6,10,0)),"",VLOOKUP(I321,$C$3:$L$6,10,0)+J321+IF(OR(VLOOKUP(I321,$C$3:$L$6,5,0)=Variables!$B$5,B321&gt;VLOOKUP(I321,$C$3:$L$6,8,0)),IF(VLOOKUP(I321,$C$3:$L$6,5,0)=Variables!$B$5,((YEAR(B321)-YEAR($B$12))*12+MONTH(B321)-MONTH($B$12)),((YEAR(B321)-YEAR(VLOOKUP(I321,$C$3:$L$6,8,0)))*12+MONTH(B321)-MONTH(VLOOKUP(I321,$C$3:$L$6,8,0))))*VLOOKUP(I321,$C$3:$L$6,7,0),0)),""),"")</f>
        <v/>
      </c>
      <c r="L321" s="29" t="str">
        <f t="shared" ca="1" si="34"/>
        <v/>
      </c>
      <c r="M321" s="10"/>
      <c r="N321" s="10"/>
    </row>
    <row r="322" spans="1:14" x14ac:dyDescent="0.25">
      <c r="A322" s="10"/>
      <c r="B322" s="14" t="str">
        <f t="shared" ca="1" si="35"/>
        <v/>
      </c>
      <c r="C322" s="14" t="str">
        <f ca="1">IF(I321&lt;&gt;Variables!$B$1,IF(H321&lt;&gt;0,C321,I321),"")</f>
        <v/>
      </c>
      <c r="D322" s="29" t="str">
        <f t="shared" ca="1" si="32"/>
        <v/>
      </c>
      <c r="E322" s="29" t="str">
        <f t="shared" ca="1" si="33"/>
        <v/>
      </c>
      <c r="F322" s="29" t="str">
        <f ca="1">IF(C322&lt;&gt;"",IF(OR(VLOOKUP(C322,$C$3:$L$6,5,0)=Variables!$B$5,B322&gt;VLOOKUP(C322,$C$3:$L$6,8,0)),-D322*VLOOKUP(C322,$C$3:$L$6,6,0)/12,0),"")</f>
        <v/>
      </c>
      <c r="G322" s="29" t="str">
        <f ca="1">IF(I322&lt;&gt;Variables!$B$1,IF(C322&lt;&gt;"",$I$9-E322-F322,""),-D322)</f>
        <v/>
      </c>
      <c r="H322" s="29" t="str">
        <f t="shared" ca="1" si="36"/>
        <v/>
      </c>
      <c r="I322" s="31" t="str">
        <f ca="1">IF(C322&lt;&gt;"",IF(D322+$I$9-E322-F322&gt;=0,IF(ISERROR(INDEX($C$3:$C$6,MATCH(C322,$C$3:$C$6,0)+1,0)),Variables!$B$1,INDEX($C$3:$C$6,MATCH(C322,$C$3:$C$6,0)+1,0)),""),"")</f>
        <v/>
      </c>
      <c r="J322" s="29" t="str">
        <f ca="1">IF(ISERROR(VLOOKUP(I322,$C$3:$L$6,5,0)),"",IF(OR(VLOOKUP(I322,$C$3:$L$6,5,0)=Variables!$B$5,B322&gt;VLOOKUP(I322,$C$3:$L$6,8,0)),IF(VLOOKUP(I322,$C$3:$L$6,5,0)=Variables!$B$5,((YEAR(B322)-YEAR($B$12))*12+MONTH(B322)-MONTH($B$12)),((YEAR(B322)-YEAR(VLOOKUP(I322,$C$3:$L$6,8,0)))*12+MONTH(B322)-MONTH(VLOOKUP(I322,$C$3:$L$6,8,0))))*(VLOOKUP(I322,$C$3:$L$6,10,0)*VLOOKUP(I322,$C$3:$L$6,6,0)/12),0))</f>
        <v/>
      </c>
      <c r="K322" s="29" t="str">
        <f ca="1">IF(C322&lt;&gt;"",IF(I322&lt;&gt;"",IF(ISERROR(VLOOKUP(I322,$C$3:$L$6,10,0)),"",VLOOKUP(I322,$C$3:$L$6,10,0)+J322+IF(OR(VLOOKUP(I322,$C$3:$L$6,5,0)=Variables!$B$5,B322&gt;VLOOKUP(I322,$C$3:$L$6,8,0)),IF(VLOOKUP(I322,$C$3:$L$6,5,0)=Variables!$B$5,((YEAR(B322)-YEAR($B$12))*12+MONTH(B322)-MONTH($B$12)),((YEAR(B322)-YEAR(VLOOKUP(I322,$C$3:$L$6,8,0)))*12+MONTH(B322)-MONTH(VLOOKUP(I322,$C$3:$L$6,8,0))))*VLOOKUP(I322,$C$3:$L$6,7,0),0)),""),"")</f>
        <v/>
      </c>
      <c r="L322" s="29" t="str">
        <f t="shared" ca="1" si="34"/>
        <v/>
      </c>
      <c r="M322" s="10"/>
      <c r="N322" s="10"/>
    </row>
    <row r="323" spans="1:14" x14ac:dyDescent="0.25">
      <c r="A323" s="10"/>
      <c r="B323" s="14" t="str">
        <f t="shared" ca="1" si="35"/>
        <v/>
      </c>
      <c r="C323" s="14" t="str">
        <f ca="1">IF(I322&lt;&gt;Variables!$B$1,IF(H322&lt;&gt;0,C322,I322),"")</f>
        <v/>
      </c>
      <c r="D323" s="29" t="str">
        <f t="shared" ca="1" si="32"/>
        <v/>
      </c>
      <c r="E323" s="29" t="str">
        <f t="shared" ca="1" si="33"/>
        <v/>
      </c>
      <c r="F323" s="29" t="str">
        <f ca="1">IF(C323&lt;&gt;"",IF(OR(VLOOKUP(C323,$C$3:$L$6,5,0)=Variables!$B$5,B323&gt;VLOOKUP(C323,$C$3:$L$6,8,0)),-D323*VLOOKUP(C323,$C$3:$L$6,6,0)/12,0),"")</f>
        <v/>
      </c>
      <c r="G323" s="29" t="str">
        <f ca="1">IF(I323&lt;&gt;Variables!$B$1,IF(C323&lt;&gt;"",$I$9-E323-F323,""),-D323)</f>
        <v/>
      </c>
      <c r="H323" s="29" t="str">
        <f t="shared" ca="1" si="36"/>
        <v/>
      </c>
      <c r="I323" s="31" t="str">
        <f ca="1">IF(C323&lt;&gt;"",IF(D323+$I$9-E323-F323&gt;=0,IF(ISERROR(INDEX($C$3:$C$6,MATCH(C323,$C$3:$C$6,0)+1,0)),Variables!$B$1,INDEX($C$3:$C$6,MATCH(C323,$C$3:$C$6,0)+1,0)),""),"")</f>
        <v/>
      </c>
      <c r="J323" s="29" t="str">
        <f ca="1">IF(ISERROR(VLOOKUP(I323,$C$3:$L$6,5,0)),"",IF(OR(VLOOKUP(I323,$C$3:$L$6,5,0)=Variables!$B$5,B323&gt;VLOOKUP(I323,$C$3:$L$6,8,0)),IF(VLOOKUP(I323,$C$3:$L$6,5,0)=Variables!$B$5,((YEAR(B323)-YEAR($B$12))*12+MONTH(B323)-MONTH($B$12)),((YEAR(B323)-YEAR(VLOOKUP(I323,$C$3:$L$6,8,0)))*12+MONTH(B323)-MONTH(VLOOKUP(I323,$C$3:$L$6,8,0))))*(VLOOKUP(I323,$C$3:$L$6,10,0)*VLOOKUP(I323,$C$3:$L$6,6,0)/12),0))</f>
        <v/>
      </c>
      <c r="K323" s="29" t="str">
        <f ca="1">IF(C323&lt;&gt;"",IF(I323&lt;&gt;"",IF(ISERROR(VLOOKUP(I323,$C$3:$L$6,10,0)),"",VLOOKUP(I323,$C$3:$L$6,10,0)+J323+IF(OR(VLOOKUP(I323,$C$3:$L$6,5,0)=Variables!$B$5,B323&gt;VLOOKUP(I323,$C$3:$L$6,8,0)),IF(VLOOKUP(I323,$C$3:$L$6,5,0)=Variables!$B$5,((YEAR(B323)-YEAR($B$12))*12+MONTH(B323)-MONTH($B$12)),((YEAR(B323)-YEAR(VLOOKUP(I323,$C$3:$L$6,8,0)))*12+MONTH(B323)-MONTH(VLOOKUP(I323,$C$3:$L$6,8,0))))*VLOOKUP(I323,$C$3:$L$6,7,0),0)),""),"")</f>
        <v/>
      </c>
      <c r="L323" s="29" t="str">
        <f t="shared" ca="1" si="34"/>
        <v/>
      </c>
      <c r="M323" s="10"/>
      <c r="N323" s="10"/>
    </row>
    <row r="324" spans="1:14" x14ac:dyDescent="0.25">
      <c r="A324" s="10"/>
      <c r="B324" s="14" t="str">
        <f t="shared" ca="1" si="35"/>
        <v/>
      </c>
      <c r="C324" s="14" t="str">
        <f ca="1">IF(I323&lt;&gt;Variables!$B$1,IF(H323&lt;&gt;0,C323,I323),"")</f>
        <v/>
      </c>
      <c r="D324" s="29" t="str">
        <f t="shared" ca="1" si="32"/>
        <v/>
      </c>
      <c r="E324" s="29" t="str">
        <f t="shared" ca="1" si="33"/>
        <v/>
      </c>
      <c r="F324" s="29" t="str">
        <f ca="1">IF(C324&lt;&gt;"",IF(OR(VLOOKUP(C324,$C$3:$L$6,5,0)=Variables!$B$5,B324&gt;VLOOKUP(C324,$C$3:$L$6,8,0)),-D324*VLOOKUP(C324,$C$3:$L$6,6,0)/12,0),"")</f>
        <v/>
      </c>
      <c r="G324" s="29" t="str">
        <f ca="1">IF(I324&lt;&gt;Variables!$B$1,IF(C324&lt;&gt;"",$I$9-E324-F324,""),-D324)</f>
        <v/>
      </c>
      <c r="H324" s="29" t="str">
        <f t="shared" ca="1" si="36"/>
        <v/>
      </c>
      <c r="I324" s="31" t="str">
        <f ca="1">IF(C324&lt;&gt;"",IF(D324+$I$9-E324-F324&gt;=0,IF(ISERROR(INDEX($C$3:$C$6,MATCH(C324,$C$3:$C$6,0)+1,0)),Variables!$B$1,INDEX($C$3:$C$6,MATCH(C324,$C$3:$C$6,0)+1,0)),""),"")</f>
        <v/>
      </c>
      <c r="J324" s="29" t="str">
        <f ca="1">IF(ISERROR(VLOOKUP(I324,$C$3:$L$6,5,0)),"",IF(OR(VLOOKUP(I324,$C$3:$L$6,5,0)=Variables!$B$5,B324&gt;VLOOKUP(I324,$C$3:$L$6,8,0)),IF(VLOOKUP(I324,$C$3:$L$6,5,0)=Variables!$B$5,((YEAR(B324)-YEAR($B$12))*12+MONTH(B324)-MONTH($B$12)),((YEAR(B324)-YEAR(VLOOKUP(I324,$C$3:$L$6,8,0)))*12+MONTH(B324)-MONTH(VLOOKUP(I324,$C$3:$L$6,8,0))))*(VLOOKUP(I324,$C$3:$L$6,10,0)*VLOOKUP(I324,$C$3:$L$6,6,0)/12),0))</f>
        <v/>
      </c>
      <c r="K324" s="29" t="str">
        <f ca="1">IF(C324&lt;&gt;"",IF(I324&lt;&gt;"",IF(ISERROR(VLOOKUP(I324,$C$3:$L$6,10,0)),"",VLOOKUP(I324,$C$3:$L$6,10,0)+J324+IF(OR(VLOOKUP(I324,$C$3:$L$6,5,0)=Variables!$B$5,B324&gt;VLOOKUP(I324,$C$3:$L$6,8,0)),IF(VLOOKUP(I324,$C$3:$L$6,5,0)=Variables!$B$5,((YEAR(B324)-YEAR($B$12))*12+MONTH(B324)-MONTH($B$12)),((YEAR(B324)-YEAR(VLOOKUP(I324,$C$3:$L$6,8,0)))*12+MONTH(B324)-MONTH(VLOOKUP(I324,$C$3:$L$6,8,0))))*VLOOKUP(I324,$C$3:$L$6,7,0),0)),""),"")</f>
        <v/>
      </c>
      <c r="L324" s="29" t="str">
        <f t="shared" ca="1" si="34"/>
        <v/>
      </c>
      <c r="M324" s="10"/>
      <c r="N324" s="10"/>
    </row>
    <row r="325" spans="1:14" x14ac:dyDescent="0.25">
      <c r="A325" s="10"/>
      <c r="B325" s="14" t="str">
        <f t="shared" ca="1" si="35"/>
        <v/>
      </c>
      <c r="C325" s="14" t="str">
        <f ca="1">IF(I324&lt;&gt;Variables!$B$1,IF(H324&lt;&gt;0,C324,I324),"")</f>
        <v/>
      </c>
      <c r="D325" s="29" t="str">
        <f t="shared" ca="1" si="32"/>
        <v/>
      </c>
      <c r="E325" s="29" t="str">
        <f t="shared" ca="1" si="33"/>
        <v/>
      </c>
      <c r="F325" s="29" t="str">
        <f ca="1">IF(C325&lt;&gt;"",IF(OR(VLOOKUP(C325,$C$3:$L$6,5,0)=Variables!$B$5,B325&gt;VLOOKUP(C325,$C$3:$L$6,8,0)),-D325*VLOOKUP(C325,$C$3:$L$6,6,0)/12,0),"")</f>
        <v/>
      </c>
      <c r="G325" s="29" t="str">
        <f ca="1">IF(I325&lt;&gt;Variables!$B$1,IF(C325&lt;&gt;"",$I$9-E325-F325,""),-D325)</f>
        <v/>
      </c>
      <c r="H325" s="29" t="str">
        <f t="shared" ca="1" si="36"/>
        <v/>
      </c>
      <c r="I325" s="31" t="str">
        <f ca="1">IF(C325&lt;&gt;"",IF(D325+$I$9-E325-F325&gt;=0,IF(ISERROR(INDEX($C$3:$C$6,MATCH(C325,$C$3:$C$6,0)+1,0)),Variables!$B$1,INDEX($C$3:$C$6,MATCH(C325,$C$3:$C$6,0)+1,0)),""),"")</f>
        <v/>
      </c>
      <c r="J325" s="29" t="str">
        <f ca="1">IF(ISERROR(VLOOKUP(I325,$C$3:$L$6,5,0)),"",IF(OR(VLOOKUP(I325,$C$3:$L$6,5,0)=Variables!$B$5,B325&gt;VLOOKUP(I325,$C$3:$L$6,8,0)),IF(VLOOKUP(I325,$C$3:$L$6,5,0)=Variables!$B$5,((YEAR(B325)-YEAR($B$12))*12+MONTH(B325)-MONTH($B$12)),((YEAR(B325)-YEAR(VLOOKUP(I325,$C$3:$L$6,8,0)))*12+MONTH(B325)-MONTH(VLOOKUP(I325,$C$3:$L$6,8,0))))*(VLOOKUP(I325,$C$3:$L$6,10,0)*VLOOKUP(I325,$C$3:$L$6,6,0)/12),0))</f>
        <v/>
      </c>
      <c r="K325" s="29" t="str">
        <f ca="1">IF(C325&lt;&gt;"",IF(I325&lt;&gt;"",IF(ISERROR(VLOOKUP(I325,$C$3:$L$6,10,0)),"",VLOOKUP(I325,$C$3:$L$6,10,0)+J325+IF(OR(VLOOKUP(I325,$C$3:$L$6,5,0)=Variables!$B$5,B325&gt;VLOOKUP(I325,$C$3:$L$6,8,0)),IF(VLOOKUP(I325,$C$3:$L$6,5,0)=Variables!$B$5,((YEAR(B325)-YEAR($B$12))*12+MONTH(B325)-MONTH($B$12)),((YEAR(B325)-YEAR(VLOOKUP(I325,$C$3:$L$6,8,0)))*12+MONTH(B325)-MONTH(VLOOKUP(I325,$C$3:$L$6,8,0))))*VLOOKUP(I325,$C$3:$L$6,7,0),0)),""),"")</f>
        <v/>
      </c>
      <c r="L325" s="29" t="str">
        <f t="shared" ca="1" si="34"/>
        <v/>
      </c>
      <c r="M325" s="10"/>
      <c r="N325" s="10"/>
    </row>
    <row r="326" spans="1:14" x14ac:dyDescent="0.25">
      <c r="A326" s="10"/>
      <c r="B326" s="14" t="str">
        <f t="shared" ca="1" si="35"/>
        <v/>
      </c>
      <c r="C326" s="14" t="str">
        <f ca="1">IF(I325&lt;&gt;Variables!$B$1,IF(H325&lt;&gt;0,C325,I325),"")</f>
        <v/>
      </c>
      <c r="D326" s="29" t="str">
        <f t="shared" ca="1" si="32"/>
        <v/>
      </c>
      <c r="E326" s="29" t="str">
        <f t="shared" ca="1" si="33"/>
        <v/>
      </c>
      <c r="F326" s="29" t="str">
        <f ca="1">IF(C326&lt;&gt;"",IF(OR(VLOOKUP(C326,$C$3:$L$6,5,0)=Variables!$B$5,B326&gt;VLOOKUP(C326,$C$3:$L$6,8,0)),-D326*VLOOKUP(C326,$C$3:$L$6,6,0)/12,0),"")</f>
        <v/>
      </c>
      <c r="G326" s="29" t="str">
        <f ca="1">IF(I326&lt;&gt;Variables!$B$1,IF(C326&lt;&gt;"",$I$9-E326-F326,""),-D326)</f>
        <v/>
      </c>
      <c r="H326" s="29" t="str">
        <f t="shared" ca="1" si="36"/>
        <v/>
      </c>
      <c r="I326" s="31" t="str">
        <f ca="1">IF(C326&lt;&gt;"",IF(D326+$I$9-E326-F326&gt;=0,IF(ISERROR(INDEX($C$3:$C$6,MATCH(C326,$C$3:$C$6,0)+1,0)),Variables!$B$1,INDEX($C$3:$C$6,MATCH(C326,$C$3:$C$6,0)+1,0)),""),"")</f>
        <v/>
      </c>
      <c r="J326" s="29" t="str">
        <f ca="1">IF(ISERROR(VLOOKUP(I326,$C$3:$L$6,5,0)),"",IF(OR(VLOOKUP(I326,$C$3:$L$6,5,0)=Variables!$B$5,B326&gt;VLOOKUP(I326,$C$3:$L$6,8,0)),IF(VLOOKUP(I326,$C$3:$L$6,5,0)=Variables!$B$5,((YEAR(B326)-YEAR($B$12))*12+MONTH(B326)-MONTH($B$12)),((YEAR(B326)-YEAR(VLOOKUP(I326,$C$3:$L$6,8,0)))*12+MONTH(B326)-MONTH(VLOOKUP(I326,$C$3:$L$6,8,0))))*(VLOOKUP(I326,$C$3:$L$6,10,0)*VLOOKUP(I326,$C$3:$L$6,6,0)/12),0))</f>
        <v/>
      </c>
      <c r="K326" s="29" t="str">
        <f ca="1">IF(C326&lt;&gt;"",IF(I326&lt;&gt;"",IF(ISERROR(VLOOKUP(I326,$C$3:$L$6,10,0)),"",VLOOKUP(I326,$C$3:$L$6,10,0)+J326+IF(OR(VLOOKUP(I326,$C$3:$L$6,5,0)=Variables!$B$5,B326&gt;VLOOKUP(I326,$C$3:$L$6,8,0)),IF(VLOOKUP(I326,$C$3:$L$6,5,0)=Variables!$B$5,((YEAR(B326)-YEAR($B$12))*12+MONTH(B326)-MONTH($B$12)),((YEAR(B326)-YEAR(VLOOKUP(I326,$C$3:$L$6,8,0)))*12+MONTH(B326)-MONTH(VLOOKUP(I326,$C$3:$L$6,8,0))))*VLOOKUP(I326,$C$3:$L$6,7,0),0)),""),"")</f>
        <v/>
      </c>
      <c r="L326" s="29" t="str">
        <f t="shared" ca="1" si="34"/>
        <v/>
      </c>
      <c r="M326" s="10"/>
      <c r="N326" s="10"/>
    </row>
    <row r="327" spans="1:14" x14ac:dyDescent="0.25">
      <c r="A327" s="10"/>
      <c r="B327" s="14" t="str">
        <f t="shared" ca="1" si="35"/>
        <v/>
      </c>
      <c r="C327" s="14" t="str">
        <f ca="1">IF(I326&lt;&gt;Variables!$B$1,IF(H326&lt;&gt;0,C326,I326),"")</f>
        <v/>
      </c>
      <c r="D327" s="29" t="str">
        <f t="shared" ca="1" si="32"/>
        <v/>
      </c>
      <c r="E327" s="29" t="str">
        <f t="shared" ca="1" si="33"/>
        <v/>
      </c>
      <c r="F327" s="29" t="str">
        <f ca="1">IF(C327&lt;&gt;"",IF(OR(VLOOKUP(C327,$C$3:$L$6,5,0)=Variables!$B$5,B327&gt;VLOOKUP(C327,$C$3:$L$6,8,0)),-D327*VLOOKUP(C327,$C$3:$L$6,6,0)/12,0),"")</f>
        <v/>
      </c>
      <c r="G327" s="29" t="str">
        <f ca="1">IF(I327&lt;&gt;Variables!$B$1,IF(C327&lt;&gt;"",$I$9-E327-F327,""),-D327)</f>
        <v/>
      </c>
      <c r="H327" s="29" t="str">
        <f t="shared" ca="1" si="36"/>
        <v/>
      </c>
      <c r="I327" s="31" t="str">
        <f ca="1">IF(C327&lt;&gt;"",IF(D327+$I$9-E327-F327&gt;=0,IF(ISERROR(INDEX($C$3:$C$6,MATCH(C327,$C$3:$C$6,0)+1,0)),Variables!$B$1,INDEX($C$3:$C$6,MATCH(C327,$C$3:$C$6,0)+1,0)),""),"")</f>
        <v/>
      </c>
      <c r="J327" s="29" t="str">
        <f ca="1">IF(ISERROR(VLOOKUP(I327,$C$3:$L$6,5,0)),"",IF(OR(VLOOKUP(I327,$C$3:$L$6,5,0)=Variables!$B$5,B327&gt;VLOOKUP(I327,$C$3:$L$6,8,0)),IF(VLOOKUP(I327,$C$3:$L$6,5,0)=Variables!$B$5,((YEAR(B327)-YEAR($B$12))*12+MONTH(B327)-MONTH($B$12)),((YEAR(B327)-YEAR(VLOOKUP(I327,$C$3:$L$6,8,0)))*12+MONTH(B327)-MONTH(VLOOKUP(I327,$C$3:$L$6,8,0))))*(VLOOKUP(I327,$C$3:$L$6,10,0)*VLOOKUP(I327,$C$3:$L$6,6,0)/12),0))</f>
        <v/>
      </c>
      <c r="K327" s="29" t="str">
        <f ca="1">IF(C327&lt;&gt;"",IF(I327&lt;&gt;"",IF(ISERROR(VLOOKUP(I327,$C$3:$L$6,10,0)),"",VLOOKUP(I327,$C$3:$L$6,10,0)+J327+IF(OR(VLOOKUP(I327,$C$3:$L$6,5,0)=Variables!$B$5,B327&gt;VLOOKUP(I327,$C$3:$L$6,8,0)),IF(VLOOKUP(I327,$C$3:$L$6,5,0)=Variables!$B$5,((YEAR(B327)-YEAR($B$12))*12+MONTH(B327)-MONTH($B$12)),((YEAR(B327)-YEAR(VLOOKUP(I327,$C$3:$L$6,8,0)))*12+MONTH(B327)-MONTH(VLOOKUP(I327,$C$3:$L$6,8,0))))*VLOOKUP(I327,$C$3:$L$6,7,0),0)),""),"")</f>
        <v/>
      </c>
      <c r="L327" s="29" t="str">
        <f t="shared" ca="1" si="34"/>
        <v/>
      </c>
      <c r="M327" s="10"/>
      <c r="N327" s="10"/>
    </row>
    <row r="328" spans="1:14" x14ac:dyDescent="0.25">
      <c r="A328" s="10"/>
      <c r="B328" s="14" t="str">
        <f t="shared" ca="1" si="35"/>
        <v/>
      </c>
      <c r="C328" s="14" t="str">
        <f ca="1">IF(I327&lt;&gt;Variables!$B$1,IF(H327&lt;&gt;0,C327,I327),"")</f>
        <v/>
      </c>
      <c r="D328" s="29" t="str">
        <f t="shared" ca="1" si="32"/>
        <v/>
      </c>
      <c r="E328" s="29" t="str">
        <f t="shared" ca="1" si="33"/>
        <v/>
      </c>
      <c r="F328" s="29" t="str">
        <f ca="1">IF(C328&lt;&gt;"",IF(OR(VLOOKUP(C328,$C$3:$L$6,5,0)=Variables!$B$5,B328&gt;VLOOKUP(C328,$C$3:$L$6,8,0)),-D328*VLOOKUP(C328,$C$3:$L$6,6,0)/12,0),"")</f>
        <v/>
      </c>
      <c r="G328" s="29" t="str">
        <f ca="1">IF(I328&lt;&gt;Variables!$B$1,IF(C328&lt;&gt;"",$I$9-E328-F328,""),-D328)</f>
        <v/>
      </c>
      <c r="H328" s="29" t="str">
        <f t="shared" ca="1" si="36"/>
        <v/>
      </c>
      <c r="I328" s="31" t="str">
        <f ca="1">IF(C328&lt;&gt;"",IF(D328+$I$9-E328-F328&gt;=0,IF(ISERROR(INDEX($C$3:$C$6,MATCH(C328,$C$3:$C$6,0)+1,0)),Variables!$B$1,INDEX($C$3:$C$6,MATCH(C328,$C$3:$C$6,0)+1,0)),""),"")</f>
        <v/>
      </c>
      <c r="J328" s="29" t="str">
        <f ca="1">IF(ISERROR(VLOOKUP(I328,$C$3:$L$6,5,0)),"",IF(OR(VLOOKUP(I328,$C$3:$L$6,5,0)=Variables!$B$5,B328&gt;VLOOKUP(I328,$C$3:$L$6,8,0)),IF(VLOOKUP(I328,$C$3:$L$6,5,0)=Variables!$B$5,((YEAR(B328)-YEAR($B$12))*12+MONTH(B328)-MONTH($B$12)),((YEAR(B328)-YEAR(VLOOKUP(I328,$C$3:$L$6,8,0)))*12+MONTH(B328)-MONTH(VLOOKUP(I328,$C$3:$L$6,8,0))))*(VLOOKUP(I328,$C$3:$L$6,10,0)*VLOOKUP(I328,$C$3:$L$6,6,0)/12),0))</f>
        <v/>
      </c>
      <c r="K328" s="29" t="str">
        <f ca="1">IF(C328&lt;&gt;"",IF(I328&lt;&gt;"",IF(ISERROR(VLOOKUP(I328,$C$3:$L$6,10,0)),"",VLOOKUP(I328,$C$3:$L$6,10,0)+J328+IF(OR(VLOOKUP(I328,$C$3:$L$6,5,0)=Variables!$B$5,B328&gt;VLOOKUP(I328,$C$3:$L$6,8,0)),IF(VLOOKUP(I328,$C$3:$L$6,5,0)=Variables!$B$5,((YEAR(B328)-YEAR($B$12))*12+MONTH(B328)-MONTH($B$12)),((YEAR(B328)-YEAR(VLOOKUP(I328,$C$3:$L$6,8,0)))*12+MONTH(B328)-MONTH(VLOOKUP(I328,$C$3:$L$6,8,0))))*VLOOKUP(I328,$C$3:$L$6,7,0),0)),""),"")</f>
        <v/>
      </c>
      <c r="L328" s="29" t="str">
        <f t="shared" ca="1" si="34"/>
        <v/>
      </c>
      <c r="M328" s="10"/>
      <c r="N328" s="10"/>
    </row>
    <row r="329" spans="1:14" x14ac:dyDescent="0.25">
      <c r="A329" s="10"/>
      <c r="B329" s="14" t="str">
        <f t="shared" ca="1" si="35"/>
        <v/>
      </c>
      <c r="C329" s="14" t="str">
        <f ca="1">IF(I328&lt;&gt;Variables!$B$1,IF(H328&lt;&gt;0,C328,I328),"")</f>
        <v/>
      </c>
      <c r="D329" s="29" t="str">
        <f t="shared" ca="1" si="32"/>
        <v/>
      </c>
      <c r="E329" s="29" t="str">
        <f t="shared" ca="1" si="33"/>
        <v/>
      </c>
      <c r="F329" s="29" t="str">
        <f ca="1">IF(C329&lt;&gt;"",IF(OR(VLOOKUP(C329,$C$3:$L$6,5,0)=Variables!$B$5,B329&gt;VLOOKUP(C329,$C$3:$L$6,8,0)),-D329*VLOOKUP(C329,$C$3:$L$6,6,0)/12,0),"")</f>
        <v/>
      </c>
      <c r="G329" s="29" t="str">
        <f ca="1">IF(I329&lt;&gt;Variables!$B$1,IF(C329&lt;&gt;"",$I$9-E329-F329,""),-D329)</f>
        <v/>
      </c>
      <c r="H329" s="29" t="str">
        <f t="shared" ca="1" si="36"/>
        <v/>
      </c>
      <c r="I329" s="31" t="str">
        <f ca="1">IF(C329&lt;&gt;"",IF(D329+$I$9-E329-F329&gt;=0,IF(ISERROR(INDEX($C$3:$C$6,MATCH(C329,$C$3:$C$6,0)+1,0)),Variables!$B$1,INDEX($C$3:$C$6,MATCH(C329,$C$3:$C$6,0)+1,0)),""),"")</f>
        <v/>
      </c>
      <c r="J329" s="29" t="str">
        <f ca="1">IF(ISERROR(VLOOKUP(I329,$C$3:$L$6,5,0)),"",IF(OR(VLOOKUP(I329,$C$3:$L$6,5,0)=Variables!$B$5,B329&gt;VLOOKUP(I329,$C$3:$L$6,8,0)),IF(VLOOKUP(I329,$C$3:$L$6,5,0)=Variables!$B$5,((YEAR(B329)-YEAR($B$12))*12+MONTH(B329)-MONTH($B$12)),((YEAR(B329)-YEAR(VLOOKUP(I329,$C$3:$L$6,8,0)))*12+MONTH(B329)-MONTH(VLOOKUP(I329,$C$3:$L$6,8,0))))*(VLOOKUP(I329,$C$3:$L$6,10,0)*VLOOKUP(I329,$C$3:$L$6,6,0)/12),0))</f>
        <v/>
      </c>
      <c r="K329" s="29" t="str">
        <f ca="1">IF(C329&lt;&gt;"",IF(I329&lt;&gt;"",IF(ISERROR(VLOOKUP(I329,$C$3:$L$6,10,0)),"",VLOOKUP(I329,$C$3:$L$6,10,0)+J329+IF(OR(VLOOKUP(I329,$C$3:$L$6,5,0)=Variables!$B$5,B329&gt;VLOOKUP(I329,$C$3:$L$6,8,0)),IF(VLOOKUP(I329,$C$3:$L$6,5,0)=Variables!$B$5,((YEAR(B329)-YEAR($B$12))*12+MONTH(B329)-MONTH($B$12)),((YEAR(B329)-YEAR(VLOOKUP(I329,$C$3:$L$6,8,0)))*12+MONTH(B329)-MONTH(VLOOKUP(I329,$C$3:$L$6,8,0))))*VLOOKUP(I329,$C$3:$L$6,7,0),0)),""),"")</f>
        <v/>
      </c>
      <c r="L329" s="29" t="str">
        <f t="shared" ca="1" si="34"/>
        <v/>
      </c>
      <c r="M329" s="10"/>
      <c r="N329" s="10"/>
    </row>
    <row r="330" spans="1:14" x14ac:dyDescent="0.25">
      <c r="A330" s="10"/>
      <c r="B330" s="14" t="str">
        <f t="shared" ca="1" si="35"/>
        <v/>
      </c>
      <c r="C330" s="14" t="str">
        <f ca="1">IF(I329&lt;&gt;Variables!$B$1,IF(H329&lt;&gt;0,C329,I329),"")</f>
        <v/>
      </c>
      <c r="D330" s="29" t="str">
        <f t="shared" ca="1" si="32"/>
        <v/>
      </c>
      <c r="E330" s="29" t="str">
        <f t="shared" ca="1" si="33"/>
        <v/>
      </c>
      <c r="F330" s="29" t="str">
        <f ca="1">IF(C330&lt;&gt;"",IF(OR(VLOOKUP(C330,$C$3:$L$6,5,0)=Variables!$B$5,B330&gt;VLOOKUP(C330,$C$3:$L$6,8,0)),-D330*VLOOKUP(C330,$C$3:$L$6,6,0)/12,0),"")</f>
        <v/>
      </c>
      <c r="G330" s="29" t="str">
        <f ca="1">IF(I330&lt;&gt;Variables!$B$1,IF(C330&lt;&gt;"",$I$9-E330-F330,""),-D330)</f>
        <v/>
      </c>
      <c r="H330" s="29" t="str">
        <f t="shared" ca="1" si="36"/>
        <v/>
      </c>
      <c r="I330" s="31" t="str">
        <f ca="1">IF(C330&lt;&gt;"",IF(D330+$I$9-E330-F330&gt;=0,IF(ISERROR(INDEX($C$3:$C$6,MATCH(C330,$C$3:$C$6,0)+1,0)),Variables!$B$1,INDEX($C$3:$C$6,MATCH(C330,$C$3:$C$6,0)+1,0)),""),"")</f>
        <v/>
      </c>
      <c r="J330" s="29" t="str">
        <f ca="1">IF(ISERROR(VLOOKUP(I330,$C$3:$L$6,5,0)),"",IF(OR(VLOOKUP(I330,$C$3:$L$6,5,0)=Variables!$B$5,B330&gt;VLOOKUP(I330,$C$3:$L$6,8,0)),IF(VLOOKUP(I330,$C$3:$L$6,5,0)=Variables!$B$5,((YEAR(B330)-YEAR($B$12))*12+MONTH(B330)-MONTH($B$12)),((YEAR(B330)-YEAR(VLOOKUP(I330,$C$3:$L$6,8,0)))*12+MONTH(B330)-MONTH(VLOOKUP(I330,$C$3:$L$6,8,0))))*(VLOOKUP(I330,$C$3:$L$6,10,0)*VLOOKUP(I330,$C$3:$L$6,6,0)/12),0))</f>
        <v/>
      </c>
      <c r="K330" s="29" t="str">
        <f ca="1">IF(C330&lt;&gt;"",IF(I330&lt;&gt;"",IF(ISERROR(VLOOKUP(I330,$C$3:$L$6,10,0)),"",VLOOKUP(I330,$C$3:$L$6,10,0)+J330+IF(OR(VLOOKUP(I330,$C$3:$L$6,5,0)=Variables!$B$5,B330&gt;VLOOKUP(I330,$C$3:$L$6,8,0)),IF(VLOOKUP(I330,$C$3:$L$6,5,0)=Variables!$B$5,((YEAR(B330)-YEAR($B$12))*12+MONTH(B330)-MONTH($B$12)),((YEAR(B330)-YEAR(VLOOKUP(I330,$C$3:$L$6,8,0)))*12+MONTH(B330)-MONTH(VLOOKUP(I330,$C$3:$L$6,8,0))))*VLOOKUP(I330,$C$3:$L$6,7,0),0)),""),"")</f>
        <v/>
      </c>
      <c r="L330" s="29" t="str">
        <f t="shared" ca="1" si="34"/>
        <v/>
      </c>
      <c r="M330" s="10"/>
      <c r="N330" s="10"/>
    </row>
    <row r="331" spans="1:14" x14ac:dyDescent="0.25">
      <c r="A331" s="10"/>
      <c r="B331" s="14" t="str">
        <f t="shared" ca="1" si="35"/>
        <v/>
      </c>
      <c r="C331" s="14" t="str">
        <f ca="1">IF(I330&lt;&gt;Variables!$B$1,IF(H330&lt;&gt;0,C330,I330),"")</f>
        <v/>
      </c>
      <c r="D331" s="29" t="str">
        <f t="shared" ca="1" si="32"/>
        <v/>
      </c>
      <c r="E331" s="29" t="str">
        <f t="shared" ca="1" si="33"/>
        <v/>
      </c>
      <c r="F331" s="29" t="str">
        <f ca="1">IF(C331&lt;&gt;"",IF(OR(VLOOKUP(C331,$C$3:$L$6,5,0)=Variables!$B$5,B331&gt;VLOOKUP(C331,$C$3:$L$6,8,0)),-D331*VLOOKUP(C331,$C$3:$L$6,6,0)/12,0),"")</f>
        <v/>
      </c>
      <c r="G331" s="29" t="str">
        <f ca="1">IF(I331&lt;&gt;Variables!$B$1,IF(C331&lt;&gt;"",$I$9-E331-F331,""),-D331)</f>
        <v/>
      </c>
      <c r="H331" s="29" t="str">
        <f t="shared" ca="1" si="36"/>
        <v/>
      </c>
      <c r="I331" s="31" t="str">
        <f ca="1">IF(C331&lt;&gt;"",IF(D331+$I$9-E331-F331&gt;=0,IF(ISERROR(INDEX($C$3:$C$6,MATCH(C331,$C$3:$C$6,0)+1,0)),Variables!$B$1,INDEX($C$3:$C$6,MATCH(C331,$C$3:$C$6,0)+1,0)),""),"")</f>
        <v/>
      </c>
      <c r="J331" s="29" t="str">
        <f ca="1">IF(ISERROR(VLOOKUP(I331,$C$3:$L$6,5,0)),"",IF(OR(VLOOKUP(I331,$C$3:$L$6,5,0)=Variables!$B$5,B331&gt;VLOOKUP(I331,$C$3:$L$6,8,0)),IF(VLOOKUP(I331,$C$3:$L$6,5,0)=Variables!$B$5,((YEAR(B331)-YEAR($B$12))*12+MONTH(B331)-MONTH($B$12)),((YEAR(B331)-YEAR(VLOOKUP(I331,$C$3:$L$6,8,0)))*12+MONTH(B331)-MONTH(VLOOKUP(I331,$C$3:$L$6,8,0))))*(VLOOKUP(I331,$C$3:$L$6,10,0)*VLOOKUP(I331,$C$3:$L$6,6,0)/12),0))</f>
        <v/>
      </c>
      <c r="K331" s="29" t="str">
        <f ca="1">IF(C331&lt;&gt;"",IF(I331&lt;&gt;"",IF(ISERROR(VLOOKUP(I331,$C$3:$L$6,10,0)),"",VLOOKUP(I331,$C$3:$L$6,10,0)+J331+IF(OR(VLOOKUP(I331,$C$3:$L$6,5,0)=Variables!$B$5,B331&gt;VLOOKUP(I331,$C$3:$L$6,8,0)),IF(VLOOKUP(I331,$C$3:$L$6,5,0)=Variables!$B$5,((YEAR(B331)-YEAR($B$12))*12+MONTH(B331)-MONTH($B$12)),((YEAR(B331)-YEAR(VLOOKUP(I331,$C$3:$L$6,8,0)))*12+MONTH(B331)-MONTH(VLOOKUP(I331,$C$3:$L$6,8,0))))*VLOOKUP(I331,$C$3:$L$6,7,0),0)),""),"")</f>
        <v/>
      </c>
      <c r="L331" s="29" t="str">
        <f t="shared" ca="1" si="34"/>
        <v/>
      </c>
      <c r="M331" s="10"/>
      <c r="N331" s="10"/>
    </row>
    <row r="332" spans="1:14" x14ac:dyDescent="0.25">
      <c r="A332" s="10"/>
      <c r="B332" s="14" t="str">
        <f t="shared" ca="1" si="35"/>
        <v/>
      </c>
      <c r="C332" s="14" t="str">
        <f ca="1">IF(I331&lt;&gt;Variables!$B$1,IF(H331&lt;&gt;0,C331,I331),"")</f>
        <v/>
      </c>
      <c r="D332" s="29" t="str">
        <f t="shared" ca="1" si="32"/>
        <v/>
      </c>
      <c r="E332" s="29" t="str">
        <f t="shared" ca="1" si="33"/>
        <v/>
      </c>
      <c r="F332" s="29" t="str">
        <f ca="1">IF(C332&lt;&gt;"",IF(OR(VLOOKUP(C332,$C$3:$L$6,5,0)=Variables!$B$5,B332&gt;VLOOKUP(C332,$C$3:$L$6,8,0)),-D332*VLOOKUP(C332,$C$3:$L$6,6,0)/12,0),"")</f>
        <v/>
      </c>
      <c r="G332" s="29" t="str">
        <f ca="1">IF(I332&lt;&gt;Variables!$B$1,IF(C332&lt;&gt;"",$I$9-E332-F332,""),-D332)</f>
        <v/>
      </c>
      <c r="H332" s="29" t="str">
        <f t="shared" ca="1" si="36"/>
        <v/>
      </c>
      <c r="I332" s="31" t="str">
        <f ca="1">IF(C332&lt;&gt;"",IF(D332+$I$9-E332-F332&gt;=0,IF(ISERROR(INDEX($C$3:$C$6,MATCH(C332,$C$3:$C$6,0)+1,0)),Variables!$B$1,INDEX($C$3:$C$6,MATCH(C332,$C$3:$C$6,0)+1,0)),""),"")</f>
        <v/>
      </c>
      <c r="J332" s="29" t="str">
        <f ca="1">IF(ISERROR(VLOOKUP(I332,$C$3:$L$6,5,0)),"",IF(OR(VLOOKUP(I332,$C$3:$L$6,5,0)=Variables!$B$5,B332&gt;VLOOKUP(I332,$C$3:$L$6,8,0)),IF(VLOOKUP(I332,$C$3:$L$6,5,0)=Variables!$B$5,((YEAR(B332)-YEAR($B$12))*12+MONTH(B332)-MONTH($B$12)),((YEAR(B332)-YEAR(VLOOKUP(I332,$C$3:$L$6,8,0)))*12+MONTH(B332)-MONTH(VLOOKUP(I332,$C$3:$L$6,8,0))))*(VLOOKUP(I332,$C$3:$L$6,10,0)*VLOOKUP(I332,$C$3:$L$6,6,0)/12),0))</f>
        <v/>
      </c>
      <c r="K332" s="29" t="str">
        <f ca="1">IF(C332&lt;&gt;"",IF(I332&lt;&gt;"",IF(ISERROR(VLOOKUP(I332,$C$3:$L$6,10,0)),"",VLOOKUP(I332,$C$3:$L$6,10,0)+J332+IF(OR(VLOOKUP(I332,$C$3:$L$6,5,0)=Variables!$B$5,B332&gt;VLOOKUP(I332,$C$3:$L$6,8,0)),IF(VLOOKUP(I332,$C$3:$L$6,5,0)=Variables!$B$5,((YEAR(B332)-YEAR($B$12))*12+MONTH(B332)-MONTH($B$12)),((YEAR(B332)-YEAR(VLOOKUP(I332,$C$3:$L$6,8,0)))*12+MONTH(B332)-MONTH(VLOOKUP(I332,$C$3:$L$6,8,0))))*VLOOKUP(I332,$C$3:$L$6,7,0),0)),""),"")</f>
        <v/>
      </c>
      <c r="L332" s="29" t="str">
        <f t="shared" ca="1" si="34"/>
        <v/>
      </c>
      <c r="M332" s="10"/>
      <c r="N332" s="10"/>
    </row>
    <row r="333" spans="1:14" x14ac:dyDescent="0.25">
      <c r="A333" s="10"/>
      <c r="B333" s="14" t="str">
        <f t="shared" ca="1" si="35"/>
        <v/>
      </c>
      <c r="C333" s="14" t="str">
        <f ca="1">IF(I332&lt;&gt;Variables!$B$1,IF(H332&lt;&gt;0,C332,I332),"")</f>
        <v/>
      </c>
      <c r="D333" s="29" t="str">
        <f t="shared" ca="1" si="32"/>
        <v/>
      </c>
      <c r="E333" s="29" t="str">
        <f t="shared" ca="1" si="33"/>
        <v/>
      </c>
      <c r="F333" s="29" t="str">
        <f ca="1">IF(C333&lt;&gt;"",IF(OR(VLOOKUP(C333,$C$3:$L$6,5,0)=Variables!$B$5,B333&gt;VLOOKUP(C333,$C$3:$L$6,8,0)),-D333*VLOOKUP(C333,$C$3:$L$6,6,0)/12,0),"")</f>
        <v/>
      </c>
      <c r="G333" s="29" t="str">
        <f ca="1">IF(I333&lt;&gt;Variables!$B$1,IF(C333&lt;&gt;"",$I$9-E333-F333,""),-D333)</f>
        <v/>
      </c>
      <c r="H333" s="29" t="str">
        <f t="shared" ca="1" si="36"/>
        <v/>
      </c>
      <c r="I333" s="31" t="str">
        <f ca="1">IF(C333&lt;&gt;"",IF(D333+$I$9-E333-F333&gt;=0,IF(ISERROR(INDEX($C$3:$C$6,MATCH(C333,$C$3:$C$6,0)+1,0)),Variables!$B$1,INDEX($C$3:$C$6,MATCH(C333,$C$3:$C$6,0)+1,0)),""),"")</f>
        <v/>
      </c>
      <c r="J333" s="29" t="str">
        <f ca="1">IF(ISERROR(VLOOKUP(I333,$C$3:$L$6,5,0)),"",IF(OR(VLOOKUP(I333,$C$3:$L$6,5,0)=Variables!$B$5,B333&gt;VLOOKUP(I333,$C$3:$L$6,8,0)),IF(VLOOKUP(I333,$C$3:$L$6,5,0)=Variables!$B$5,((YEAR(B333)-YEAR($B$12))*12+MONTH(B333)-MONTH($B$12)),((YEAR(B333)-YEAR(VLOOKUP(I333,$C$3:$L$6,8,0)))*12+MONTH(B333)-MONTH(VLOOKUP(I333,$C$3:$L$6,8,0))))*(VLOOKUP(I333,$C$3:$L$6,10,0)*VLOOKUP(I333,$C$3:$L$6,6,0)/12),0))</f>
        <v/>
      </c>
      <c r="K333" s="29" t="str">
        <f ca="1">IF(C333&lt;&gt;"",IF(I333&lt;&gt;"",IF(ISERROR(VLOOKUP(I333,$C$3:$L$6,10,0)),"",VLOOKUP(I333,$C$3:$L$6,10,0)+J333+IF(OR(VLOOKUP(I333,$C$3:$L$6,5,0)=Variables!$B$5,B333&gt;VLOOKUP(I333,$C$3:$L$6,8,0)),IF(VLOOKUP(I333,$C$3:$L$6,5,0)=Variables!$B$5,((YEAR(B333)-YEAR($B$12))*12+MONTH(B333)-MONTH($B$12)),((YEAR(B333)-YEAR(VLOOKUP(I333,$C$3:$L$6,8,0)))*12+MONTH(B333)-MONTH(VLOOKUP(I333,$C$3:$L$6,8,0))))*VLOOKUP(I333,$C$3:$L$6,7,0),0)),""),"")</f>
        <v/>
      </c>
      <c r="L333" s="29" t="str">
        <f t="shared" ca="1" si="34"/>
        <v/>
      </c>
      <c r="M333" s="10"/>
      <c r="N333" s="10"/>
    </row>
    <row r="334" spans="1:14" x14ac:dyDescent="0.25">
      <c r="A334" s="10"/>
      <c r="B334" s="14" t="str">
        <f t="shared" ca="1" si="35"/>
        <v/>
      </c>
      <c r="C334" s="14" t="str">
        <f ca="1">IF(I333&lt;&gt;Variables!$B$1,IF(H333&lt;&gt;0,C333,I333),"")</f>
        <v/>
      </c>
      <c r="D334" s="29" t="str">
        <f t="shared" ca="1" si="32"/>
        <v/>
      </c>
      <c r="E334" s="29" t="str">
        <f t="shared" ca="1" si="33"/>
        <v/>
      </c>
      <c r="F334" s="29" t="str">
        <f ca="1">IF(C334&lt;&gt;"",IF(OR(VLOOKUP(C334,$C$3:$L$6,5,0)=Variables!$B$5,B334&gt;VLOOKUP(C334,$C$3:$L$6,8,0)),-D334*VLOOKUP(C334,$C$3:$L$6,6,0)/12,0),"")</f>
        <v/>
      </c>
      <c r="G334" s="29" t="str">
        <f ca="1">IF(I334&lt;&gt;Variables!$B$1,IF(C334&lt;&gt;"",$I$9-E334-F334,""),-D334)</f>
        <v/>
      </c>
      <c r="H334" s="29" t="str">
        <f t="shared" ca="1" si="36"/>
        <v/>
      </c>
      <c r="I334" s="31" t="str">
        <f ca="1">IF(C334&lt;&gt;"",IF(D334+$I$9-E334-F334&gt;=0,IF(ISERROR(INDEX($C$3:$C$6,MATCH(C334,$C$3:$C$6,0)+1,0)),Variables!$B$1,INDEX($C$3:$C$6,MATCH(C334,$C$3:$C$6,0)+1,0)),""),"")</f>
        <v/>
      </c>
      <c r="J334" s="29" t="str">
        <f ca="1">IF(ISERROR(VLOOKUP(I334,$C$3:$L$6,5,0)),"",IF(OR(VLOOKUP(I334,$C$3:$L$6,5,0)=Variables!$B$5,B334&gt;VLOOKUP(I334,$C$3:$L$6,8,0)),IF(VLOOKUP(I334,$C$3:$L$6,5,0)=Variables!$B$5,((YEAR(B334)-YEAR($B$12))*12+MONTH(B334)-MONTH($B$12)),((YEAR(B334)-YEAR(VLOOKUP(I334,$C$3:$L$6,8,0)))*12+MONTH(B334)-MONTH(VLOOKUP(I334,$C$3:$L$6,8,0))))*(VLOOKUP(I334,$C$3:$L$6,10,0)*VLOOKUP(I334,$C$3:$L$6,6,0)/12),0))</f>
        <v/>
      </c>
      <c r="K334" s="29" t="str">
        <f ca="1">IF(C334&lt;&gt;"",IF(I334&lt;&gt;"",IF(ISERROR(VLOOKUP(I334,$C$3:$L$6,10,0)),"",VLOOKUP(I334,$C$3:$L$6,10,0)+J334+IF(OR(VLOOKUP(I334,$C$3:$L$6,5,0)=Variables!$B$5,B334&gt;VLOOKUP(I334,$C$3:$L$6,8,0)),IF(VLOOKUP(I334,$C$3:$L$6,5,0)=Variables!$B$5,((YEAR(B334)-YEAR($B$12))*12+MONTH(B334)-MONTH($B$12)),((YEAR(B334)-YEAR(VLOOKUP(I334,$C$3:$L$6,8,0)))*12+MONTH(B334)-MONTH(VLOOKUP(I334,$C$3:$L$6,8,0))))*VLOOKUP(I334,$C$3:$L$6,7,0),0)),""),"")</f>
        <v/>
      </c>
      <c r="L334" s="29" t="str">
        <f t="shared" ca="1" si="34"/>
        <v/>
      </c>
      <c r="M334" s="10"/>
      <c r="N334" s="10"/>
    </row>
    <row r="335" spans="1:14" x14ac:dyDescent="0.25">
      <c r="A335" s="10"/>
      <c r="B335" s="14" t="str">
        <f t="shared" ca="1" si="35"/>
        <v/>
      </c>
      <c r="C335" s="14" t="str">
        <f ca="1">IF(I334&lt;&gt;Variables!$B$1,IF(H334&lt;&gt;0,C334,I334),"")</f>
        <v/>
      </c>
      <c r="D335" s="29" t="str">
        <f t="shared" ca="1" si="32"/>
        <v/>
      </c>
      <c r="E335" s="29" t="str">
        <f t="shared" ca="1" si="33"/>
        <v/>
      </c>
      <c r="F335" s="29" t="str">
        <f ca="1">IF(C335&lt;&gt;"",IF(OR(VLOOKUP(C335,$C$3:$L$6,5,0)=Variables!$B$5,B335&gt;VLOOKUP(C335,$C$3:$L$6,8,0)),-D335*VLOOKUP(C335,$C$3:$L$6,6,0)/12,0),"")</f>
        <v/>
      </c>
      <c r="G335" s="29" t="str">
        <f ca="1">IF(I335&lt;&gt;Variables!$B$1,IF(C335&lt;&gt;"",$I$9-E335-F335,""),-D335)</f>
        <v/>
      </c>
      <c r="H335" s="29" t="str">
        <f t="shared" ca="1" si="36"/>
        <v/>
      </c>
      <c r="I335" s="31" t="str">
        <f ca="1">IF(C335&lt;&gt;"",IF(D335+$I$9-E335-F335&gt;=0,IF(ISERROR(INDEX($C$3:$C$6,MATCH(C335,$C$3:$C$6,0)+1,0)),Variables!$B$1,INDEX($C$3:$C$6,MATCH(C335,$C$3:$C$6,0)+1,0)),""),"")</f>
        <v/>
      </c>
      <c r="J335" s="29" t="str">
        <f ca="1">IF(ISERROR(VLOOKUP(I335,$C$3:$L$6,5,0)),"",IF(OR(VLOOKUP(I335,$C$3:$L$6,5,0)=Variables!$B$5,B335&gt;VLOOKUP(I335,$C$3:$L$6,8,0)),IF(VLOOKUP(I335,$C$3:$L$6,5,0)=Variables!$B$5,((YEAR(B335)-YEAR($B$12))*12+MONTH(B335)-MONTH($B$12)),((YEAR(B335)-YEAR(VLOOKUP(I335,$C$3:$L$6,8,0)))*12+MONTH(B335)-MONTH(VLOOKUP(I335,$C$3:$L$6,8,0))))*(VLOOKUP(I335,$C$3:$L$6,10,0)*VLOOKUP(I335,$C$3:$L$6,6,0)/12),0))</f>
        <v/>
      </c>
      <c r="K335" s="29" t="str">
        <f ca="1">IF(C335&lt;&gt;"",IF(I335&lt;&gt;"",IF(ISERROR(VLOOKUP(I335,$C$3:$L$6,10,0)),"",VLOOKUP(I335,$C$3:$L$6,10,0)+J335+IF(OR(VLOOKUP(I335,$C$3:$L$6,5,0)=Variables!$B$5,B335&gt;VLOOKUP(I335,$C$3:$L$6,8,0)),IF(VLOOKUP(I335,$C$3:$L$6,5,0)=Variables!$B$5,((YEAR(B335)-YEAR($B$12))*12+MONTH(B335)-MONTH($B$12)),((YEAR(B335)-YEAR(VLOOKUP(I335,$C$3:$L$6,8,0)))*12+MONTH(B335)-MONTH(VLOOKUP(I335,$C$3:$L$6,8,0))))*VLOOKUP(I335,$C$3:$L$6,7,0),0)),""),"")</f>
        <v/>
      </c>
      <c r="L335" s="29" t="str">
        <f t="shared" ca="1" si="34"/>
        <v/>
      </c>
      <c r="M335" s="10"/>
      <c r="N335" s="10"/>
    </row>
    <row r="336" spans="1:14" x14ac:dyDescent="0.25">
      <c r="A336" s="10"/>
      <c r="B336" s="14" t="str">
        <f t="shared" ca="1" si="35"/>
        <v/>
      </c>
      <c r="C336" s="14" t="str">
        <f ca="1">IF(I335&lt;&gt;Variables!$B$1,IF(H335&lt;&gt;0,C335,I335),"")</f>
        <v/>
      </c>
      <c r="D336" s="29" t="str">
        <f t="shared" ca="1" si="32"/>
        <v/>
      </c>
      <c r="E336" s="29" t="str">
        <f t="shared" ca="1" si="33"/>
        <v/>
      </c>
      <c r="F336" s="29" t="str">
        <f ca="1">IF(C336&lt;&gt;"",IF(OR(VLOOKUP(C336,$C$3:$L$6,5,0)=Variables!$B$5,B336&gt;VLOOKUP(C336,$C$3:$L$6,8,0)),-D336*VLOOKUP(C336,$C$3:$L$6,6,0)/12,0),"")</f>
        <v/>
      </c>
      <c r="G336" s="29" t="str">
        <f ca="1">IF(I336&lt;&gt;Variables!$B$1,IF(C336&lt;&gt;"",$I$9-E336-F336,""),-D336)</f>
        <v/>
      </c>
      <c r="H336" s="29" t="str">
        <f t="shared" ca="1" si="36"/>
        <v/>
      </c>
      <c r="I336" s="31" t="str">
        <f ca="1">IF(C336&lt;&gt;"",IF(D336+$I$9-E336-F336&gt;=0,IF(ISERROR(INDEX($C$3:$C$6,MATCH(C336,$C$3:$C$6,0)+1,0)),Variables!$B$1,INDEX($C$3:$C$6,MATCH(C336,$C$3:$C$6,0)+1,0)),""),"")</f>
        <v/>
      </c>
      <c r="J336" s="29" t="str">
        <f ca="1">IF(ISERROR(VLOOKUP(I336,$C$3:$L$6,5,0)),"",IF(OR(VLOOKUP(I336,$C$3:$L$6,5,0)=Variables!$B$5,B336&gt;VLOOKUP(I336,$C$3:$L$6,8,0)),IF(VLOOKUP(I336,$C$3:$L$6,5,0)=Variables!$B$5,((YEAR(B336)-YEAR($B$12))*12+MONTH(B336)-MONTH($B$12)),((YEAR(B336)-YEAR(VLOOKUP(I336,$C$3:$L$6,8,0)))*12+MONTH(B336)-MONTH(VLOOKUP(I336,$C$3:$L$6,8,0))))*(VLOOKUP(I336,$C$3:$L$6,10,0)*VLOOKUP(I336,$C$3:$L$6,6,0)/12),0))</f>
        <v/>
      </c>
      <c r="K336" s="29" t="str">
        <f ca="1">IF(C336&lt;&gt;"",IF(I336&lt;&gt;"",IF(ISERROR(VLOOKUP(I336,$C$3:$L$6,10,0)),"",VLOOKUP(I336,$C$3:$L$6,10,0)+J336+IF(OR(VLOOKUP(I336,$C$3:$L$6,5,0)=Variables!$B$5,B336&gt;VLOOKUP(I336,$C$3:$L$6,8,0)),IF(VLOOKUP(I336,$C$3:$L$6,5,0)=Variables!$B$5,((YEAR(B336)-YEAR($B$12))*12+MONTH(B336)-MONTH($B$12)),((YEAR(B336)-YEAR(VLOOKUP(I336,$C$3:$L$6,8,0)))*12+MONTH(B336)-MONTH(VLOOKUP(I336,$C$3:$L$6,8,0))))*VLOOKUP(I336,$C$3:$L$6,7,0),0)),""),"")</f>
        <v/>
      </c>
      <c r="L336" s="29" t="str">
        <f t="shared" ca="1" si="34"/>
        <v/>
      </c>
      <c r="M336" s="10"/>
      <c r="N336" s="10"/>
    </row>
    <row r="337" spans="1:14" x14ac:dyDescent="0.25">
      <c r="A337" s="10"/>
      <c r="B337" s="14" t="str">
        <f t="shared" ca="1" si="35"/>
        <v/>
      </c>
      <c r="C337" s="14" t="str">
        <f ca="1">IF(I336&lt;&gt;Variables!$B$1,IF(H336&lt;&gt;0,C336,I336),"")</f>
        <v/>
      </c>
      <c r="D337" s="29" t="str">
        <f t="shared" ca="1" si="32"/>
        <v/>
      </c>
      <c r="E337" s="29" t="str">
        <f t="shared" ca="1" si="33"/>
        <v/>
      </c>
      <c r="F337" s="29" t="str">
        <f ca="1">IF(C337&lt;&gt;"",IF(OR(VLOOKUP(C337,$C$3:$L$6,5,0)=Variables!$B$5,B337&gt;VLOOKUP(C337,$C$3:$L$6,8,0)),-D337*VLOOKUP(C337,$C$3:$L$6,6,0)/12,0),"")</f>
        <v/>
      </c>
      <c r="G337" s="29" t="str">
        <f ca="1">IF(I337&lt;&gt;Variables!$B$1,IF(C337&lt;&gt;"",$I$9-E337-F337,""),-D337)</f>
        <v/>
      </c>
      <c r="H337" s="29" t="str">
        <f t="shared" ca="1" si="36"/>
        <v/>
      </c>
      <c r="I337" s="31" t="str">
        <f ca="1">IF(C337&lt;&gt;"",IF(D337+$I$9-E337-F337&gt;=0,IF(ISERROR(INDEX($C$3:$C$6,MATCH(C337,$C$3:$C$6,0)+1,0)),Variables!$B$1,INDEX($C$3:$C$6,MATCH(C337,$C$3:$C$6,0)+1,0)),""),"")</f>
        <v/>
      </c>
      <c r="J337" s="29" t="str">
        <f ca="1">IF(ISERROR(VLOOKUP(I337,$C$3:$L$6,5,0)),"",IF(OR(VLOOKUP(I337,$C$3:$L$6,5,0)=Variables!$B$5,B337&gt;VLOOKUP(I337,$C$3:$L$6,8,0)),IF(VLOOKUP(I337,$C$3:$L$6,5,0)=Variables!$B$5,((YEAR(B337)-YEAR($B$12))*12+MONTH(B337)-MONTH($B$12)),((YEAR(B337)-YEAR(VLOOKUP(I337,$C$3:$L$6,8,0)))*12+MONTH(B337)-MONTH(VLOOKUP(I337,$C$3:$L$6,8,0))))*(VLOOKUP(I337,$C$3:$L$6,10,0)*VLOOKUP(I337,$C$3:$L$6,6,0)/12),0))</f>
        <v/>
      </c>
      <c r="K337" s="29" t="str">
        <f ca="1">IF(C337&lt;&gt;"",IF(I337&lt;&gt;"",IF(ISERROR(VLOOKUP(I337,$C$3:$L$6,10,0)),"",VLOOKUP(I337,$C$3:$L$6,10,0)+J337+IF(OR(VLOOKUP(I337,$C$3:$L$6,5,0)=Variables!$B$5,B337&gt;VLOOKUP(I337,$C$3:$L$6,8,0)),IF(VLOOKUP(I337,$C$3:$L$6,5,0)=Variables!$B$5,((YEAR(B337)-YEAR($B$12))*12+MONTH(B337)-MONTH($B$12)),((YEAR(B337)-YEAR(VLOOKUP(I337,$C$3:$L$6,8,0)))*12+MONTH(B337)-MONTH(VLOOKUP(I337,$C$3:$L$6,8,0))))*VLOOKUP(I337,$C$3:$L$6,7,0),0)),""),"")</f>
        <v/>
      </c>
      <c r="L337" s="29" t="str">
        <f t="shared" ca="1" si="34"/>
        <v/>
      </c>
      <c r="M337" s="10"/>
      <c r="N337" s="10"/>
    </row>
    <row r="338" spans="1:14" x14ac:dyDescent="0.25">
      <c r="A338" s="10"/>
      <c r="B338" s="14" t="str">
        <f t="shared" ca="1" si="35"/>
        <v/>
      </c>
      <c r="C338" s="14" t="str">
        <f ca="1">IF(I337&lt;&gt;Variables!$B$1,IF(H337&lt;&gt;0,C337,I337),"")</f>
        <v/>
      </c>
      <c r="D338" s="29" t="str">
        <f t="shared" ca="1" si="32"/>
        <v/>
      </c>
      <c r="E338" s="29" t="str">
        <f t="shared" ca="1" si="33"/>
        <v/>
      </c>
      <c r="F338" s="29" t="str">
        <f ca="1">IF(C338&lt;&gt;"",IF(OR(VLOOKUP(C338,$C$3:$L$6,5,0)=Variables!$B$5,B338&gt;VLOOKUP(C338,$C$3:$L$6,8,0)),-D338*VLOOKUP(C338,$C$3:$L$6,6,0)/12,0),"")</f>
        <v/>
      </c>
      <c r="G338" s="29" t="str">
        <f ca="1">IF(I338&lt;&gt;Variables!$B$1,IF(C338&lt;&gt;"",$I$9-E338-F338,""),-D338)</f>
        <v/>
      </c>
      <c r="H338" s="29" t="str">
        <f t="shared" ca="1" si="36"/>
        <v/>
      </c>
      <c r="I338" s="31" t="str">
        <f ca="1">IF(C338&lt;&gt;"",IF(D338+$I$9-E338-F338&gt;=0,IF(ISERROR(INDEX($C$3:$C$6,MATCH(C338,$C$3:$C$6,0)+1,0)),Variables!$B$1,INDEX($C$3:$C$6,MATCH(C338,$C$3:$C$6,0)+1,0)),""),"")</f>
        <v/>
      </c>
      <c r="J338" s="29" t="str">
        <f ca="1">IF(ISERROR(VLOOKUP(I338,$C$3:$L$6,5,0)),"",IF(OR(VLOOKUP(I338,$C$3:$L$6,5,0)=Variables!$B$5,B338&gt;VLOOKUP(I338,$C$3:$L$6,8,0)),IF(VLOOKUP(I338,$C$3:$L$6,5,0)=Variables!$B$5,((YEAR(B338)-YEAR($B$12))*12+MONTH(B338)-MONTH($B$12)),((YEAR(B338)-YEAR(VLOOKUP(I338,$C$3:$L$6,8,0)))*12+MONTH(B338)-MONTH(VLOOKUP(I338,$C$3:$L$6,8,0))))*(VLOOKUP(I338,$C$3:$L$6,10,0)*VLOOKUP(I338,$C$3:$L$6,6,0)/12),0))</f>
        <v/>
      </c>
      <c r="K338" s="29" t="str">
        <f ca="1">IF(C338&lt;&gt;"",IF(I338&lt;&gt;"",IF(ISERROR(VLOOKUP(I338,$C$3:$L$6,10,0)),"",VLOOKUP(I338,$C$3:$L$6,10,0)+J338+IF(OR(VLOOKUP(I338,$C$3:$L$6,5,0)=Variables!$B$5,B338&gt;VLOOKUP(I338,$C$3:$L$6,8,0)),IF(VLOOKUP(I338,$C$3:$L$6,5,0)=Variables!$B$5,((YEAR(B338)-YEAR($B$12))*12+MONTH(B338)-MONTH($B$12)),((YEAR(B338)-YEAR(VLOOKUP(I338,$C$3:$L$6,8,0)))*12+MONTH(B338)-MONTH(VLOOKUP(I338,$C$3:$L$6,8,0))))*VLOOKUP(I338,$C$3:$L$6,7,0),0)),""),"")</f>
        <v/>
      </c>
      <c r="L338" s="29" t="str">
        <f t="shared" ca="1" si="34"/>
        <v/>
      </c>
      <c r="M338" s="10"/>
      <c r="N338" s="10"/>
    </row>
    <row r="339" spans="1:14" x14ac:dyDescent="0.25">
      <c r="A339" s="10"/>
      <c r="B339" s="14" t="str">
        <f t="shared" ca="1" si="35"/>
        <v/>
      </c>
      <c r="C339" s="14" t="str">
        <f ca="1">IF(I338&lt;&gt;Variables!$B$1,IF(H338&lt;&gt;0,C338,I338),"")</f>
        <v/>
      </c>
      <c r="D339" s="29" t="str">
        <f t="shared" ca="1" si="32"/>
        <v/>
      </c>
      <c r="E339" s="29" t="str">
        <f t="shared" ca="1" si="33"/>
        <v/>
      </c>
      <c r="F339" s="29" t="str">
        <f ca="1">IF(C339&lt;&gt;"",IF(OR(VLOOKUP(C339,$C$3:$L$6,5,0)=Variables!$B$5,B339&gt;VLOOKUP(C339,$C$3:$L$6,8,0)),-D339*VLOOKUP(C339,$C$3:$L$6,6,0)/12,0),"")</f>
        <v/>
      </c>
      <c r="G339" s="29" t="str">
        <f ca="1">IF(I339&lt;&gt;Variables!$B$1,IF(C339&lt;&gt;"",$I$9-E339-F339,""),-D339)</f>
        <v/>
      </c>
      <c r="H339" s="29" t="str">
        <f t="shared" ca="1" si="36"/>
        <v/>
      </c>
      <c r="I339" s="31" t="str">
        <f ca="1">IF(C339&lt;&gt;"",IF(D339+$I$9-E339-F339&gt;=0,IF(ISERROR(INDEX($C$3:$C$6,MATCH(C339,$C$3:$C$6,0)+1,0)),Variables!$B$1,INDEX($C$3:$C$6,MATCH(C339,$C$3:$C$6,0)+1,0)),""),"")</f>
        <v/>
      </c>
      <c r="J339" s="29" t="str">
        <f ca="1">IF(ISERROR(VLOOKUP(I339,$C$3:$L$6,5,0)),"",IF(OR(VLOOKUP(I339,$C$3:$L$6,5,0)=Variables!$B$5,B339&gt;VLOOKUP(I339,$C$3:$L$6,8,0)),IF(VLOOKUP(I339,$C$3:$L$6,5,0)=Variables!$B$5,((YEAR(B339)-YEAR($B$12))*12+MONTH(B339)-MONTH($B$12)),((YEAR(B339)-YEAR(VLOOKUP(I339,$C$3:$L$6,8,0)))*12+MONTH(B339)-MONTH(VLOOKUP(I339,$C$3:$L$6,8,0))))*(VLOOKUP(I339,$C$3:$L$6,10,0)*VLOOKUP(I339,$C$3:$L$6,6,0)/12),0))</f>
        <v/>
      </c>
      <c r="K339" s="29" t="str">
        <f ca="1">IF(C339&lt;&gt;"",IF(I339&lt;&gt;"",IF(ISERROR(VLOOKUP(I339,$C$3:$L$6,10,0)),"",VLOOKUP(I339,$C$3:$L$6,10,0)+J339+IF(OR(VLOOKUP(I339,$C$3:$L$6,5,0)=Variables!$B$5,B339&gt;VLOOKUP(I339,$C$3:$L$6,8,0)),IF(VLOOKUP(I339,$C$3:$L$6,5,0)=Variables!$B$5,((YEAR(B339)-YEAR($B$12))*12+MONTH(B339)-MONTH($B$12)),((YEAR(B339)-YEAR(VLOOKUP(I339,$C$3:$L$6,8,0)))*12+MONTH(B339)-MONTH(VLOOKUP(I339,$C$3:$L$6,8,0))))*VLOOKUP(I339,$C$3:$L$6,7,0),0)),""),"")</f>
        <v/>
      </c>
      <c r="L339" s="29" t="str">
        <f t="shared" ca="1" si="34"/>
        <v/>
      </c>
      <c r="M339" s="10"/>
      <c r="N339" s="10"/>
    </row>
    <row r="340" spans="1:14" x14ac:dyDescent="0.25">
      <c r="A340" s="10"/>
      <c r="B340" s="14" t="str">
        <f t="shared" ca="1" si="35"/>
        <v/>
      </c>
      <c r="C340" s="14" t="str">
        <f ca="1">IF(I339&lt;&gt;Variables!$B$1,IF(H339&lt;&gt;0,C339,I339),"")</f>
        <v/>
      </c>
      <c r="D340" s="29" t="str">
        <f t="shared" ca="1" si="32"/>
        <v/>
      </c>
      <c r="E340" s="29" t="str">
        <f t="shared" ca="1" si="33"/>
        <v/>
      </c>
      <c r="F340" s="29" t="str">
        <f ca="1">IF(C340&lt;&gt;"",IF(OR(VLOOKUP(C340,$C$3:$L$6,5,0)=Variables!$B$5,B340&gt;VLOOKUP(C340,$C$3:$L$6,8,0)),-D340*VLOOKUP(C340,$C$3:$L$6,6,0)/12,0),"")</f>
        <v/>
      </c>
      <c r="G340" s="29" t="str">
        <f ca="1">IF(I340&lt;&gt;Variables!$B$1,IF(C340&lt;&gt;"",$I$9-E340-F340,""),-D340)</f>
        <v/>
      </c>
      <c r="H340" s="29" t="str">
        <f t="shared" ca="1" si="36"/>
        <v/>
      </c>
      <c r="I340" s="31" t="str">
        <f ca="1">IF(C340&lt;&gt;"",IF(D340+$I$9-E340-F340&gt;=0,IF(ISERROR(INDEX($C$3:$C$6,MATCH(C340,$C$3:$C$6,0)+1,0)),Variables!$B$1,INDEX($C$3:$C$6,MATCH(C340,$C$3:$C$6,0)+1,0)),""),"")</f>
        <v/>
      </c>
      <c r="J340" s="29" t="str">
        <f ca="1">IF(ISERROR(VLOOKUP(I340,$C$3:$L$6,5,0)),"",IF(OR(VLOOKUP(I340,$C$3:$L$6,5,0)=Variables!$B$5,B340&gt;VLOOKUP(I340,$C$3:$L$6,8,0)),IF(VLOOKUP(I340,$C$3:$L$6,5,0)=Variables!$B$5,((YEAR(B340)-YEAR($B$12))*12+MONTH(B340)-MONTH($B$12)),((YEAR(B340)-YEAR(VLOOKUP(I340,$C$3:$L$6,8,0)))*12+MONTH(B340)-MONTH(VLOOKUP(I340,$C$3:$L$6,8,0))))*(VLOOKUP(I340,$C$3:$L$6,10,0)*VLOOKUP(I340,$C$3:$L$6,6,0)/12),0))</f>
        <v/>
      </c>
      <c r="K340" s="29" t="str">
        <f ca="1">IF(C340&lt;&gt;"",IF(I340&lt;&gt;"",IF(ISERROR(VLOOKUP(I340,$C$3:$L$6,10,0)),"",VLOOKUP(I340,$C$3:$L$6,10,0)+J340+IF(OR(VLOOKUP(I340,$C$3:$L$6,5,0)=Variables!$B$5,B340&gt;VLOOKUP(I340,$C$3:$L$6,8,0)),IF(VLOOKUP(I340,$C$3:$L$6,5,0)=Variables!$B$5,((YEAR(B340)-YEAR($B$12))*12+MONTH(B340)-MONTH($B$12)),((YEAR(B340)-YEAR(VLOOKUP(I340,$C$3:$L$6,8,0)))*12+MONTH(B340)-MONTH(VLOOKUP(I340,$C$3:$L$6,8,0))))*VLOOKUP(I340,$C$3:$L$6,7,0),0)),""),"")</f>
        <v/>
      </c>
      <c r="L340" s="29" t="str">
        <f t="shared" ca="1" si="34"/>
        <v/>
      </c>
      <c r="M340" s="10"/>
      <c r="N340" s="10"/>
    </row>
    <row r="341" spans="1:14" x14ac:dyDescent="0.25">
      <c r="A341" s="10"/>
      <c r="B341" s="14" t="str">
        <f t="shared" ca="1" si="35"/>
        <v/>
      </c>
      <c r="C341" s="14" t="str">
        <f ca="1">IF(I340&lt;&gt;Variables!$B$1,IF(H340&lt;&gt;0,C340,I340),"")</f>
        <v/>
      </c>
      <c r="D341" s="29" t="str">
        <f t="shared" ca="1" si="32"/>
        <v/>
      </c>
      <c r="E341" s="29" t="str">
        <f t="shared" ca="1" si="33"/>
        <v/>
      </c>
      <c r="F341" s="29" t="str">
        <f ca="1">IF(C341&lt;&gt;"",IF(OR(VLOOKUP(C341,$C$3:$L$6,5,0)=Variables!$B$5,B341&gt;VLOOKUP(C341,$C$3:$L$6,8,0)),-D341*VLOOKUP(C341,$C$3:$L$6,6,0)/12,0),"")</f>
        <v/>
      </c>
      <c r="G341" s="29" t="str">
        <f ca="1">IF(I341&lt;&gt;Variables!$B$1,IF(C341&lt;&gt;"",$I$9-E341-F341,""),-D341)</f>
        <v/>
      </c>
      <c r="H341" s="29" t="str">
        <f t="shared" ca="1" si="36"/>
        <v/>
      </c>
      <c r="I341" s="31" t="str">
        <f ca="1">IF(C341&lt;&gt;"",IF(D341+$I$9-E341-F341&gt;=0,IF(ISERROR(INDEX($C$3:$C$6,MATCH(C341,$C$3:$C$6,0)+1,0)),Variables!$B$1,INDEX($C$3:$C$6,MATCH(C341,$C$3:$C$6,0)+1,0)),""),"")</f>
        <v/>
      </c>
      <c r="J341" s="29" t="str">
        <f ca="1">IF(ISERROR(VLOOKUP(I341,$C$3:$L$6,5,0)),"",IF(OR(VLOOKUP(I341,$C$3:$L$6,5,0)=Variables!$B$5,B341&gt;VLOOKUP(I341,$C$3:$L$6,8,0)),IF(VLOOKUP(I341,$C$3:$L$6,5,0)=Variables!$B$5,((YEAR(B341)-YEAR($B$12))*12+MONTH(B341)-MONTH($B$12)),((YEAR(B341)-YEAR(VLOOKUP(I341,$C$3:$L$6,8,0)))*12+MONTH(B341)-MONTH(VLOOKUP(I341,$C$3:$L$6,8,0))))*(VLOOKUP(I341,$C$3:$L$6,10,0)*VLOOKUP(I341,$C$3:$L$6,6,0)/12),0))</f>
        <v/>
      </c>
      <c r="K341" s="29" t="str">
        <f ca="1">IF(C341&lt;&gt;"",IF(I341&lt;&gt;"",IF(ISERROR(VLOOKUP(I341,$C$3:$L$6,10,0)),"",VLOOKUP(I341,$C$3:$L$6,10,0)+J341+IF(OR(VLOOKUP(I341,$C$3:$L$6,5,0)=Variables!$B$5,B341&gt;VLOOKUP(I341,$C$3:$L$6,8,0)),IF(VLOOKUP(I341,$C$3:$L$6,5,0)=Variables!$B$5,((YEAR(B341)-YEAR($B$12))*12+MONTH(B341)-MONTH($B$12)),((YEAR(B341)-YEAR(VLOOKUP(I341,$C$3:$L$6,8,0)))*12+MONTH(B341)-MONTH(VLOOKUP(I341,$C$3:$L$6,8,0))))*VLOOKUP(I341,$C$3:$L$6,7,0),0)),""),"")</f>
        <v/>
      </c>
      <c r="L341" s="29" t="str">
        <f t="shared" ca="1" si="34"/>
        <v/>
      </c>
      <c r="M341" s="10"/>
      <c r="N341" s="10"/>
    </row>
    <row r="342" spans="1:14" x14ac:dyDescent="0.25">
      <c r="A342" s="10"/>
      <c r="B342" s="14" t="str">
        <f t="shared" ca="1" si="35"/>
        <v/>
      </c>
      <c r="C342" s="14" t="str">
        <f ca="1">IF(I341&lt;&gt;Variables!$B$1,IF(H341&lt;&gt;0,C341,I341),"")</f>
        <v/>
      </c>
      <c r="D342" s="29" t="str">
        <f t="shared" ca="1" si="32"/>
        <v/>
      </c>
      <c r="E342" s="29" t="str">
        <f t="shared" ca="1" si="33"/>
        <v/>
      </c>
      <c r="F342" s="29" t="str">
        <f ca="1">IF(C342&lt;&gt;"",IF(OR(VLOOKUP(C342,$C$3:$L$6,5,0)=Variables!$B$5,B342&gt;VLOOKUP(C342,$C$3:$L$6,8,0)),-D342*VLOOKUP(C342,$C$3:$L$6,6,0)/12,0),"")</f>
        <v/>
      </c>
      <c r="G342" s="29" t="str">
        <f ca="1">IF(I342&lt;&gt;Variables!$B$1,IF(C342&lt;&gt;"",$I$9-E342-F342,""),-D342)</f>
        <v/>
      </c>
      <c r="H342" s="29" t="str">
        <f t="shared" ca="1" si="36"/>
        <v/>
      </c>
      <c r="I342" s="31" t="str">
        <f ca="1">IF(C342&lt;&gt;"",IF(D342+$I$9-E342-F342&gt;=0,IF(ISERROR(INDEX($C$3:$C$6,MATCH(C342,$C$3:$C$6,0)+1,0)),Variables!$B$1,INDEX($C$3:$C$6,MATCH(C342,$C$3:$C$6,0)+1,0)),""),"")</f>
        <v/>
      </c>
      <c r="J342" s="29" t="str">
        <f ca="1">IF(ISERROR(VLOOKUP(I342,$C$3:$L$6,5,0)),"",IF(OR(VLOOKUP(I342,$C$3:$L$6,5,0)=Variables!$B$5,B342&gt;VLOOKUP(I342,$C$3:$L$6,8,0)),IF(VLOOKUP(I342,$C$3:$L$6,5,0)=Variables!$B$5,((YEAR(B342)-YEAR($B$12))*12+MONTH(B342)-MONTH($B$12)),((YEAR(B342)-YEAR(VLOOKUP(I342,$C$3:$L$6,8,0)))*12+MONTH(B342)-MONTH(VLOOKUP(I342,$C$3:$L$6,8,0))))*(VLOOKUP(I342,$C$3:$L$6,10,0)*VLOOKUP(I342,$C$3:$L$6,6,0)/12),0))</f>
        <v/>
      </c>
      <c r="K342" s="29" t="str">
        <f ca="1">IF(C342&lt;&gt;"",IF(I342&lt;&gt;"",IF(ISERROR(VLOOKUP(I342,$C$3:$L$6,10,0)),"",VLOOKUP(I342,$C$3:$L$6,10,0)+J342+IF(OR(VLOOKUP(I342,$C$3:$L$6,5,0)=Variables!$B$5,B342&gt;VLOOKUP(I342,$C$3:$L$6,8,0)),IF(VLOOKUP(I342,$C$3:$L$6,5,0)=Variables!$B$5,((YEAR(B342)-YEAR($B$12))*12+MONTH(B342)-MONTH($B$12)),((YEAR(B342)-YEAR(VLOOKUP(I342,$C$3:$L$6,8,0)))*12+MONTH(B342)-MONTH(VLOOKUP(I342,$C$3:$L$6,8,0))))*VLOOKUP(I342,$C$3:$L$6,7,0),0)),""),"")</f>
        <v/>
      </c>
      <c r="L342" s="29" t="str">
        <f t="shared" ca="1" si="34"/>
        <v/>
      </c>
      <c r="M342" s="10"/>
      <c r="N342" s="10"/>
    </row>
    <row r="343" spans="1:14" x14ac:dyDescent="0.25">
      <c r="A343" s="10"/>
      <c r="B343" s="14" t="str">
        <f t="shared" ca="1" si="35"/>
        <v/>
      </c>
      <c r="C343" s="14" t="str">
        <f ca="1">IF(I342&lt;&gt;Variables!$B$1,IF(H342&lt;&gt;0,C342,I342),"")</f>
        <v/>
      </c>
      <c r="D343" s="29" t="str">
        <f t="shared" ca="1" si="32"/>
        <v/>
      </c>
      <c r="E343" s="29" t="str">
        <f t="shared" ca="1" si="33"/>
        <v/>
      </c>
      <c r="F343" s="29" t="str">
        <f ca="1">IF(C343&lt;&gt;"",IF(OR(VLOOKUP(C343,$C$3:$L$6,5,0)=Variables!$B$5,B343&gt;VLOOKUP(C343,$C$3:$L$6,8,0)),-D343*VLOOKUP(C343,$C$3:$L$6,6,0)/12,0),"")</f>
        <v/>
      </c>
      <c r="G343" s="29" t="str">
        <f ca="1">IF(I343&lt;&gt;Variables!$B$1,IF(C343&lt;&gt;"",$I$9-E343-F343,""),-D343)</f>
        <v/>
      </c>
      <c r="H343" s="29" t="str">
        <f t="shared" ca="1" si="36"/>
        <v/>
      </c>
      <c r="I343" s="31" t="str">
        <f ca="1">IF(C343&lt;&gt;"",IF(D343+$I$9-E343-F343&gt;=0,IF(ISERROR(INDEX($C$3:$C$6,MATCH(C343,$C$3:$C$6,0)+1,0)),Variables!$B$1,INDEX($C$3:$C$6,MATCH(C343,$C$3:$C$6,0)+1,0)),""),"")</f>
        <v/>
      </c>
      <c r="J343" s="29" t="str">
        <f ca="1">IF(ISERROR(VLOOKUP(I343,$C$3:$L$6,5,0)),"",IF(OR(VLOOKUP(I343,$C$3:$L$6,5,0)=Variables!$B$5,B343&gt;VLOOKUP(I343,$C$3:$L$6,8,0)),IF(VLOOKUP(I343,$C$3:$L$6,5,0)=Variables!$B$5,((YEAR(B343)-YEAR($B$12))*12+MONTH(B343)-MONTH($B$12)),((YEAR(B343)-YEAR(VLOOKUP(I343,$C$3:$L$6,8,0)))*12+MONTH(B343)-MONTH(VLOOKUP(I343,$C$3:$L$6,8,0))))*(VLOOKUP(I343,$C$3:$L$6,10,0)*VLOOKUP(I343,$C$3:$L$6,6,0)/12),0))</f>
        <v/>
      </c>
      <c r="K343" s="29" t="str">
        <f ca="1">IF(C343&lt;&gt;"",IF(I343&lt;&gt;"",IF(ISERROR(VLOOKUP(I343,$C$3:$L$6,10,0)),"",VLOOKUP(I343,$C$3:$L$6,10,0)+J343+IF(OR(VLOOKUP(I343,$C$3:$L$6,5,0)=Variables!$B$5,B343&gt;VLOOKUP(I343,$C$3:$L$6,8,0)),IF(VLOOKUP(I343,$C$3:$L$6,5,0)=Variables!$B$5,((YEAR(B343)-YEAR($B$12))*12+MONTH(B343)-MONTH($B$12)),((YEAR(B343)-YEAR(VLOOKUP(I343,$C$3:$L$6,8,0)))*12+MONTH(B343)-MONTH(VLOOKUP(I343,$C$3:$L$6,8,0))))*VLOOKUP(I343,$C$3:$L$6,7,0),0)),""),"")</f>
        <v/>
      </c>
      <c r="L343" s="29" t="str">
        <f t="shared" ca="1" si="34"/>
        <v/>
      </c>
      <c r="M343" s="10"/>
      <c r="N343" s="10"/>
    </row>
    <row r="344" spans="1:14" x14ac:dyDescent="0.25">
      <c r="A344" s="10"/>
      <c r="B344" s="14" t="str">
        <f t="shared" ca="1" si="35"/>
        <v/>
      </c>
      <c r="C344" s="14" t="str">
        <f ca="1">IF(I343&lt;&gt;Variables!$B$1,IF(H343&lt;&gt;0,C343,I343),"")</f>
        <v/>
      </c>
      <c r="D344" s="29" t="str">
        <f t="shared" ca="1" si="32"/>
        <v/>
      </c>
      <c r="E344" s="29" t="str">
        <f t="shared" ca="1" si="33"/>
        <v/>
      </c>
      <c r="F344" s="29" t="str">
        <f ca="1">IF(C344&lt;&gt;"",IF(OR(VLOOKUP(C344,$C$3:$L$6,5,0)=Variables!$B$5,B344&gt;VLOOKUP(C344,$C$3:$L$6,8,0)),-D344*VLOOKUP(C344,$C$3:$L$6,6,0)/12,0),"")</f>
        <v/>
      </c>
      <c r="G344" s="29" t="str">
        <f ca="1">IF(I344&lt;&gt;Variables!$B$1,IF(C344&lt;&gt;"",$I$9-E344-F344,""),-D344)</f>
        <v/>
      </c>
      <c r="H344" s="29" t="str">
        <f t="shared" ca="1" si="36"/>
        <v/>
      </c>
      <c r="I344" s="31" t="str">
        <f ca="1">IF(C344&lt;&gt;"",IF(D344+$I$9-E344-F344&gt;=0,IF(ISERROR(INDEX($C$3:$C$6,MATCH(C344,$C$3:$C$6,0)+1,0)),Variables!$B$1,INDEX($C$3:$C$6,MATCH(C344,$C$3:$C$6,0)+1,0)),""),"")</f>
        <v/>
      </c>
      <c r="J344" s="29" t="str">
        <f ca="1">IF(ISERROR(VLOOKUP(I344,$C$3:$L$6,5,0)),"",IF(OR(VLOOKUP(I344,$C$3:$L$6,5,0)=Variables!$B$5,B344&gt;VLOOKUP(I344,$C$3:$L$6,8,0)),IF(VLOOKUP(I344,$C$3:$L$6,5,0)=Variables!$B$5,((YEAR(B344)-YEAR($B$12))*12+MONTH(B344)-MONTH($B$12)),((YEAR(B344)-YEAR(VLOOKUP(I344,$C$3:$L$6,8,0)))*12+MONTH(B344)-MONTH(VLOOKUP(I344,$C$3:$L$6,8,0))))*(VLOOKUP(I344,$C$3:$L$6,10,0)*VLOOKUP(I344,$C$3:$L$6,6,0)/12),0))</f>
        <v/>
      </c>
      <c r="K344" s="29" t="str">
        <f ca="1">IF(C344&lt;&gt;"",IF(I344&lt;&gt;"",IF(ISERROR(VLOOKUP(I344,$C$3:$L$6,10,0)),"",VLOOKUP(I344,$C$3:$L$6,10,0)+J344+IF(OR(VLOOKUP(I344,$C$3:$L$6,5,0)=Variables!$B$5,B344&gt;VLOOKUP(I344,$C$3:$L$6,8,0)),IF(VLOOKUP(I344,$C$3:$L$6,5,0)=Variables!$B$5,((YEAR(B344)-YEAR($B$12))*12+MONTH(B344)-MONTH($B$12)),((YEAR(B344)-YEAR(VLOOKUP(I344,$C$3:$L$6,8,0)))*12+MONTH(B344)-MONTH(VLOOKUP(I344,$C$3:$L$6,8,0))))*VLOOKUP(I344,$C$3:$L$6,7,0),0)),""),"")</f>
        <v/>
      </c>
      <c r="L344" s="29" t="str">
        <f t="shared" ca="1" si="34"/>
        <v/>
      </c>
      <c r="M344" s="10"/>
      <c r="N344" s="10"/>
    </row>
    <row r="345" spans="1:14" x14ac:dyDescent="0.25">
      <c r="A345" s="10"/>
      <c r="B345" s="14" t="str">
        <f t="shared" ca="1" si="35"/>
        <v/>
      </c>
      <c r="C345" s="14" t="str">
        <f ca="1">IF(I344&lt;&gt;Variables!$B$1,IF(H344&lt;&gt;0,C344,I344),"")</f>
        <v/>
      </c>
      <c r="D345" s="29" t="str">
        <f t="shared" ca="1" si="32"/>
        <v/>
      </c>
      <c r="E345" s="29" t="str">
        <f t="shared" ca="1" si="33"/>
        <v/>
      </c>
      <c r="F345" s="29" t="str">
        <f ca="1">IF(C345&lt;&gt;"",IF(OR(VLOOKUP(C345,$C$3:$L$6,5,0)=Variables!$B$5,B345&gt;VLOOKUP(C345,$C$3:$L$6,8,0)),-D345*VLOOKUP(C345,$C$3:$L$6,6,0)/12,0),"")</f>
        <v/>
      </c>
      <c r="G345" s="29" t="str">
        <f ca="1">IF(I345&lt;&gt;Variables!$B$1,IF(C345&lt;&gt;"",$I$9-E345-F345,""),-D345)</f>
        <v/>
      </c>
      <c r="H345" s="29" t="str">
        <f t="shared" ca="1" si="36"/>
        <v/>
      </c>
      <c r="I345" s="31" t="str">
        <f ca="1">IF(C345&lt;&gt;"",IF(D345+$I$9-E345-F345&gt;=0,IF(ISERROR(INDEX($C$3:$C$6,MATCH(C345,$C$3:$C$6,0)+1,0)),Variables!$B$1,INDEX($C$3:$C$6,MATCH(C345,$C$3:$C$6,0)+1,0)),""),"")</f>
        <v/>
      </c>
      <c r="J345" s="29" t="str">
        <f ca="1">IF(ISERROR(VLOOKUP(I345,$C$3:$L$6,5,0)),"",IF(OR(VLOOKUP(I345,$C$3:$L$6,5,0)=Variables!$B$5,B345&gt;VLOOKUP(I345,$C$3:$L$6,8,0)),IF(VLOOKUP(I345,$C$3:$L$6,5,0)=Variables!$B$5,((YEAR(B345)-YEAR($B$12))*12+MONTH(B345)-MONTH($B$12)),((YEAR(B345)-YEAR(VLOOKUP(I345,$C$3:$L$6,8,0)))*12+MONTH(B345)-MONTH(VLOOKUP(I345,$C$3:$L$6,8,0))))*(VLOOKUP(I345,$C$3:$L$6,10,0)*VLOOKUP(I345,$C$3:$L$6,6,0)/12),0))</f>
        <v/>
      </c>
      <c r="K345" s="29" t="str">
        <f ca="1">IF(C345&lt;&gt;"",IF(I345&lt;&gt;"",IF(ISERROR(VLOOKUP(I345,$C$3:$L$6,10,0)),"",VLOOKUP(I345,$C$3:$L$6,10,0)+J345+IF(OR(VLOOKUP(I345,$C$3:$L$6,5,0)=Variables!$B$5,B345&gt;VLOOKUP(I345,$C$3:$L$6,8,0)),IF(VLOOKUP(I345,$C$3:$L$6,5,0)=Variables!$B$5,((YEAR(B345)-YEAR($B$12))*12+MONTH(B345)-MONTH($B$12)),((YEAR(B345)-YEAR(VLOOKUP(I345,$C$3:$L$6,8,0)))*12+MONTH(B345)-MONTH(VLOOKUP(I345,$C$3:$L$6,8,0))))*VLOOKUP(I345,$C$3:$L$6,7,0),0)),""),"")</f>
        <v/>
      </c>
      <c r="L345" s="29" t="str">
        <f t="shared" ca="1" si="34"/>
        <v/>
      </c>
      <c r="M345" s="10"/>
      <c r="N345" s="10"/>
    </row>
    <row r="346" spans="1:14" x14ac:dyDescent="0.25">
      <c r="A346" s="10"/>
      <c r="B346" s="14" t="str">
        <f t="shared" ca="1" si="35"/>
        <v/>
      </c>
      <c r="C346" s="14" t="str">
        <f ca="1">IF(I345&lt;&gt;Variables!$B$1,IF(H345&lt;&gt;0,C345,I345),"")</f>
        <v/>
      </c>
      <c r="D346" s="29" t="str">
        <f t="shared" ca="1" si="32"/>
        <v/>
      </c>
      <c r="E346" s="29" t="str">
        <f t="shared" ca="1" si="33"/>
        <v/>
      </c>
      <c r="F346" s="29" t="str">
        <f ca="1">IF(C346&lt;&gt;"",IF(OR(VLOOKUP(C346,$C$3:$L$6,5,0)=Variables!$B$5,B346&gt;VLOOKUP(C346,$C$3:$L$6,8,0)),-D346*VLOOKUP(C346,$C$3:$L$6,6,0)/12,0),"")</f>
        <v/>
      </c>
      <c r="G346" s="29" t="str">
        <f ca="1">IF(I346&lt;&gt;Variables!$B$1,IF(C346&lt;&gt;"",$I$9-E346-F346,""),-D346)</f>
        <v/>
      </c>
      <c r="H346" s="29" t="str">
        <f t="shared" ca="1" si="36"/>
        <v/>
      </c>
      <c r="I346" s="31" t="str">
        <f ca="1">IF(C346&lt;&gt;"",IF(D346+$I$9-E346-F346&gt;=0,IF(ISERROR(INDEX($C$3:$C$6,MATCH(C346,$C$3:$C$6,0)+1,0)),Variables!$B$1,INDEX($C$3:$C$6,MATCH(C346,$C$3:$C$6,0)+1,0)),""),"")</f>
        <v/>
      </c>
      <c r="J346" s="29" t="str">
        <f ca="1">IF(ISERROR(VLOOKUP(I346,$C$3:$L$6,5,0)),"",IF(OR(VLOOKUP(I346,$C$3:$L$6,5,0)=Variables!$B$5,B346&gt;VLOOKUP(I346,$C$3:$L$6,8,0)),IF(VLOOKUP(I346,$C$3:$L$6,5,0)=Variables!$B$5,((YEAR(B346)-YEAR($B$12))*12+MONTH(B346)-MONTH($B$12)),((YEAR(B346)-YEAR(VLOOKUP(I346,$C$3:$L$6,8,0)))*12+MONTH(B346)-MONTH(VLOOKUP(I346,$C$3:$L$6,8,0))))*(VLOOKUP(I346,$C$3:$L$6,10,0)*VLOOKUP(I346,$C$3:$L$6,6,0)/12),0))</f>
        <v/>
      </c>
      <c r="K346" s="29" t="str">
        <f ca="1">IF(C346&lt;&gt;"",IF(I346&lt;&gt;"",IF(ISERROR(VLOOKUP(I346,$C$3:$L$6,10,0)),"",VLOOKUP(I346,$C$3:$L$6,10,0)+J346+IF(OR(VLOOKUP(I346,$C$3:$L$6,5,0)=Variables!$B$5,B346&gt;VLOOKUP(I346,$C$3:$L$6,8,0)),IF(VLOOKUP(I346,$C$3:$L$6,5,0)=Variables!$B$5,((YEAR(B346)-YEAR($B$12))*12+MONTH(B346)-MONTH($B$12)),((YEAR(B346)-YEAR(VLOOKUP(I346,$C$3:$L$6,8,0)))*12+MONTH(B346)-MONTH(VLOOKUP(I346,$C$3:$L$6,8,0))))*VLOOKUP(I346,$C$3:$L$6,7,0),0)),""),"")</f>
        <v/>
      </c>
      <c r="L346" s="29" t="str">
        <f t="shared" ca="1" si="34"/>
        <v/>
      </c>
      <c r="M346" s="10"/>
      <c r="N346" s="10"/>
    </row>
    <row r="347" spans="1:14" x14ac:dyDescent="0.25">
      <c r="A347" s="10"/>
      <c r="B347" s="14" t="str">
        <f t="shared" ca="1" si="35"/>
        <v/>
      </c>
      <c r="C347" s="14" t="str">
        <f ca="1">IF(I346&lt;&gt;Variables!$B$1,IF(H346&lt;&gt;0,C346,I346),"")</f>
        <v/>
      </c>
      <c r="D347" s="29" t="str">
        <f t="shared" ca="1" si="32"/>
        <v/>
      </c>
      <c r="E347" s="29" t="str">
        <f t="shared" ca="1" si="33"/>
        <v/>
      </c>
      <c r="F347" s="29" t="str">
        <f ca="1">IF(C347&lt;&gt;"",IF(OR(VLOOKUP(C347,$C$3:$L$6,5,0)=Variables!$B$5,B347&gt;VLOOKUP(C347,$C$3:$L$6,8,0)),-D347*VLOOKUP(C347,$C$3:$L$6,6,0)/12,0),"")</f>
        <v/>
      </c>
      <c r="G347" s="29" t="str">
        <f ca="1">IF(I347&lt;&gt;Variables!$B$1,IF(C347&lt;&gt;"",$I$9-E347-F347,""),-D347)</f>
        <v/>
      </c>
      <c r="H347" s="29" t="str">
        <f t="shared" ca="1" si="36"/>
        <v/>
      </c>
      <c r="I347" s="31" t="str">
        <f ca="1">IF(C347&lt;&gt;"",IF(D347+$I$9-E347-F347&gt;=0,IF(ISERROR(INDEX($C$3:$C$6,MATCH(C347,$C$3:$C$6,0)+1,0)),Variables!$B$1,INDEX($C$3:$C$6,MATCH(C347,$C$3:$C$6,0)+1,0)),""),"")</f>
        <v/>
      </c>
      <c r="J347" s="29" t="str">
        <f ca="1">IF(ISERROR(VLOOKUP(I347,$C$3:$L$6,5,0)),"",IF(OR(VLOOKUP(I347,$C$3:$L$6,5,0)=Variables!$B$5,B347&gt;VLOOKUP(I347,$C$3:$L$6,8,0)),IF(VLOOKUP(I347,$C$3:$L$6,5,0)=Variables!$B$5,((YEAR(B347)-YEAR($B$12))*12+MONTH(B347)-MONTH($B$12)),((YEAR(B347)-YEAR(VLOOKUP(I347,$C$3:$L$6,8,0)))*12+MONTH(B347)-MONTH(VLOOKUP(I347,$C$3:$L$6,8,0))))*(VLOOKUP(I347,$C$3:$L$6,10,0)*VLOOKUP(I347,$C$3:$L$6,6,0)/12),0))</f>
        <v/>
      </c>
      <c r="K347" s="29" t="str">
        <f ca="1">IF(C347&lt;&gt;"",IF(I347&lt;&gt;"",IF(ISERROR(VLOOKUP(I347,$C$3:$L$6,10,0)),"",VLOOKUP(I347,$C$3:$L$6,10,0)+J347+IF(OR(VLOOKUP(I347,$C$3:$L$6,5,0)=Variables!$B$5,B347&gt;VLOOKUP(I347,$C$3:$L$6,8,0)),IF(VLOOKUP(I347,$C$3:$L$6,5,0)=Variables!$B$5,((YEAR(B347)-YEAR($B$12))*12+MONTH(B347)-MONTH($B$12)),((YEAR(B347)-YEAR(VLOOKUP(I347,$C$3:$L$6,8,0)))*12+MONTH(B347)-MONTH(VLOOKUP(I347,$C$3:$L$6,8,0))))*VLOOKUP(I347,$C$3:$L$6,7,0),0)),""),"")</f>
        <v/>
      </c>
      <c r="L347" s="29" t="str">
        <f t="shared" ca="1" si="34"/>
        <v/>
      </c>
      <c r="M347" s="10"/>
      <c r="N347" s="10"/>
    </row>
    <row r="348" spans="1:14" x14ac:dyDescent="0.25">
      <c r="A348" s="10"/>
      <c r="B348" s="14" t="str">
        <f t="shared" ca="1" si="35"/>
        <v/>
      </c>
      <c r="C348" s="14" t="str">
        <f ca="1">IF(I347&lt;&gt;Variables!$B$1,IF(H347&lt;&gt;0,C347,I347),"")</f>
        <v/>
      </c>
      <c r="D348" s="29" t="str">
        <f t="shared" ref="D348:D411" ca="1" si="37">IF(C348&lt;&gt;"",IF(H347&lt;&gt;0,H347,L347),"")</f>
        <v/>
      </c>
      <c r="E348" s="29" t="str">
        <f t="shared" ref="E348:E411" ca="1" si="38">IF(C348&lt;&gt;"",MINPAYMENT(C348,ROW(B348),COLUMN(B348)),"")</f>
        <v/>
      </c>
      <c r="F348" s="29" t="str">
        <f ca="1">IF(C348&lt;&gt;"",IF(OR(VLOOKUP(C348,$C$3:$L$6,5,0)=Variables!$B$5,B348&gt;VLOOKUP(C348,$C$3:$L$6,8,0)),-D348*VLOOKUP(C348,$C$3:$L$6,6,0)/12,0),"")</f>
        <v/>
      </c>
      <c r="G348" s="29" t="str">
        <f ca="1">IF(I348&lt;&gt;Variables!$B$1,IF(C348&lt;&gt;"",$I$9-E348-F348,""),-D348)</f>
        <v/>
      </c>
      <c r="H348" s="29" t="str">
        <f t="shared" ca="1" si="36"/>
        <v/>
      </c>
      <c r="I348" s="31" t="str">
        <f ca="1">IF(C348&lt;&gt;"",IF(D348+$I$9-E348-F348&gt;=0,IF(ISERROR(INDEX($C$3:$C$6,MATCH(C348,$C$3:$C$6,0)+1,0)),Variables!$B$1,INDEX($C$3:$C$6,MATCH(C348,$C$3:$C$6,0)+1,0)),""),"")</f>
        <v/>
      </c>
      <c r="J348" s="29" t="str">
        <f ca="1">IF(ISERROR(VLOOKUP(I348,$C$3:$L$6,5,0)),"",IF(OR(VLOOKUP(I348,$C$3:$L$6,5,0)=Variables!$B$5,B348&gt;VLOOKUP(I348,$C$3:$L$6,8,0)),IF(VLOOKUP(I348,$C$3:$L$6,5,0)=Variables!$B$5,((YEAR(B348)-YEAR($B$12))*12+MONTH(B348)-MONTH($B$12)),((YEAR(B348)-YEAR(VLOOKUP(I348,$C$3:$L$6,8,0)))*12+MONTH(B348)-MONTH(VLOOKUP(I348,$C$3:$L$6,8,0))))*(VLOOKUP(I348,$C$3:$L$6,10,0)*VLOOKUP(I348,$C$3:$L$6,6,0)/12),0))</f>
        <v/>
      </c>
      <c r="K348" s="29" t="str">
        <f ca="1">IF(C348&lt;&gt;"",IF(I348&lt;&gt;"",IF(ISERROR(VLOOKUP(I348,$C$3:$L$6,10,0)),"",VLOOKUP(I348,$C$3:$L$6,10,0)+J348+IF(OR(VLOOKUP(I348,$C$3:$L$6,5,0)=Variables!$B$5,B348&gt;VLOOKUP(I348,$C$3:$L$6,8,0)),IF(VLOOKUP(I348,$C$3:$L$6,5,0)=Variables!$B$5,((YEAR(B348)-YEAR($B$12))*12+MONTH(B348)-MONTH($B$12)),((YEAR(B348)-YEAR(VLOOKUP(I348,$C$3:$L$6,8,0)))*12+MONTH(B348)-MONTH(VLOOKUP(I348,$C$3:$L$6,8,0))))*VLOOKUP(I348,$C$3:$L$6,7,0),0)),""),"")</f>
        <v/>
      </c>
      <c r="L348" s="29" t="str">
        <f t="shared" ref="L348:L411" ca="1" si="39">IF(C348&lt;&gt;"",IF(ISERROR(IF(D348+G348&gt;=0,K348+D348+G348,"")),"",IF(D348+G348&gt;=0,K348+D348+G348,"")),"")</f>
        <v/>
      </c>
      <c r="M348" s="10"/>
      <c r="N348" s="10"/>
    </row>
    <row r="349" spans="1:14" x14ac:dyDescent="0.25">
      <c r="A349" s="10"/>
      <c r="B349" s="14" t="str">
        <f t="shared" ref="B349:B412" ca="1" si="40">IF(C349&lt;&gt;"",DATE(YEAR(B348),MONTH(B348)+1,DAY(B348)),"")</f>
        <v/>
      </c>
      <c r="C349" s="14" t="str">
        <f ca="1">IF(I348&lt;&gt;Variables!$B$1,IF(H348&lt;&gt;0,C348,I348),"")</f>
        <v/>
      </c>
      <c r="D349" s="29" t="str">
        <f t="shared" ca="1" si="37"/>
        <v/>
      </c>
      <c r="E349" s="29" t="str">
        <f t="shared" ca="1" si="38"/>
        <v/>
      </c>
      <c r="F349" s="29" t="str">
        <f ca="1">IF(C349&lt;&gt;"",IF(OR(VLOOKUP(C349,$C$3:$L$6,5,0)=Variables!$B$5,B349&gt;VLOOKUP(C349,$C$3:$L$6,8,0)),-D349*VLOOKUP(C349,$C$3:$L$6,6,0)/12,0),"")</f>
        <v/>
      </c>
      <c r="G349" s="29" t="str">
        <f ca="1">IF(I349&lt;&gt;Variables!$B$1,IF(C349&lt;&gt;"",$I$9-E349-F349,""),-D349)</f>
        <v/>
      </c>
      <c r="H349" s="29" t="str">
        <f t="shared" ref="H349:H412" ca="1" si="41">IF(C349&lt;&gt;"",IF(D349+G349&lt;0,D349+G349,0),"")</f>
        <v/>
      </c>
      <c r="I349" s="31" t="str">
        <f ca="1">IF(C349&lt;&gt;"",IF(D349+$I$9-E349-F349&gt;=0,IF(ISERROR(INDEX($C$3:$C$6,MATCH(C349,$C$3:$C$6,0)+1,0)),Variables!$B$1,INDEX($C$3:$C$6,MATCH(C349,$C$3:$C$6,0)+1,0)),""),"")</f>
        <v/>
      </c>
      <c r="J349" s="29" t="str">
        <f ca="1">IF(ISERROR(VLOOKUP(I349,$C$3:$L$6,5,0)),"",IF(OR(VLOOKUP(I349,$C$3:$L$6,5,0)=Variables!$B$5,B349&gt;VLOOKUP(I349,$C$3:$L$6,8,0)),IF(VLOOKUP(I349,$C$3:$L$6,5,0)=Variables!$B$5,((YEAR(B349)-YEAR($B$12))*12+MONTH(B349)-MONTH($B$12)),((YEAR(B349)-YEAR(VLOOKUP(I349,$C$3:$L$6,8,0)))*12+MONTH(B349)-MONTH(VLOOKUP(I349,$C$3:$L$6,8,0))))*(VLOOKUP(I349,$C$3:$L$6,10,0)*VLOOKUP(I349,$C$3:$L$6,6,0)/12),0))</f>
        <v/>
      </c>
      <c r="K349" s="29" t="str">
        <f ca="1">IF(C349&lt;&gt;"",IF(I349&lt;&gt;"",IF(ISERROR(VLOOKUP(I349,$C$3:$L$6,10,0)),"",VLOOKUP(I349,$C$3:$L$6,10,0)+J349+IF(OR(VLOOKUP(I349,$C$3:$L$6,5,0)=Variables!$B$5,B349&gt;VLOOKUP(I349,$C$3:$L$6,8,0)),IF(VLOOKUP(I349,$C$3:$L$6,5,0)=Variables!$B$5,((YEAR(B349)-YEAR($B$12))*12+MONTH(B349)-MONTH($B$12)),((YEAR(B349)-YEAR(VLOOKUP(I349,$C$3:$L$6,8,0)))*12+MONTH(B349)-MONTH(VLOOKUP(I349,$C$3:$L$6,8,0))))*VLOOKUP(I349,$C$3:$L$6,7,0),0)),""),"")</f>
        <v/>
      </c>
      <c r="L349" s="29" t="str">
        <f t="shared" ca="1" si="39"/>
        <v/>
      </c>
      <c r="M349" s="10"/>
      <c r="N349" s="10"/>
    </row>
    <row r="350" spans="1:14" x14ac:dyDescent="0.25">
      <c r="A350" s="10"/>
      <c r="B350" s="14" t="str">
        <f t="shared" ca="1" si="40"/>
        <v/>
      </c>
      <c r="C350" s="14" t="str">
        <f ca="1">IF(I349&lt;&gt;Variables!$B$1,IF(H349&lt;&gt;0,C349,I349),"")</f>
        <v/>
      </c>
      <c r="D350" s="29" t="str">
        <f t="shared" ca="1" si="37"/>
        <v/>
      </c>
      <c r="E350" s="29" t="str">
        <f t="shared" ca="1" si="38"/>
        <v/>
      </c>
      <c r="F350" s="29" t="str">
        <f ca="1">IF(C350&lt;&gt;"",IF(OR(VLOOKUP(C350,$C$3:$L$6,5,0)=Variables!$B$5,B350&gt;VLOOKUP(C350,$C$3:$L$6,8,0)),-D350*VLOOKUP(C350,$C$3:$L$6,6,0)/12,0),"")</f>
        <v/>
      </c>
      <c r="G350" s="29" t="str">
        <f ca="1">IF(I350&lt;&gt;Variables!$B$1,IF(C350&lt;&gt;"",$I$9-E350-F350,""),-D350)</f>
        <v/>
      </c>
      <c r="H350" s="29" t="str">
        <f t="shared" ca="1" si="41"/>
        <v/>
      </c>
      <c r="I350" s="31" t="str">
        <f ca="1">IF(C350&lt;&gt;"",IF(D350+$I$9-E350-F350&gt;=0,IF(ISERROR(INDEX($C$3:$C$6,MATCH(C350,$C$3:$C$6,0)+1,0)),Variables!$B$1,INDEX($C$3:$C$6,MATCH(C350,$C$3:$C$6,0)+1,0)),""),"")</f>
        <v/>
      </c>
      <c r="J350" s="29" t="str">
        <f ca="1">IF(ISERROR(VLOOKUP(I350,$C$3:$L$6,5,0)),"",IF(OR(VLOOKUP(I350,$C$3:$L$6,5,0)=Variables!$B$5,B350&gt;VLOOKUP(I350,$C$3:$L$6,8,0)),IF(VLOOKUP(I350,$C$3:$L$6,5,0)=Variables!$B$5,((YEAR(B350)-YEAR($B$12))*12+MONTH(B350)-MONTH($B$12)),((YEAR(B350)-YEAR(VLOOKUP(I350,$C$3:$L$6,8,0)))*12+MONTH(B350)-MONTH(VLOOKUP(I350,$C$3:$L$6,8,0))))*(VLOOKUP(I350,$C$3:$L$6,10,0)*VLOOKUP(I350,$C$3:$L$6,6,0)/12),0))</f>
        <v/>
      </c>
      <c r="K350" s="29" t="str">
        <f ca="1">IF(C350&lt;&gt;"",IF(I350&lt;&gt;"",IF(ISERROR(VLOOKUP(I350,$C$3:$L$6,10,0)),"",VLOOKUP(I350,$C$3:$L$6,10,0)+J350+IF(OR(VLOOKUP(I350,$C$3:$L$6,5,0)=Variables!$B$5,B350&gt;VLOOKUP(I350,$C$3:$L$6,8,0)),IF(VLOOKUP(I350,$C$3:$L$6,5,0)=Variables!$B$5,((YEAR(B350)-YEAR($B$12))*12+MONTH(B350)-MONTH($B$12)),((YEAR(B350)-YEAR(VLOOKUP(I350,$C$3:$L$6,8,0)))*12+MONTH(B350)-MONTH(VLOOKUP(I350,$C$3:$L$6,8,0))))*VLOOKUP(I350,$C$3:$L$6,7,0),0)),""),"")</f>
        <v/>
      </c>
      <c r="L350" s="29" t="str">
        <f t="shared" ca="1" si="39"/>
        <v/>
      </c>
      <c r="M350" s="10"/>
      <c r="N350" s="10"/>
    </row>
    <row r="351" spans="1:14" x14ac:dyDescent="0.25">
      <c r="A351" s="10"/>
      <c r="B351" s="14" t="str">
        <f t="shared" ca="1" si="40"/>
        <v/>
      </c>
      <c r="C351" s="14" t="str">
        <f ca="1">IF(I350&lt;&gt;Variables!$B$1,IF(H350&lt;&gt;0,C350,I350),"")</f>
        <v/>
      </c>
      <c r="D351" s="29" t="str">
        <f t="shared" ca="1" si="37"/>
        <v/>
      </c>
      <c r="E351" s="29" t="str">
        <f t="shared" ca="1" si="38"/>
        <v/>
      </c>
      <c r="F351" s="29" t="str">
        <f ca="1">IF(C351&lt;&gt;"",IF(OR(VLOOKUP(C351,$C$3:$L$6,5,0)=Variables!$B$5,B351&gt;VLOOKUP(C351,$C$3:$L$6,8,0)),-D351*VLOOKUP(C351,$C$3:$L$6,6,0)/12,0),"")</f>
        <v/>
      </c>
      <c r="G351" s="29" t="str">
        <f ca="1">IF(I351&lt;&gt;Variables!$B$1,IF(C351&lt;&gt;"",$I$9-E351-F351,""),-D351)</f>
        <v/>
      </c>
      <c r="H351" s="29" t="str">
        <f t="shared" ca="1" si="41"/>
        <v/>
      </c>
      <c r="I351" s="31" t="str">
        <f ca="1">IF(C351&lt;&gt;"",IF(D351+$I$9-E351-F351&gt;=0,IF(ISERROR(INDEX($C$3:$C$6,MATCH(C351,$C$3:$C$6,0)+1,0)),Variables!$B$1,INDEX($C$3:$C$6,MATCH(C351,$C$3:$C$6,0)+1,0)),""),"")</f>
        <v/>
      </c>
      <c r="J351" s="29" t="str">
        <f ca="1">IF(ISERROR(VLOOKUP(I351,$C$3:$L$6,5,0)),"",IF(OR(VLOOKUP(I351,$C$3:$L$6,5,0)=Variables!$B$5,B351&gt;VLOOKUP(I351,$C$3:$L$6,8,0)),IF(VLOOKUP(I351,$C$3:$L$6,5,0)=Variables!$B$5,((YEAR(B351)-YEAR($B$12))*12+MONTH(B351)-MONTH($B$12)),((YEAR(B351)-YEAR(VLOOKUP(I351,$C$3:$L$6,8,0)))*12+MONTH(B351)-MONTH(VLOOKUP(I351,$C$3:$L$6,8,0))))*(VLOOKUP(I351,$C$3:$L$6,10,0)*VLOOKUP(I351,$C$3:$L$6,6,0)/12),0))</f>
        <v/>
      </c>
      <c r="K351" s="29" t="str">
        <f ca="1">IF(C351&lt;&gt;"",IF(I351&lt;&gt;"",IF(ISERROR(VLOOKUP(I351,$C$3:$L$6,10,0)),"",VLOOKUP(I351,$C$3:$L$6,10,0)+J351+IF(OR(VLOOKUP(I351,$C$3:$L$6,5,0)=Variables!$B$5,B351&gt;VLOOKUP(I351,$C$3:$L$6,8,0)),IF(VLOOKUP(I351,$C$3:$L$6,5,0)=Variables!$B$5,((YEAR(B351)-YEAR($B$12))*12+MONTH(B351)-MONTH($B$12)),((YEAR(B351)-YEAR(VLOOKUP(I351,$C$3:$L$6,8,0)))*12+MONTH(B351)-MONTH(VLOOKUP(I351,$C$3:$L$6,8,0))))*VLOOKUP(I351,$C$3:$L$6,7,0),0)),""),"")</f>
        <v/>
      </c>
      <c r="L351" s="29" t="str">
        <f t="shared" ca="1" si="39"/>
        <v/>
      </c>
      <c r="M351" s="10"/>
      <c r="N351" s="10"/>
    </row>
    <row r="352" spans="1:14" x14ac:dyDescent="0.25">
      <c r="A352" s="10"/>
      <c r="B352" s="14" t="str">
        <f t="shared" ca="1" si="40"/>
        <v/>
      </c>
      <c r="C352" s="14" t="str">
        <f ca="1">IF(I351&lt;&gt;Variables!$B$1,IF(H351&lt;&gt;0,C351,I351),"")</f>
        <v/>
      </c>
      <c r="D352" s="29" t="str">
        <f t="shared" ca="1" si="37"/>
        <v/>
      </c>
      <c r="E352" s="29" t="str">
        <f t="shared" ca="1" si="38"/>
        <v/>
      </c>
      <c r="F352" s="29" t="str">
        <f ca="1">IF(C352&lt;&gt;"",IF(OR(VLOOKUP(C352,$C$3:$L$6,5,0)=Variables!$B$5,B352&gt;VLOOKUP(C352,$C$3:$L$6,8,0)),-D352*VLOOKUP(C352,$C$3:$L$6,6,0)/12,0),"")</f>
        <v/>
      </c>
      <c r="G352" s="29" t="str">
        <f ca="1">IF(I352&lt;&gt;Variables!$B$1,IF(C352&lt;&gt;"",$I$9-E352-F352,""),-D352)</f>
        <v/>
      </c>
      <c r="H352" s="29" t="str">
        <f t="shared" ca="1" si="41"/>
        <v/>
      </c>
      <c r="I352" s="31" t="str">
        <f ca="1">IF(C352&lt;&gt;"",IF(D352+$I$9-E352-F352&gt;=0,IF(ISERROR(INDEX($C$3:$C$6,MATCH(C352,$C$3:$C$6,0)+1,0)),Variables!$B$1,INDEX($C$3:$C$6,MATCH(C352,$C$3:$C$6,0)+1,0)),""),"")</f>
        <v/>
      </c>
      <c r="J352" s="29" t="str">
        <f ca="1">IF(ISERROR(VLOOKUP(I352,$C$3:$L$6,5,0)),"",IF(OR(VLOOKUP(I352,$C$3:$L$6,5,0)=Variables!$B$5,B352&gt;VLOOKUP(I352,$C$3:$L$6,8,0)),IF(VLOOKUP(I352,$C$3:$L$6,5,0)=Variables!$B$5,((YEAR(B352)-YEAR($B$12))*12+MONTH(B352)-MONTH($B$12)),((YEAR(B352)-YEAR(VLOOKUP(I352,$C$3:$L$6,8,0)))*12+MONTH(B352)-MONTH(VLOOKUP(I352,$C$3:$L$6,8,0))))*(VLOOKUP(I352,$C$3:$L$6,10,0)*VLOOKUP(I352,$C$3:$L$6,6,0)/12),0))</f>
        <v/>
      </c>
      <c r="K352" s="29" t="str">
        <f ca="1">IF(C352&lt;&gt;"",IF(I352&lt;&gt;"",IF(ISERROR(VLOOKUP(I352,$C$3:$L$6,10,0)),"",VLOOKUP(I352,$C$3:$L$6,10,0)+J352+IF(OR(VLOOKUP(I352,$C$3:$L$6,5,0)=Variables!$B$5,B352&gt;VLOOKUP(I352,$C$3:$L$6,8,0)),IF(VLOOKUP(I352,$C$3:$L$6,5,0)=Variables!$B$5,((YEAR(B352)-YEAR($B$12))*12+MONTH(B352)-MONTH($B$12)),((YEAR(B352)-YEAR(VLOOKUP(I352,$C$3:$L$6,8,0)))*12+MONTH(B352)-MONTH(VLOOKUP(I352,$C$3:$L$6,8,0))))*VLOOKUP(I352,$C$3:$L$6,7,0),0)),""),"")</f>
        <v/>
      </c>
      <c r="L352" s="29" t="str">
        <f t="shared" ca="1" si="39"/>
        <v/>
      </c>
      <c r="M352" s="10"/>
      <c r="N352" s="10"/>
    </row>
    <row r="353" spans="1:14" x14ac:dyDescent="0.25">
      <c r="A353" s="10"/>
      <c r="B353" s="14" t="str">
        <f t="shared" ca="1" si="40"/>
        <v/>
      </c>
      <c r="C353" s="14" t="str">
        <f ca="1">IF(I352&lt;&gt;Variables!$B$1,IF(H352&lt;&gt;0,C352,I352),"")</f>
        <v/>
      </c>
      <c r="D353" s="29" t="str">
        <f t="shared" ca="1" si="37"/>
        <v/>
      </c>
      <c r="E353" s="29" t="str">
        <f t="shared" ca="1" si="38"/>
        <v/>
      </c>
      <c r="F353" s="29" t="str">
        <f ca="1">IF(C353&lt;&gt;"",IF(OR(VLOOKUP(C353,$C$3:$L$6,5,0)=Variables!$B$5,B353&gt;VLOOKUP(C353,$C$3:$L$6,8,0)),-D353*VLOOKUP(C353,$C$3:$L$6,6,0)/12,0),"")</f>
        <v/>
      </c>
      <c r="G353" s="29" t="str">
        <f ca="1">IF(I353&lt;&gt;Variables!$B$1,IF(C353&lt;&gt;"",$I$9-E353-F353,""),-D353)</f>
        <v/>
      </c>
      <c r="H353" s="29" t="str">
        <f t="shared" ca="1" si="41"/>
        <v/>
      </c>
      <c r="I353" s="31" t="str">
        <f ca="1">IF(C353&lt;&gt;"",IF(D353+$I$9-E353-F353&gt;=0,IF(ISERROR(INDEX($C$3:$C$6,MATCH(C353,$C$3:$C$6,0)+1,0)),Variables!$B$1,INDEX($C$3:$C$6,MATCH(C353,$C$3:$C$6,0)+1,0)),""),"")</f>
        <v/>
      </c>
      <c r="J353" s="29" t="str">
        <f ca="1">IF(ISERROR(VLOOKUP(I353,$C$3:$L$6,5,0)),"",IF(OR(VLOOKUP(I353,$C$3:$L$6,5,0)=Variables!$B$5,B353&gt;VLOOKUP(I353,$C$3:$L$6,8,0)),IF(VLOOKUP(I353,$C$3:$L$6,5,0)=Variables!$B$5,((YEAR(B353)-YEAR($B$12))*12+MONTH(B353)-MONTH($B$12)),((YEAR(B353)-YEAR(VLOOKUP(I353,$C$3:$L$6,8,0)))*12+MONTH(B353)-MONTH(VLOOKUP(I353,$C$3:$L$6,8,0))))*(VLOOKUP(I353,$C$3:$L$6,10,0)*VLOOKUP(I353,$C$3:$L$6,6,0)/12),0))</f>
        <v/>
      </c>
      <c r="K353" s="29" t="str">
        <f ca="1">IF(C353&lt;&gt;"",IF(I353&lt;&gt;"",IF(ISERROR(VLOOKUP(I353,$C$3:$L$6,10,0)),"",VLOOKUP(I353,$C$3:$L$6,10,0)+J353+IF(OR(VLOOKUP(I353,$C$3:$L$6,5,0)=Variables!$B$5,B353&gt;VLOOKUP(I353,$C$3:$L$6,8,0)),IF(VLOOKUP(I353,$C$3:$L$6,5,0)=Variables!$B$5,((YEAR(B353)-YEAR($B$12))*12+MONTH(B353)-MONTH($B$12)),((YEAR(B353)-YEAR(VLOOKUP(I353,$C$3:$L$6,8,0)))*12+MONTH(B353)-MONTH(VLOOKUP(I353,$C$3:$L$6,8,0))))*VLOOKUP(I353,$C$3:$L$6,7,0),0)),""),"")</f>
        <v/>
      </c>
      <c r="L353" s="29" t="str">
        <f t="shared" ca="1" si="39"/>
        <v/>
      </c>
      <c r="M353" s="10"/>
      <c r="N353" s="10"/>
    </row>
    <row r="354" spans="1:14" x14ac:dyDescent="0.25">
      <c r="A354" s="10"/>
      <c r="B354" s="14" t="str">
        <f t="shared" ca="1" si="40"/>
        <v/>
      </c>
      <c r="C354" s="14" t="str">
        <f ca="1">IF(I353&lt;&gt;Variables!$B$1,IF(H353&lt;&gt;0,C353,I353),"")</f>
        <v/>
      </c>
      <c r="D354" s="29" t="str">
        <f t="shared" ca="1" si="37"/>
        <v/>
      </c>
      <c r="E354" s="29" t="str">
        <f t="shared" ca="1" si="38"/>
        <v/>
      </c>
      <c r="F354" s="29" t="str">
        <f ca="1">IF(C354&lt;&gt;"",IF(OR(VLOOKUP(C354,$C$3:$L$6,5,0)=Variables!$B$5,B354&gt;VLOOKUP(C354,$C$3:$L$6,8,0)),-D354*VLOOKUP(C354,$C$3:$L$6,6,0)/12,0),"")</f>
        <v/>
      </c>
      <c r="G354" s="29" t="str">
        <f ca="1">IF(I354&lt;&gt;Variables!$B$1,IF(C354&lt;&gt;"",$I$9-E354-F354,""),-D354)</f>
        <v/>
      </c>
      <c r="H354" s="29" t="str">
        <f t="shared" ca="1" si="41"/>
        <v/>
      </c>
      <c r="I354" s="31" t="str">
        <f ca="1">IF(C354&lt;&gt;"",IF(D354+$I$9-E354-F354&gt;=0,IF(ISERROR(INDEX($C$3:$C$6,MATCH(C354,$C$3:$C$6,0)+1,0)),Variables!$B$1,INDEX($C$3:$C$6,MATCH(C354,$C$3:$C$6,0)+1,0)),""),"")</f>
        <v/>
      </c>
      <c r="J354" s="29" t="str">
        <f ca="1">IF(ISERROR(VLOOKUP(I354,$C$3:$L$6,5,0)),"",IF(OR(VLOOKUP(I354,$C$3:$L$6,5,0)=Variables!$B$5,B354&gt;VLOOKUP(I354,$C$3:$L$6,8,0)),IF(VLOOKUP(I354,$C$3:$L$6,5,0)=Variables!$B$5,((YEAR(B354)-YEAR($B$12))*12+MONTH(B354)-MONTH($B$12)),((YEAR(B354)-YEAR(VLOOKUP(I354,$C$3:$L$6,8,0)))*12+MONTH(B354)-MONTH(VLOOKUP(I354,$C$3:$L$6,8,0))))*(VLOOKUP(I354,$C$3:$L$6,10,0)*VLOOKUP(I354,$C$3:$L$6,6,0)/12),0))</f>
        <v/>
      </c>
      <c r="K354" s="29" t="str">
        <f ca="1">IF(C354&lt;&gt;"",IF(I354&lt;&gt;"",IF(ISERROR(VLOOKUP(I354,$C$3:$L$6,10,0)),"",VLOOKUP(I354,$C$3:$L$6,10,0)+J354+IF(OR(VLOOKUP(I354,$C$3:$L$6,5,0)=Variables!$B$5,B354&gt;VLOOKUP(I354,$C$3:$L$6,8,0)),IF(VLOOKUP(I354,$C$3:$L$6,5,0)=Variables!$B$5,((YEAR(B354)-YEAR($B$12))*12+MONTH(B354)-MONTH($B$12)),((YEAR(B354)-YEAR(VLOOKUP(I354,$C$3:$L$6,8,0)))*12+MONTH(B354)-MONTH(VLOOKUP(I354,$C$3:$L$6,8,0))))*VLOOKUP(I354,$C$3:$L$6,7,0),0)),""),"")</f>
        <v/>
      </c>
      <c r="L354" s="29" t="str">
        <f t="shared" ca="1" si="39"/>
        <v/>
      </c>
      <c r="M354" s="10"/>
      <c r="N354" s="10"/>
    </row>
    <row r="355" spans="1:14" x14ac:dyDescent="0.25">
      <c r="A355" s="10"/>
      <c r="B355" s="14" t="str">
        <f t="shared" ca="1" si="40"/>
        <v/>
      </c>
      <c r="C355" s="14" t="str">
        <f ca="1">IF(I354&lt;&gt;Variables!$B$1,IF(H354&lt;&gt;0,C354,I354),"")</f>
        <v/>
      </c>
      <c r="D355" s="29" t="str">
        <f t="shared" ca="1" si="37"/>
        <v/>
      </c>
      <c r="E355" s="29" t="str">
        <f t="shared" ca="1" si="38"/>
        <v/>
      </c>
      <c r="F355" s="29" t="str">
        <f ca="1">IF(C355&lt;&gt;"",IF(OR(VLOOKUP(C355,$C$3:$L$6,5,0)=Variables!$B$5,B355&gt;VLOOKUP(C355,$C$3:$L$6,8,0)),-D355*VLOOKUP(C355,$C$3:$L$6,6,0)/12,0),"")</f>
        <v/>
      </c>
      <c r="G355" s="29" t="str">
        <f ca="1">IF(I355&lt;&gt;Variables!$B$1,IF(C355&lt;&gt;"",$I$9-E355-F355,""),-D355)</f>
        <v/>
      </c>
      <c r="H355" s="29" t="str">
        <f t="shared" ca="1" si="41"/>
        <v/>
      </c>
      <c r="I355" s="31" t="str">
        <f ca="1">IF(C355&lt;&gt;"",IF(D355+$I$9-E355-F355&gt;=0,IF(ISERROR(INDEX($C$3:$C$6,MATCH(C355,$C$3:$C$6,0)+1,0)),Variables!$B$1,INDEX($C$3:$C$6,MATCH(C355,$C$3:$C$6,0)+1,0)),""),"")</f>
        <v/>
      </c>
      <c r="J355" s="29" t="str">
        <f ca="1">IF(ISERROR(VLOOKUP(I355,$C$3:$L$6,5,0)),"",IF(OR(VLOOKUP(I355,$C$3:$L$6,5,0)=Variables!$B$5,B355&gt;VLOOKUP(I355,$C$3:$L$6,8,0)),IF(VLOOKUP(I355,$C$3:$L$6,5,0)=Variables!$B$5,((YEAR(B355)-YEAR($B$12))*12+MONTH(B355)-MONTH($B$12)),((YEAR(B355)-YEAR(VLOOKUP(I355,$C$3:$L$6,8,0)))*12+MONTH(B355)-MONTH(VLOOKUP(I355,$C$3:$L$6,8,0))))*(VLOOKUP(I355,$C$3:$L$6,10,0)*VLOOKUP(I355,$C$3:$L$6,6,0)/12),0))</f>
        <v/>
      </c>
      <c r="K355" s="29" t="str">
        <f ca="1">IF(C355&lt;&gt;"",IF(I355&lt;&gt;"",IF(ISERROR(VLOOKUP(I355,$C$3:$L$6,10,0)),"",VLOOKUP(I355,$C$3:$L$6,10,0)+J355+IF(OR(VLOOKUP(I355,$C$3:$L$6,5,0)=Variables!$B$5,B355&gt;VLOOKUP(I355,$C$3:$L$6,8,0)),IF(VLOOKUP(I355,$C$3:$L$6,5,0)=Variables!$B$5,((YEAR(B355)-YEAR($B$12))*12+MONTH(B355)-MONTH($B$12)),((YEAR(B355)-YEAR(VLOOKUP(I355,$C$3:$L$6,8,0)))*12+MONTH(B355)-MONTH(VLOOKUP(I355,$C$3:$L$6,8,0))))*VLOOKUP(I355,$C$3:$L$6,7,0),0)),""),"")</f>
        <v/>
      </c>
      <c r="L355" s="29" t="str">
        <f t="shared" ca="1" si="39"/>
        <v/>
      </c>
      <c r="M355" s="10"/>
      <c r="N355" s="10"/>
    </row>
    <row r="356" spans="1:14" x14ac:dyDescent="0.25">
      <c r="A356" s="10"/>
      <c r="B356" s="14" t="str">
        <f t="shared" ca="1" si="40"/>
        <v/>
      </c>
      <c r="C356" s="14" t="str">
        <f ca="1">IF(I355&lt;&gt;Variables!$B$1,IF(H355&lt;&gt;0,C355,I355),"")</f>
        <v/>
      </c>
      <c r="D356" s="29" t="str">
        <f t="shared" ca="1" si="37"/>
        <v/>
      </c>
      <c r="E356" s="29" t="str">
        <f t="shared" ca="1" si="38"/>
        <v/>
      </c>
      <c r="F356" s="29" t="str">
        <f ca="1">IF(C356&lt;&gt;"",IF(OR(VLOOKUP(C356,$C$3:$L$6,5,0)=Variables!$B$5,B356&gt;VLOOKUP(C356,$C$3:$L$6,8,0)),-D356*VLOOKUP(C356,$C$3:$L$6,6,0)/12,0),"")</f>
        <v/>
      </c>
      <c r="G356" s="29" t="str">
        <f ca="1">IF(I356&lt;&gt;Variables!$B$1,IF(C356&lt;&gt;"",$I$9-E356-F356,""),-D356)</f>
        <v/>
      </c>
      <c r="H356" s="29" t="str">
        <f t="shared" ca="1" si="41"/>
        <v/>
      </c>
      <c r="I356" s="31" t="str">
        <f ca="1">IF(C356&lt;&gt;"",IF(D356+$I$9-E356-F356&gt;=0,IF(ISERROR(INDEX($C$3:$C$6,MATCH(C356,$C$3:$C$6,0)+1,0)),Variables!$B$1,INDEX($C$3:$C$6,MATCH(C356,$C$3:$C$6,0)+1,0)),""),"")</f>
        <v/>
      </c>
      <c r="J356" s="29" t="str">
        <f ca="1">IF(ISERROR(VLOOKUP(I356,$C$3:$L$6,5,0)),"",IF(OR(VLOOKUP(I356,$C$3:$L$6,5,0)=Variables!$B$5,B356&gt;VLOOKUP(I356,$C$3:$L$6,8,0)),IF(VLOOKUP(I356,$C$3:$L$6,5,0)=Variables!$B$5,((YEAR(B356)-YEAR($B$12))*12+MONTH(B356)-MONTH($B$12)),((YEAR(B356)-YEAR(VLOOKUP(I356,$C$3:$L$6,8,0)))*12+MONTH(B356)-MONTH(VLOOKUP(I356,$C$3:$L$6,8,0))))*(VLOOKUP(I356,$C$3:$L$6,10,0)*VLOOKUP(I356,$C$3:$L$6,6,0)/12),0))</f>
        <v/>
      </c>
      <c r="K356" s="29" t="str">
        <f ca="1">IF(C356&lt;&gt;"",IF(I356&lt;&gt;"",IF(ISERROR(VLOOKUP(I356,$C$3:$L$6,10,0)),"",VLOOKUP(I356,$C$3:$L$6,10,0)+J356+IF(OR(VLOOKUP(I356,$C$3:$L$6,5,0)=Variables!$B$5,B356&gt;VLOOKUP(I356,$C$3:$L$6,8,0)),IF(VLOOKUP(I356,$C$3:$L$6,5,0)=Variables!$B$5,((YEAR(B356)-YEAR($B$12))*12+MONTH(B356)-MONTH($B$12)),((YEAR(B356)-YEAR(VLOOKUP(I356,$C$3:$L$6,8,0)))*12+MONTH(B356)-MONTH(VLOOKUP(I356,$C$3:$L$6,8,0))))*VLOOKUP(I356,$C$3:$L$6,7,0),0)),""),"")</f>
        <v/>
      </c>
      <c r="L356" s="29" t="str">
        <f t="shared" ca="1" si="39"/>
        <v/>
      </c>
      <c r="M356" s="10"/>
      <c r="N356" s="10"/>
    </row>
    <row r="357" spans="1:14" x14ac:dyDescent="0.25">
      <c r="A357" s="10"/>
      <c r="B357" s="14" t="str">
        <f t="shared" ca="1" si="40"/>
        <v/>
      </c>
      <c r="C357" s="14" t="str">
        <f ca="1">IF(I356&lt;&gt;Variables!$B$1,IF(H356&lt;&gt;0,C356,I356),"")</f>
        <v/>
      </c>
      <c r="D357" s="29" t="str">
        <f t="shared" ca="1" si="37"/>
        <v/>
      </c>
      <c r="E357" s="29" t="str">
        <f t="shared" ca="1" si="38"/>
        <v/>
      </c>
      <c r="F357" s="29" t="str">
        <f ca="1">IF(C357&lt;&gt;"",IF(OR(VLOOKUP(C357,$C$3:$L$6,5,0)=Variables!$B$5,B357&gt;VLOOKUP(C357,$C$3:$L$6,8,0)),-D357*VLOOKUP(C357,$C$3:$L$6,6,0)/12,0),"")</f>
        <v/>
      </c>
      <c r="G357" s="29" t="str">
        <f ca="1">IF(I357&lt;&gt;Variables!$B$1,IF(C357&lt;&gt;"",$I$9-E357-F357,""),-D357)</f>
        <v/>
      </c>
      <c r="H357" s="29" t="str">
        <f t="shared" ca="1" si="41"/>
        <v/>
      </c>
      <c r="I357" s="31" t="str">
        <f ca="1">IF(C357&lt;&gt;"",IF(D357+$I$9-E357-F357&gt;=0,IF(ISERROR(INDEX($C$3:$C$6,MATCH(C357,$C$3:$C$6,0)+1,0)),Variables!$B$1,INDEX($C$3:$C$6,MATCH(C357,$C$3:$C$6,0)+1,0)),""),"")</f>
        <v/>
      </c>
      <c r="J357" s="29" t="str">
        <f ca="1">IF(ISERROR(VLOOKUP(I357,$C$3:$L$6,5,0)),"",IF(OR(VLOOKUP(I357,$C$3:$L$6,5,0)=Variables!$B$5,B357&gt;VLOOKUP(I357,$C$3:$L$6,8,0)),IF(VLOOKUP(I357,$C$3:$L$6,5,0)=Variables!$B$5,((YEAR(B357)-YEAR($B$12))*12+MONTH(B357)-MONTH($B$12)),((YEAR(B357)-YEAR(VLOOKUP(I357,$C$3:$L$6,8,0)))*12+MONTH(B357)-MONTH(VLOOKUP(I357,$C$3:$L$6,8,0))))*(VLOOKUP(I357,$C$3:$L$6,10,0)*VLOOKUP(I357,$C$3:$L$6,6,0)/12),0))</f>
        <v/>
      </c>
      <c r="K357" s="29" t="str">
        <f ca="1">IF(C357&lt;&gt;"",IF(I357&lt;&gt;"",IF(ISERROR(VLOOKUP(I357,$C$3:$L$6,10,0)),"",VLOOKUP(I357,$C$3:$L$6,10,0)+J357+IF(OR(VLOOKUP(I357,$C$3:$L$6,5,0)=Variables!$B$5,B357&gt;VLOOKUP(I357,$C$3:$L$6,8,0)),IF(VLOOKUP(I357,$C$3:$L$6,5,0)=Variables!$B$5,((YEAR(B357)-YEAR($B$12))*12+MONTH(B357)-MONTH($B$12)),((YEAR(B357)-YEAR(VLOOKUP(I357,$C$3:$L$6,8,0)))*12+MONTH(B357)-MONTH(VLOOKUP(I357,$C$3:$L$6,8,0))))*VLOOKUP(I357,$C$3:$L$6,7,0),0)),""),"")</f>
        <v/>
      </c>
      <c r="L357" s="29" t="str">
        <f t="shared" ca="1" si="39"/>
        <v/>
      </c>
      <c r="M357" s="10"/>
      <c r="N357" s="10"/>
    </row>
    <row r="358" spans="1:14" x14ac:dyDescent="0.25">
      <c r="A358" s="10"/>
      <c r="B358" s="14" t="str">
        <f t="shared" ca="1" si="40"/>
        <v/>
      </c>
      <c r="C358" s="14" t="str">
        <f ca="1">IF(I357&lt;&gt;Variables!$B$1,IF(H357&lt;&gt;0,C357,I357),"")</f>
        <v/>
      </c>
      <c r="D358" s="29" t="str">
        <f t="shared" ca="1" si="37"/>
        <v/>
      </c>
      <c r="E358" s="29" t="str">
        <f t="shared" ca="1" si="38"/>
        <v/>
      </c>
      <c r="F358" s="29" t="str">
        <f ca="1">IF(C358&lt;&gt;"",IF(OR(VLOOKUP(C358,$C$3:$L$6,5,0)=Variables!$B$5,B358&gt;VLOOKUP(C358,$C$3:$L$6,8,0)),-D358*VLOOKUP(C358,$C$3:$L$6,6,0)/12,0),"")</f>
        <v/>
      </c>
      <c r="G358" s="29" t="str">
        <f ca="1">IF(I358&lt;&gt;Variables!$B$1,IF(C358&lt;&gt;"",$I$9-E358-F358,""),-D358)</f>
        <v/>
      </c>
      <c r="H358" s="29" t="str">
        <f t="shared" ca="1" si="41"/>
        <v/>
      </c>
      <c r="I358" s="31" t="str">
        <f ca="1">IF(C358&lt;&gt;"",IF(D358+$I$9-E358-F358&gt;=0,IF(ISERROR(INDEX($C$3:$C$6,MATCH(C358,$C$3:$C$6,0)+1,0)),Variables!$B$1,INDEX($C$3:$C$6,MATCH(C358,$C$3:$C$6,0)+1,0)),""),"")</f>
        <v/>
      </c>
      <c r="J358" s="29" t="str">
        <f ca="1">IF(ISERROR(VLOOKUP(I358,$C$3:$L$6,5,0)),"",IF(OR(VLOOKUP(I358,$C$3:$L$6,5,0)=Variables!$B$5,B358&gt;VLOOKUP(I358,$C$3:$L$6,8,0)),IF(VLOOKUP(I358,$C$3:$L$6,5,0)=Variables!$B$5,((YEAR(B358)-YEAR($B$12))*12+MONTH(B358)-MONTH($B$12)),((YEAR(B358)-YEAR(VLOOKUP(I358,$C$3:$L$6,8,0)))*12+MONTH(B358)-MONTH(VLOOKUP(I358,$C$3:$L$6,8,0))))*(VLOOKUP(I358,$C$3:$L$6,10,0)*VLOOKUP(I358,$C$3:$L$6,6,0)/12),0))</f>
        <v/>
      </c>
      <c r="K358" s="29" t="str">
        <f ca="1">IF(C358&lt;&gt;"",IF(I358&lt;&gt;"",IF(ISERROR(VLOOKUP(I358,$C$3:$L$6,10,0)),"",VLOOKUP(I358,$C$3:$L$6,10,0)+J358+IF(OR(VLOOKUP(I358,$C$3:$L$6,5,0)=Variables!$B$5,B358&gt;VLOOKUP(I358,$C$3:$L$6,8,0)),IF(VLOOKUP(I358,$C$3:$L$6,5,0)=Variables!$B$5,((YEAR(B358)-YEAR($B$12))*12+MONTH(B358)-MONTH($B$12)),((YEAR(B358)-YEAR(VLOOKUP(I358,$C$3:$L$6,8,0)))*12+MONTH(B358)-MONTH(VLOOKUP(I358,$C$3:$L$6,8,0))))*VLOOKUP(I358,$C$3:$L$6,7,0),0)),""),"")</f>
        <v/>
      </c>
      <c r="L358" s="29" t="str">
        <f t="shared" ca="1" si="39"/>
        <v/>
      </c>
      <c r="M358" s="10"/>
      <c r="N358" s="10"/>
    </row>
    <row r="359" spans="1:14" x14ac:dyDescent="0.25">
      <c r="A359" s="10"/>
      <c r="B359" s="14" t="str">
        <f t="shared" ca="1" si="40"/>
        <v/>
      </c>
      <c r="C359" s="14" t="str">
        <f ca="1">IF(I358&lt;&gt;Variables!$B$1,IF(H358&lt;&gt;0,C358,I358),"")</f>
        <v/>
      </c>
      <c r="D359" s="29" t="str">
        <f t="shared" ca="1" si="37"/>
        <v/>
      </c>
      <c r="E359" s="29" t="str">
        <f t="shared" ca="1" si="38"/>
        <v/>
      </c>
      <c r="F359" s="29" t="str">
        <f ca="1">IF(C359&lt;&gt;"",IF(OR(VLOOKUP(C359,$C$3:$L$6,5,0)=Variables!$B$5,B359&gt;VLOOKUP(C359,$C$3:$L$6,8,0)),-D359*VLOOKUP(C359,$C$3:$L$6,6,0)/12,0),"")</f>
        <v/>
      </c>
      <c r="G359" s="29" t="str">
        <f ca="1">IF(I359&lt;&gt;Variables!$B$1,IF(C359&lt;&gt;"",$I$9-E359-F359,""),-D359)</f>
        <v/>
      </c>
      <c r="H359" s="29" t="str">
        <f t="shared" ca="1" si="41"/>
        <v/>
      </c>
      <c r="I359" s="31" t="str">
        <f ca="1">IF(C359&lt;&gt;"",IF(D359+$I$9-E359-F359&gt;=0,IF(ISERROR(INDEX($C$3:$C$6,MATCH(C359,$C$3:$C$6,0)+1,0)),Variables!$B$1,INDEX($C$3:$C$6,MATCH(C359,$C$3:$C$6,0)+1,0)),""),"")</f>
        <v/>
      </c>
      <c r="J359" s="29" t="str">
        <f ca="1">IF(ISERROR(VLOOKUP(I359,$C$3:$L$6,5,0)),"",IF(OR(VLOOKUP(I359,$C$3:$L$6,5,0)=Variables!$B$5,B359&gt;VLOOKUP(I359,$C$3:$L$6,8,0)),IF(VLOOKUP(I359,$C$3:$L$6,5,0)=Variables!$B$5,((YEAR(B359)-YEAR($B$12))*12+MONTH(B359)-MONTH($B$12)),((YEAR(B359)-YEAR(VLOOKUP(I359,$C$3:$L$6,8,0)))*12+MONTH(B359)-MONTH(VLOOKUP(I359,$C$3:$L$6,8,0))))*(VLOOKUP(I359,$C$3:$L$6,10,0)*VLOOKUP(I359,$C$3:$L$6,6,0)/12),0))</f>
        <v/>
      </c>
      <c r="K359" s="29" t="str">
        <f ca="1">IF(C359&lt;&gt;"",IF(I359&lt;&gt;"",IF(ISERROR(VLOOKUP(I359,$C$3:$L$6,10,0)),"",VLOOKUP(I359,$C$3:$L$6,10,0)+J359+IF(OR(VLOOKUP(I359,$C$3:$L$6,5,0)=Variables!$B$5,B359&gt;VLOOKUP(I359,$C$3:$L$6,8,0)),IF(VLOOKUP(I359,$C$3:$L$6,5,0)=Variables!$B$5,((YEAR(B359)-YEAR($B$12))*12+MONTH(B359)-MONTH($B$12)),((YEAR(B359)-YEAR(VLOOKUP(I359,$C$3:$L$6,8,0)))*12+MONTH(B359)-MONTH(VLOOKUP(I359,$C$3:$L$6,8,0))))*VLOOKUP(I359,$C$3:$L$6,7,0),0)),""),"")</f>
        <v/>
      </c>
      <c r="L359" s="29" t="str">
        <f t="shared" ca="1" si="39"/>
        <v/>
      </c>
      <c r="M359" s="10"/>
      <c r="N359" s="10"/>
    </row>
    <row r="360" spans="1:14" x14ac:dyDescent="0.25">
      <c r="A360" s="10"/>
      <c r="B360" s="14" t="str">
        <f t="shared" ca="1" si="40"/>
        <v/>
      </c>
      <c r="C360" s="14" t="str">
        <f ca="1">IF(I359&lt;&gt;Variables!$B$1,IF(H359&lt;&gt;0,C359,I359),"")</f>
        <v/>
      </c>
      <c r="D360" s="29" t="str">
        <f t="shared" ca="1" si="37"/>
        <v/>
      </c>
      <c r="E360" s="29" t="str">
        <f t="shared" ca="1" si="38"/>
        <v/>
      </c>
      <c r="F360" s="29" t="str">
        <f ca="1">IF(C360&lt;&gt;"",IF(OR(VLOOKUP(C360,$C$3:$L$6,5,0)=Variables!$B$5,B360&gt;VLOOKUP(C360,$C$3:$L$6,8,0)),-D360*VLOOKUP(C360,$C$3:$L$6,6,0)/12,0),"")</f>
        <v/>
      </c>
      <c r="G360" s="29" t="str">
        <f ca="1">IF(I360&lt;&gt;Variables!$B$1,IF(C360&lt;&gt;"",$I$9-E360-F360,""),-D360)</f>
        <v/>
      </c>
      <c r="H360" s="29" t="str">
        <f t="shared" ca="1" si="41"/>
        <v/>
      </c>
      <c r="I360" s="31" t="str">
        <f ca="1">IF(C360&lt;&gt;"",IF(D360+$I$9-E360-F360&gt;=0,IF(ISERROR(INDEX($C$3:$C$6,MATCH(C360,$C$3:$C$6,0)+1,0)),Variables!$B$1,INDEX($C$3:$C$6,MATCH(C360,$C$3:$C$6,0)+1,0)),""),"")</f>
        <v/>
      </c>
      <c r="J360" s="29" t="str">
        <f ca="1">IF(ISERROR(VLOOKUP(I360,$C$3:$L$6,5,0)),"",IF(OR(VLOOKUP(I360,$C$3:$L$6,5,0)=Variables!$B$5,B360&gt;VLOOKUP(I360,$C$3:$L$6,8,0)),IF(VLOOKUP(I360,$C$3:$L$6,5,0)=Variables!$B$5,((YEAR(B360)-YEAR($B$12))*12+MONTH(B360)-MONTH($B$12)),((YEAR(B360)-YEAR(VLOOKUP(I360,$C$3:$L$6,8,0)))*12+MONTH(B360)-MONTH(VLOOKUP(I360,$C$3:$L$6,8,0))))*(VLOOKUP(I360,$C$3:$L$6,10,0)*VLOOKUP(I360,$C$3:$L$6,6,0)/12),0))</f>
        <v/>
      </c>
      <c r="K360" s="29" t="str">
        <f ca="1">IF(C360&lt;&gt;"",IF(I360&lt;&gt;"",IF(ISERROR(VLOOKUP(I360,$C$3:$L$6,10,0)),"",VLOOKUP(I360,$C$3:$L$6,10,0)+J360+IF(OR(VLOOKUP(I360,$C$3:$L$6,5,0)=Variables!$B$5,B360&gt;VLOOKUP(I360,$C$3:$L$6,8,0)),IF(VLOOKUP(I360,$C$3:$L$6,5,0)=Variables!$B$5,((YEAR(B360)-YEAR($B$12))*12+MONTH(B360)-MONTH($B$12)),((YEAR(B360)-YEAR(VLOOKUP(I360,$C$3:$L$6,8,0)))*12+MONTH(B360)-MONTH(VLOOKUP(I360,$C$3:$L$6,8,0))))*VLOOKUP(I360,$C$3:$L$6,7,0),0)),""),"")</f>
        <v/>
      </c>
      <c r="L360" s="29" t="str">
        <f t="shared" ca="1" si="39"/>
        <v/>
      </c>
      <c r="M360" s="10"/>
      <c r="N360" s="10"/>
    </row>
    <row r="361" spans="1:14" x14ac:dyDescent="0.25">
      <c r="A361" s="10"/>
      <c r="B361" s="14" t="str">
        <f t="shared" ca="1" si="40"/>
        <v/>
      </c>
      <c r="C361" s="14" t="str">
        <f ca="1">IF(I360&lt;&gt;Variables!$B$1,IF(H360&lt;&gt;0,C360,I360),"")</f>
        <v/>
      </c>
      <c r="D361" s="29" t="str">
        <f t="shared" ca="1" si="37"/>
        <v/>
      </c>
      <c r="E361" s="29" t="str">
        <f t="shared" ca="1" si="38"/>
        <v/>
      </c>
      <c r="F361" s="29" t="str">
        <f ca="1">IF(C361&lt;&gt;"",IF(OR(VLOOKUP(C361,$C$3:$L$6,5,0)=Variables!$B$5,B361&gt;VLOOKUP(C361,$C$3:$L$6,8,0)),-D361*VLOOKUP(C361,$C$3:$L$6,6,0)/12,0),"")</f>
        <v/>
      </c>
      <c r="G361" s="29" t="str">
        <f ca="1">IF(I361&lt;&gt;Variables!$B$1,IF(C361&lt;&gt;"",$I$9-E361-F361,""),-D361)</f>
        <v/>
      </c>
      <c r="H361" s="29" t="str">
        <f t="shared" ca="1" si="41"/>
        <v/>
      </c>
      <c r="I361" s="31" t="str">
        <f ca="1">IF(C361&lt;&gt;"",IF(D361+$I$9-E361-F361&gt;=0,IF(ISERROR(INDEX($C$3:$C$6,MATCH(C361,$C$3:$C$6,0)+1,0)),Variables!$B$1,INDEX($C$3:$C$6,MATCH(C361,$C$3:$C$6,0)+1,0)),""),"")</f>
        <v/>
      </c>
      <c r="J361" s="29" t="str">
        <f ca="1">IF(ISERROR(VLOOKUP(I361,$C$3:$L$6,5,0)),"",IF(OR(VLOOKUP(I361,$C$3:$L$6,5,0)=Variables!$B$5,B361&gt;VLOOKUP(I361,$C$3:$L$6,8,0)),IF(VLOOKUP(I361,$C$3:$L$6,5,0)=Variables!$B$5,((YEAR(B361)-YEAR($B$12))*12+MONTH(B361)-MONTH($B$12)),((YEAR(B361)-YEAR(VLOOKUP(I361,$C$3:$L$6,8,0)))*12+MONTH(B361)-MONTH(VLOOKUP(I361,$C$3:$L$6,8,0))))*(VLOOKUP(I361,$C$3:$L$6,10,0)*VLOOKUP(I361,$C$3:$L$6,6,0)/12),0))</f>
        <v/>
      </c>
      <c r="K361" s="29" t="str">
        <f ca="1">IF(C361&lt;&gt;"",IF(I361&lt;&gt;"",IF(ISERROR(VLOOKUP(I361,$C$3:$L$6,10,0)),"",VLOOKUP(I361,$C$3:$L$6,10,0)+J361+IF(OR(VLOOKUP(I361,$C$3:$L$6,5,0)=Variables!$B$5,B361&gt;VLOOKUP(I361,$C$3:$L$6,8,0)),IF(VLOOKUP(I361,$C$3:$L$6,5,0)=Variables!$B$5,((YEAR(B361)-YEAR($B$12))*12+MONTH(B361)-MONTH($B$12)),((YEAR(B361)-YEAR(VLOOKUP(I361,$C$3:$L$6,8,0)))*12+MONTH(B361)-MONTH(VLOOKUP(I361,$C$3:$L$6,8,0))))*VLOOKUP(I361,$C$3:$L$6,7,0),0)),""),"")</f>
        <v/>
      </c>
      <c r="L361" s="29" t="str">
        <f t="shared" ca="1" si="39"/>
        <v/>
      </c>
      <c r="M361" s="10"/>
      <c r="N361" s="10"/>
    </row>
    <row r="362" spans="1:14" x14ac:dyDescent="0.25">
      <c r="A362" s="10"/>
      <c r="B362" s="14" t="str">
        <f t="shared" ca="1" si="40"/>
        <v/>
      </c>
      <c r="C362" s="14" t="str">
        <f ca="1">IF(I361&lt;&gt;Variables!$B$1,IF(H361&lt;&gt;0,C361,I361),"")</f>
        <v/>
      </c>
      <c r="D362" s="29" t="str">
        <f t="shared" ca="1" si="37"/>
        <v/>
      </c>
      <c r="E362" s="29" t="str">
        <f t="shared" ca="1" si="38"/>
        <v/>
      </c>
      <c r="F362" s="29" t="str">
        <f ca="1">IF(C362&lt;&gt;"",IF(OR(VLOOKUP(C362,$C$3:$L$6,5,0)=Variables!$B$5,B362&gt;VLOOKUP(C362,$C$3:$L$6,8,0)),-D362*VLOOKUP(C362,$C$3:$L$6,6,0)/12,0),"")</f>
        <v/>
      </c>
      <c r="G362" s="29" t="str">
        <f ca="1">IF(I362&lt;&gt;Variables!$B$1,IF(C362&lt;&gt;"",$I$9-E362-F362,""),-D362)</f>
        <v/>
      </c>
      <c r="H362" s="29" t="str">
        <f t="shared" ca="1" si="41"/>
        <v/>
      </c>
      <c r="I362" s="31" t="str">
        <f ca="1">IF(C362&lt;&gt;"",IF(D362+$I$9-E362-F362&gt;=0,IF(ISERROR(INDEX($C$3:$C$6,MATCH(C362,$C$3:$C$6,0)+1,0)),Variables!$B$1,INDEX($C$3:$C$6,MATCH(C362,$C$3:$C$6,0)+1,0)),""),"")</f>
        <v/>
      </c>
      <c r="J362" s="29" t="str">
        <f ca="1">IF(ISERROR(VLOOKUP(I362,$C$3:$L$6,5,0)),"",IF(OR(VLOOKUP(I362,$C$3:$L$6,5,0)=Variables!$B$5,B362&gt;VLOOKUP(I362,$C$3:$L$6,8,0)),IF(VLOOKUP(I362,$C$3:$L$6,5,0)=Variables!$B$5,((YEAR(B362)-YEAR($B$12))*12+MONTH(B362)-MONTH($B$12)),((YEAR(B362)-YEAR(VLOOKUP(I362,$C$3:$L$6,8,0)))*12+MONTH(B362)-MONTH(VLOOKUP(I362,$C$3:$L$6,8,0))))*(VLOOKUP(I362,$C$3:$L$6,10,0)*VLOOKUP(I362,$C$3:$L$6,6,0)/12),0))</f>
        <v/>
      </c>
      <c r="K362" s="29" t="str">
        <f ca="1">IF(C362&lt;&gt;"",IF(I362&lt;&gt;"",IF(ISERROR(VLOOKUP(I362,$C$3:$L$6,10,0)),"",VLOOKUP(I362,$C$3:$L$6,10,0)+J362+IF(OR(VLOOKUP(I362,$C$3:$L$6,5,0)=Variables!$B$5,B362&gt;VLOOKUP(I362,$C$3:$L$6,8,0)),IF(VLOOKUP(I362,$C$3:$L$6,5,0)=Variables!$B$5,((YEAR(B362)-YEAR($B$12))*12+MONTH(B362)-MONTH($B$12)),((YEAR(B362)-YEAR(VLOOKUP(I362,$C$3:$L$6,8,0)))*12+MONTH(B362)-MONTH(VLOOKUP(I362,$C$3:$L$6,8,0))))*VLOOKUP(I362,$C$3:$L$6,7,0),0)),""),"")</f>
        <v/>
      </c>
      <c r="L362" s="29" t="str">
        <f t="shared" ca="1" si="39"/>
        <v/>
      </c>
      <c r="M362" s="10"/>
      <c r="N362" s="10"/>
    </row>
    <row r="363" spans="1:14" x14ac:dyDescent="0.25">
      <c r="A363" s="10"/>
      <c r="B363" s="14" t="str">
        <f t="shared" ca="1" si="40"/>
        <v/>
      </c>
      <c r="C363" s="14" t="str">
        <f ca="1">IF(I362&lt;&gt;Variables!$B$1,IF(H362&lt;&gt;0,C362,I362),"")</f>
        <v/>
      </c>
      <c r="D363" s="29" t="str">
        <f t="shared" ca="1" si="37"/>
        <v/>
      </c>
      <c r="E363" s="29" t="str">
        <f t="shared" ca="1" si="38"/>
        <v/>
      </c>
      <c r="F363" s="29" t="str">
        <f ca="1">IF(C363&lt;&gt;"",IF(OR(VLOOKUP(C363,$C$3:$L$6,5,0)=Variables!$B$5,B363&gt;VLOOKUP(C363,$C$3:$L$6,8,0)),-D363*VLOOKUP(C363,$C$3:$L$6,6,0)/12,0),"")</f>
        <v/>
      </c>
      <c r="G363" s="29" t="str">
        <f ca="1">IF(I363&lt;&gt;Variables!$B$1,IF(C363&lt;&gt;"",$I$9-E363-F363,""),-D363)</f>
        <v/>
      </c>
      <c r="H363" s="29" t="str">
        <f t="shared" ca="1" si="41"/>
        <v/>
      </c>
      <c r="I363" s="31" t="str">
        <f ca="1">IF(C363&lt;&gt;"",IF(D363+$I$9-E363-F363&gt;=0,IF(ISERROR(INDEX($C$3:$C$6,MATCH(C363,$C$3:$C$6,0)+1,0)),Variables!$B$1,INDEX($C$3:$C$6,MATCH(C363,$C$3:$C$6,0)+1,0)),""),"")</f>
        <v/>
      </c>
      <c r="J363" s="29" t="str">
        <f ca="1">IF(ISERROR(VLOOKUP(I363,$C$3:$L$6,5,0)),"",IF(OR(VLOOKUP(I363,$C$3:$L$6,5,0)=Variables!$B$5,B363&gt;VLOOKUP(I363,$C$3:$L$6,8,0)),IF(VLOOKUP(I363,$C$3:$L$6,5,0)=Variables!$B$5,((YEAR(B363)-YEAR($B$12))*12+MONTH(B363)-MONTH($B$12)),((YEAR(B363)-YEAR(VLOOKUP(I363,$C$3:$L$6,8,0)))*12+MONTH(B363)-MONTH(VLOOKUP(I363,$C$3:$L$6,8,0))))*(VLOOKUP(I363,$C$3:$L$6,10,0)*VLOOKUP(I363,$C$3:$L$6,6,0)/12),0))</f>
        <v/>
      </c>
      <c r="K363" s="29" t="str">
        <f ca="1">IF(C363&lt;&gt;"",IF(I363&lt;&gt;"",IF(ISERROR(VLOOKUP(I363,$C$3:$L$6,10,0)),"",VLOOKUP(I363,$C$3:$L$6,10,0)+J363+IF(OR(VLOOKUP(I363,$C$3:$L$6,5,0)=Variables!$B$5,B363&gt;VLOOKUP(I363,$C$3:$L$6,8,0)),IF(VLOOKUP(I363,$C$3:$L$6,5,0)=Variables!$B$5,((YEAR(B363)-YEAR($B$12))*12+MONTH(B363)-MONTH($B$12)),((YEAR(B363)-YEAR(VLOOKUP(I363,$C$3:$L$6,8,0)))*12+MONTH(B363)-MONTH(VLOOKUP(I363,$C$3:$L$6,8,0))))*VLOOKUP(I363,$C$3:$L$6,7,0),0)),""),"")</f>
        <v/>
      </c>
      <c r="L363" s="29" t="str">
        <f t="shared" ca="1" si="39"/>
        <v/>
      </c>
      <c r="M363" s="10"/>
      <c r="N363" s="10"/>
    </row>
    <row r="364" spans="1:14" x14ac:dyDescent="0.25">
      <c r="A364" s="10"/>
      <c r="B364" s="14" t="str">
        <f t="shared" ca="1" si="40"/>
        <v/>
      </c>
      <c r="C364" s="14" t="str">
        <f ca="1">IF(I363&lt;&gt;Variables!$B$1,IF(H363&lt;&gt;0,C363,I363),"")</f>
        <v/>
      </c>
      <c r="D364" s="29" t="str">
        <f t="shared" ca="1" si="37"/>
        <v/>
      </c>
      <c r="E364" s="29" t="str">
        <f t="shared" ca="1" si="38"/>
        <v/>
      </c>
      <c r="F364" s="29" t="str">
        <f ca="1">IF(C364&lt;&gt;"",IF(OR(VLOOKUP(C364,$C$3:$L$6,5,0)=Variables!$B$5,B364&gt;VLOOKUP(C364,$C$3:$L$6,8,0)),-D364*VLOOKUP(C364,$C$3:$L$6,6,0)/12,0),"")</f>
        <v/>
      </c>
      <c r="G364" s="29" t="str">
        <f ca="1">IF(I364&lt;&gt;Variables!$B$1,IF(C364&lt;&gt;"",$I$9-E364-F364,""),-D364)</f>
        <v/>
      </c>
      <c r="H364" s="29" t="str">
        <f t="shared" ca="1" si="41"/>
        <v/>
      </c>
      <c r="I364" s="31" t="str">
        <f ca="1">IF(C364&lt;&gt;"",IF(D364+$I$9-E364-F364&gt;=0,IF(ISERROR(INDEX($C$3:$C$6,MATCH(C364,$C$3:$C$6,0)+1,0)),Variables!$B$1,INDEX($C$3:$C$6,MATCH(C364,$C$3:$C$6,0)+1,0)),""),"")</f>
        <v/>
      </c>
      <c r="J364" s="29" t="str">
        <f ca="1">IF(ISERROR(VLOOKUP(I364,$C$3:$L$6,5,0)),"",IF(OR(VLOOKUP(I364,$C$3:$L$6,5,0)=Variables!$B$5,B364&gt;VLOOKUP(I364,$C$3:$L$6,8,0)),IF(VLOOKUP(I364,$C$3:$L$6,5,0)=Variables!$B$5,((YEAR(B364)-YEAR($B$12))*12+MONTH(B364)-MONTH($B$12)),((YEAR(B364)-YEAR(VLOOKUP(I364,$C$3:$L$6,8,0)))*12+MONTH(B364)-MONTH(VLOOKUP(I364,$C$3:$L$6,8,0))))*(VLOOKUP(I364,$C$3:$L$6,10,0)*VLOOKUP(I364,$C$3:$L$6,6,0)/12),0))</f>
        <v/>
      </c>
      <c r="K364" s="29" t="str">
        <f ca="1">IF(C364&lt;&gt;"",IF(I364&lt;&gt;"",IF(ISERROR(VLOOKUP(I364,$C$3:$L$6,10,0)),"",VLOOKUP(I364,$C$3:$L$6,10,0)+J364+IF(OR(VLOOKUP(I364,$C$3:$L$6,5,0)=Variables!$B$5,B364&gt;VLOOKUP(I364,$C$3:$L$6,8,0)),IF(VLOOKUP(I364,$C$3:$L$6,5,0)=Variables!$B$5,((YEAR(B364)-YEAR($B$12))*12+MONTH(B364)-MONTH($B$12)),((YEAR(B364)-YEAR(VLOOKUP(I364,$C$3:$L$6,8,0)))*12+MONTH(B364)-MONTH(VLOOKUP(I364,$C$3:$L$6,8,0))))*VLOOKUP(I364,$C$3:$L$6,7,0),0)),""),"")</f>
        <v/>
      </c>
      <c r="L364" s="29" t="str">
        <f t="shared" ca="1" si="39"/>
        <v/>
      </c>
      <c r="M364" s="10"/>
      <c r="N364" s="10"/>
    </row>
    <row r="365" spans="1:14" x14ac:dyDescent="0.25">
      <c r="A365" s="10"/>
      <c r="B365" s="14" t="str">
        <f t="shared" ca="1" si="40"/>
        <v/>
      </c>
      <c r="C365" s="14" t="str">
        <f ca="1">IF(I364&lt;&gt;Variables!$B$1,IF(H364&lt;&gt;0,C364,I364),"")</f>
        <v/>
      </c>
      <c r="D365" s="29" t="str">
        <f t="shared" ca="1" si="37"/>
        <v/>
      </c>
      <c r="E365" s="29" t="str">
        <f t="shared" ca="1" si="38"/>
        <v/>
      </c>
      <c r="F365" s="29" t="str">
        <f ca="1">IF(C365&lt;&gt;"",IF(OR(VLOOKUP(C365,$C$3:$L$6,5,0)=Variables!$B$5,B365&gt;VLOOKUP(C365,$C$3:$L$6,8,0)),-D365*VLOOKUP(C365,$C$3:$L$6,6,0)/12,0),"")</f>
        <v/>
      </c>
      <c r="G365" s="29" t="str">
        <f ca="1">IF(I365&lt;&gt;Variables!$B$1,IF(C365&lt;&gt;"",$I$9-E365-F365,""),-D365)</f>
        <v/>
      </c>
      <c r="H365" s="29" t="str">
        <f t="shared" ca="1" si="41"/>
        <v/>
      </c>
      <c r="I365" s="31" t="str">
        <f ca="1">IF(C365&lt;&gt;"",IF(D365+$I$9-E365-F365&gt;=0,IF(ISERROR(INDEX($C$3:$C$6,MATCH(C365,$C$3:$C$6,0)+1,0)),Variables!$B$1,INDEX($C$3:$C$6,MATCH(C365,$C$3:$C$6,0)+1,0)),""),"")</f>
        <v/>
      </c>
      <c r="J365" s="29" t="str">
        <f ca="1">IF(ISERROR(VLOOKUP(I365,$C$3:$L$6,5,0)),"",IF(OR(VLOOKUP(I365,$C$3:$L$6,5,0)=Variables!$B$5,B365&gt;VLOOKUP(I365,$C$3:$L$6,8,0)),IF(VLOOKUP(I365,$C$3:$L$6,5,0)=Variables!$B$5,((YEAR(B365)-YEAR($B$12))*12+MONTH(B365)-MONTH($B$12)),((YEAR(B365)-YEAR(VLOOKUP(I365,$C$3:$L$6,8,0)))*12+MONTH(B365)-MONTH(VLOOKUP(I365,$C$3:$L$6,8,0))))*(VLOOKUP(I365,$C$3:$L$6,10,0)*VLOOKUP(I365,$C$3:$L$6,6,0)/12),0))</f>
        <v/>
      </c>
      <c r="K365" s="29" t="str">
        <f ca="1">IF(C365&lt;&gt;"",IF(I365&lt;&gt;"",IF(ISERROR(VLOOKUP(I365,$C$3:$L$6,10,0)),"",VLOOKUP(I365,$C$3:$L$6,10,0)+J365+IF(OR(VLOOKUP(I365,$C$3:$L$6,5,0)=Variables!$B$5,B365&gt;VLOOKUP(I365,$C$3:$L$6,8,0)),IF(VLOOKUP(I365,$C$3:$L$6,5,0)=Variables!$B$5,((YEAR(B365)-YEAR($B$12))*12+MONTH(B365)-MONTH($B$12)),((YEAR(B365)-YEAR(VLOOKUP(I365,$C$3:$L$6,8,0)))*12+MONTH(B365)-MONTH(VLOOKUP(I365,$C$3:$L$6,8,0))))*VLOOKUP(I365,$C$3:$L$6,7,0),0)),""),"")</f>
        <v/>
      </c>
      <c r="L365" s="29" t="str">
        <f t="shared" ca="1" si="39"/>
        <v/>
      </c>
      <c r="M365" s="10"/>
      <c r="N365" s="10"/>
    </row>
    <row r="366" spans="1:14" x14ac:dyDescent="0.25">
      <c r="A366" s="10"/>
      <c r="B366" s="14" t="str">
        <f t="shared" ca="1" si="40"/>
        <v/>
      </c>
      <c r="C366" s="14" t="str">
        <f ca="1">IF(I365&lt;&gt;Variables!$B$1,IF(H365&lt;&gt;0,C365,I365),"")</f>
        <v/>
      </c>
      <c r="D366" s="29" t="str">
        <f t="shared" ca="1" si="37"/>
        <v/>
      </c>
      <c r="E366" s="29" t="str">
        <f t="shared" ca="1" si="38"/>
        <v/>
      </c>
      <c r="F366" s="29" t="str">
        <f ca="1">IF(C366&lt;&gt;"",IF(OR(VLOOKUP(C366,$C$3:$L$6,5,0)=Variables!$B$5,B366&gt;VLOOKUP(C366,$C$3:$L$6,8,0)),-D366*VLOOKUP(C366,$C$3:$L$6,6,0)/12,0),"")</f>
        <v/>
      </c>
      <c r="G366" s="29" t="str">
        <f ca="1">IF(I366&lt;&gt;Variables!$B$1,IF(C366&lt;&gt;"",$I$9-E366-F366,""),-D366)</f>
        <v/>
      </c>
      <c r="H366" s="29" t="str">
        <f t="shared" ca="1" si="41"/>
        <v/>
      </c>
      <c r="I366" s="31" t="str">
        <f ca="1">IF(C366&lt;&gt;"",IF(D366+$I$9-E366-F366&gt;=0,IF(ISERROR(INDEX($C$3:$C$6,MATCH(C366,$C$3:$C$6,0)+1,0)),Variables!$B$1,INDEX($C$3:$C$6,MATCH(C366,$C$3:$C$6,0)+1,0)),""),"")</f>
        <v/>
      </c>
      <c r="J366" s="29" t="str">
        <f ca="1">IF(ISERROR(VLOOKUP(I366,$C$3:$L$6,5,0)),"",IF(OR(VLOOKUP(I366,$C$3:$L$6,5,0)=Variables!$B$5,B366&gt;VLOOKUP(I366,$C$3:$L$6,8,0)),IF(VLOOKUP(I366,$C$3:$L$6,5,0)=Variables!$B$5,((YEAR(B366)-YEAR($B$12))*12+MONTH(B366)-MONTH($B$12)),((YEAR(B366)-YEAR(VLOOKUP(I366,$C$3:$L$6,8,0)))*12+MONTH(B366)-MONTH(VLOOKUP(I366,$C$3:$L$6,8,0))))*(VLOOKUP(I366,$C$3:$L$6,10,0)*VLOOKUP(I366,$C$3:$L$6,6,0)/12),0))</f>
        <v/>
      </c>
      <c r="K366" s="29" t="str">
        <f ca="1">IF(C366&lt;&gt;"",IF(I366&lt;&gt;"",IF(ISERROR(VLOOKUP(I366,$C$3:$L$6,10,0)),"",VLOOKUP(I366,$C$3:$L$6,10,0)+J366+IF(OR(VLOOKUP(I366,$C$3:$L$6,5,0)=Variables!$B$5,B366&gt;VLOOKUP(I366,$C$3:$L$6,8,0)),IF(VLOOKUP(I366,$C$3:$L$6,5,0)=Variables!$B$5,((YEAR(B366)-YEAR($B$12))*12+MONTH(B366)-MONTH($B$12)),((YEAR(B366)-YEAR(VLOOKUP(I366,$C$3:$L$6,8,0)))*12+MONTH(B366)-MONTH(VLOOKUP(I366,$C$3:$L$6,8,0))))*VLOOKUP(I366,$C$3:$L$6,7,0),0)),""),"")</f>
        <v/>
      </c>
      <c r="L366" s="29" t="str">
        <f t="shared" ca="1" si="39"/>
        <v/>
      </c>
      <c r="M366" s="10"/>
      <c r="N366" s="10"/>
    </row>
    <row r="367" spans="1:14" x14ac:dyDescent="0.25">
      <c r="A367" s="10"/>
      <c r="B367" s="14" t="str">
        <f t="shared" ca="1" si="40"/>
        <v/>
      </c>
      <c r="C367" s="14" t="str">
        <f ca="1">IF(I366&lt;&gt;Variables!$B$1,IF(H366&lt;&gt;0,C366,I366),"")</f>
        <v/>
      </c>
      <c r="D367" s="29" t="str">
        <f t="shared" ca="1" si="37"/>
        <v/>
      </c>
      <c r="E367" s="29" t="str">
        <f t="shared" ca="1" si="38"/>
        <v/>
      </c>
      <c r="F367" s="29" t="str">
        <f ca="1">IF(C367&lt;&gt;"",IF(OR(VLOOKUP(C367,$C$3:$L$6,5,0)=Variables!$B$5,B367&gt;VLOOKUP(C367,$C$3:$L$6,8,0)),-D367*VLOOKUP(C367,$C$3:$L$6,6,0)/12,0),"")</f>
        <v/>
      </c>
      <c r="G367" s="29" t="str">
        <f ca="1">IF(I367&lt;&gt;Variables!$B$1,IF(C367&lt;&gt;"",$I$9-E367-F367,""),-D367)</f>
        <v/>
      </c>
      <c r="H367" s="29" t="str">
        <f t="shared" ca="1" si="41"/>
        <v/>
      </c>
      <c r="I367" s="31" t="str">
        <f ca="1">IF(C367&lt;&gt;"",IF(D367+$I$9-E367-F367&gt;=0,IF(ISERROR(INDEX($C$3:$C$6,MATCH(C367,$C$3:$C$6,0)+1,0)),Variables!$B$1,INDEX($C$3:$C$6,MATCH(C367,$C$3:$C$6,0)+1,0)),""),"")</f>
        <v/>
      </c>
      <c r="J367" s="29" t="str">
        <f ca="1">IF(ISERROR(VLOOKUP(I367,$C$3:$L$6,5,0)),"",IF(OR(VLOOKUP(I367,$C$3:$L$6,5,0)=Variables!$B$5,B367&gt;VLOOKUP(I367,$C$3:$L$6,8,0)),IF(VLOOKUP(I367,$C$3:$L$6,5,0)=Variables!$B$5,((YEAR(B367)-YEAR($B$12))*12+MONTH(B367)-MONTH($B$12)),((YEAR(B367)-YEAR(VLOOKUP(I367,$C$3:$L$6,8,0)))*12+MONTH(B367)-MONTH(VLOOKUP(I367,$C$3:$L$6,8,0))))*(VLOOKUP(I367,$C$3:$L$6,10,0)*VLOOKUP(I367,$C$3:$L$6,6,0)/12),0))</f>
        <v/>
      </c>
      <c r="K367" s="29" t="str">
        <f ca="1">IF(C367&lt;&gt;"",IF(I367&lt;&gt;"",IF(ISERROR(VLOOKUP(I367,$C$3:$L$6,10,0)),"",VLOOKUP(I367,$C$3:$L$6,10,0)+J367+IF(OR(VLOOKUP(I367,$C$3:$L$6,5,0)=Variables!$B$5,B367&gt;VLOOKUP(I367,$C$3:$L$6,8,0)),IF(VLOOKUP(I367,$C$3:$L$6,5,0)=Variables!$B$5,((YEAR(B367)-YEAR($B$12))*12+MONTH(B367)-MONTH($B$12)),((YEAR(B367)-YEAR(VLOOKUP(I367,$C$3:$L$6,8,0)))*12+MONTH(B367)-MONTH(VLOOKUP(I367,$C$3:$L$6,8,0))))*VLOOKUP(I367,$C$3:$L$6,7,0),0)),""),"")</f>
        <v/>
      </c>
      <c r="L367" s="29" t="str">
        <f t="shared" ca="1" si="39"/>
        <v/>
      </c>
      <c r="M367" s="10"/>
      <c r="N367" s="10"/>
    </row>
    <row r="368" spans="1:14" x14ac:dyDescent="0.25">
      <c r="A368" s="10"/>
      <c r="B368" s="14" t="str">
        <f t="shared" ca="1" si="40"/>
        <v/>
      </c>
      <c r="C368" s="14" t="str">
        <f ca="1">IF(I367&lt;&gt;Variables!$B$1,IF(H367&lt;&gt;0,C367,I367),"")</f>
        <v/>
      </c>
      <c r="D368" s="29" t="str">
        <f t="shared" ca="1" si="37"/>
        <v/>
      </c>
      <c r="E368" s="29" t="str">
        <f t="shared" ca="1" si="38"/>
        <v/>
      </c>
      <c r="F368" s="29" t="str">
        <f ca="1">IF(C368&lt;&gt;"",IF(OR(VLOOKUP(C368,$C$3:$L$6,5,0)=Variables!$B$5,B368&gt;VLOOKUP(C368,$C$3:$L$6,8,0)),-D368*VLOOKUP(C368,$C$3:$L$6,6,0)/12,0),"")</f>
        <v/>
      </c>
      <c r="G368" s="29" t="str">
        <f ca="1">IF(I368&lt;&gt;Variables!$B$1,IF(C368&lt;&gt;"",$I$9-E368-F368,""),-D368)</f>
        <v/>
      </c>
      <c r="H368" s="29" t="str">
        <f t="shared" ca="1" si="41"/>
        <v/>
      </c>
      <c r="I368" s="31" t="str">
        <f ca="1">IF(C368&lt;&gt;"",IF(D368+$I$9-E368-F368&gt;=0,IF(ISERROR(INDEX($C$3:$C$6,MATCH(C368,$C$3:$C$6,0)+1,0)),Variables!$B$1,INDEX($C$3:$C$6,MATCH(C368,$C$3:$C$6,0)+1,0)),""),"")</f>
        <v/>
      </c>
      <c r="J368" s="29" t="str">
        <f ca="1">IF(ISERROR(VLOOKUP(I368,$C$3:$L$6,5,0)),"",IF(OR(VLOOKUP(I368,$C$3:$L$6,5,0)=Variables!$B$5,B368&gt;VLOOKUP(I368,$C$3:$L$6,8,0)),IF(VLOOKUP(I368,$C$3:$L$6,5,0)=Variables!$B$5,((YEAR(B368)-YEAR($B$12))*12+MONTH(B368)-MONTH($B$12)),((YEAR(B368)-YEAR(VLOOKUP(I368,$C$3:$L$6,8,0)))*12+MONTH(B368)-MONTH(VLOOKUP(I368,$C$3:$L$6,8,0))))*(VLOOKUP(I368,$C$3:$L$6,10,0)*VLOOKUP(I368,$C$3:$L$6,6,0)/12),0))</f>
        <v/>
      </c>
      <c r="K368" s="29" t="str">
        <f ca="1">IF(C368&lt;&gt;"",IF(I368&lt;&gt;"",IF(ISERROR(VLOOKUP(I368,$C$3:$L$6,10,0)),"",VLOOKUP(I368,$C$3:$L$6,10,0)+J368+IF(OR(VLOOKUP(I368,$C$3:$L$6,5,0)=Variables!$B$5,B368&gt;VLOOKUP(I368,$C$3:$L$6,8,0)),IF(VLOOKUP(I368,$C$3:$L$6,5,0)=Variables!$B$5,((YEAR(B368)-YEAR($B$12))*12+MONTH(B368)-MONTH($B$12)),((YEAR(B368)-YEAR(VLOOKUP(I368,$C$3:$L$6,8,0)))*12+MONTH(B368)-MONTH(VLOOKUP(I368,$C$3:$L$6,8,0))))*VLOOKUP(I368,$C$3:$L$6,7,0),0)),""),"")</f>
        <v/>
      </c>
      <c r="L368" s="29" t="str">
        <f t="shared" ca="1" si="39"/>
        <v/>
      </c>
      <c r="M368" s="10"/>
      <c r="N368" s="10"/>
    </row>
    <row r="369" spans="1:14" x14ac:dyDescent="0.25">
      <c r="A369" s="10"/>
      <c r="B369" s="14" t="str">
        <f t="shared" ca="1" si="40"/>
        <v/>
      </c>
      <c r="C369" s="14" t="str">
        <f ca="1">IF(I368&lt;&gt;Variables!$B$1,IF(H368&lt;&gt;0,C368,I368),"")</f>
        <v/>
      </c>
      <c r="D369" s="29" t="str">
        <f t="shared" ca="1" si="37"/>
        <v/>
      </c>
      <c r="E369" s="29" t="str">
        <f t="shared" ca="1" si="38"/>
        <v/>
      </c>
      <c r="F369" s="29" t="str">
        <f ca="1">IF(C369&lt;&gt;"",IF(OR(VLOOKUP(C369,$C$3:$L$6,5,0)=Variables!$B$5,B369&gt;VLOOKUP(C369,$C$3:$L$6,8,0)),-D369*VLOOKUP(C369,$C$3:$L$6,6,0)/12,0),"")</f>
        <v/>
      </c>
      <c r="G369" s="29" t="str">
        <f ca="1">IF(I369&lt;&gt;Variables!$B$1,IF(C369&lt;&gt;"",$I$9-E369-F369,""),-D369)</f>
        <v/>
      </c>
      <c r="H369" s="29" t="str">
        <f t="shared" ca="1" si="41"/>
        <v/>
      </c>
      <c r="I369" s="31" t="str">
        <f ca="1">IF(C369&lt;&gt;"",IF(D369+$I$9-E369-F369&gt;=0,IF(ISERROR(INDEX($C$3:$C$6,MATCH(C369,$C$3:$C$6,0)+1,0)),Variables!$B$1,INDEX($C$3:$C$6,MATCH(C369,$C$3:$C$6,0)+1,0)),""),"")</f>
        <v/>
      </c>
      <c r="J369" s="29" t="str">
        <f ca="1">IF(ISERROR(VLOOKUP(I369,$C$3:$L$6,5,0)),"",IF(OR(VLOOKUP(I369,$C$3:$L$6,5,0)=Variables!$B$5,B369&gt;VLOOKUP(I369,$C$3:$L$6,8,0)),IF(VLOOKUP(I369,$C$3:$L$6,5,0)=Variables!$B$5,((YEAR(B369)-YEAR($B$12))*12+MONTH(B369)-MONTH($B$12)),((YEAR(B369)-YEAR(VLOOKUP(I369,$C$3:$L$6,8,0)))*12+MONTH(B369)-MONTH(VLOOKUP(I369,$C$3:$L$6,8,0))))*(VLOOKUP(I369,$C$3:$L$6,10,0)*VLOOKUP(I369,$C$3:$L$6,6,0)/12),0))</f>
        <v/>
      </c>
      <c r="K369" s="29" t="str">
        <f ca="1">IF(C369&lt;&gt;"",IF(I369&lt;&gt;"",IF(ISERROR(VLOOKUP(I369,$C$3:$L$6,10,0)),"",VLOOKUP(I369,$C$3:$L$6,10,0)+J369+IF(OR(VLOOKUP(I369,$C$3:$L$6,5,0)=Variables!$B$5,B369&gt;VLOOKUP(I369,$C$3:$L$6,8,0)),IF(VLOOKUP(I369,$C$3:$L$6,5,0)=Variables!$B$5,((YEAR(B369)-YEAR($B$12))*12+MONTH(B369)-MONTH($B$12)),((YEAR(B369)-YEAR(VLOOKUP(I369,$C$3:$L$6,8,0)))*12+MONTH(B369)-MONTH(VLOOKUP(I369,$C$3:$L$6,8,0))))*VLOOKUP(I369,$C$3:$L$6,7,0),0)),""),"")</f>
        <v/>
      </c>
      <c r="L369" s="29" t="str">
        <f t="shared" ca="1" si="39"/>
        <v/>
      </c>
      <c r="M369" s="10"/>
      <c r="N369" s="10"/>
    </row>
    <row r="370" spans="1:14" x14ac:dyDescent="0.25">
      <c r="A370" s="10"/>
      <c r="B370" s="14" t="str">
        <f t="shared" ca="1" si="40"/>
        <v/>
      </c>
      <c r="C370" s="14" t="str">
        <f ca="1">IF(I369&lt;&gt;Variables!$B$1,IF(H369&lt;&gt;0,C369,I369),"")</f>
        <v/>
      </c>
      <c r="D370" s="29" t="str">
        <f t="shared" ca="1" si="37"/>
        <v/>
      </c>
      <c r="E370" s="29" t="str">
        <f t="shared" ca="1" si="38"/>
        <v/>
      </c>
      <c r="F370" s="29" t="str">
        <f ca="1">IF(C370&lt;&gt;"",IF(OR(VLOOKUP(C370,$C$3:$L$6,5,0)=Variables!$B$5,B370&gt;VLOOKUP(C370,$C$3:$L$6,8,0)),-D370*VLOOKUP(C370,$C$3:$L$6,6,0)/12,0),"")</f>
        <v/>
      </c>
      <c r="G370" s="29" t="str">
        <f ca="1">IF(I370&lt;&gt;Variables!$B$1,IF(C370&lt;&gt;"",$I$9-E370-F370,""),-D370)</f>
        <v/>
      </c>
      <c r="H370" s="29" t="str">
        <f t="shared" ca="1" si="41"/>
        <v/>
      </c>
      <c r="I370" s="31" t="str">
        <f ca="1">IF(C370&lt;&gt;"",IF(D370+$I$9-E370-F370&gt;=0,IF(ISERROR(INDEX($C$3:$C$6,MATCH(C370,$C$3:$C$6,0)+1,0)),Variables!$B$1,INDEX($C$3:$C$6,MATCH(C370,$C$3:$C$6,0)+1,0)),""),"")</f>
        <v/>
      </c>
      <c r="J370" s="29" t="str">
        <f ca="1">IF(ISERROR(VLOOKUP(I370,$C$3:$L$6,5,0)),"",IF(OR(VLOOKUP(I370,$C$3:$L$6,5,0)=Variables!$B$5,B370&gt;VLOOKUP(I370,$C$3:$L$6,8,0)),IF(VLOOKUP(I370,$C$3:$L$6,5,0)=Variables!$B$5,((YEAR(B370)-YEAR($B$12))*12+MONTH(B370)-MONTH($B$12)),((YEAR(B370)-YEAR(VLOOKUP(I370,$C$3:$L$6,8,0)))*12+MONTH(B370)-MONTH(VLOOKUP(I370,$C$3:$L$6,8,0))))*(VLOOKUP(I370,$C$3:$L$6,10,0)*VLOOKUP(I370,$C$3:$L$6,6,0)/12),0))</f>
        <v/>
      </c>
      <c r="K370" s="29" t="str">
        <f ca="1">IF(C370&lt;&gt;"",IF(I370&lt;&gt;"",IF(ISERROR(VLOOKUP(I370,$C$3:$L$6,10,0)),"",VLOOKUP(I370,$C$3:$L$6,10,0)+J370+IF(OR(VLOOKUP(I370,$C$3:$L$6,5,0)=Variables!$B$5,B370&gt;VLOOKUP(I370,$C$3:$L$6,8,0)),IF(VLOOKUP(I370,$C$3:$L$6,5,0)=Variables!$B$5,((YEAR(B370)-YEAR($B$12))*12+MONTH(B370)-MONTH($B$12)),((YEAR(B370)-YEAR(VLOOKUP(I370,$C$3:$L$6,8,0)))*12+MONTH(B370)-MONTH(VLOOKUP(I370,$C$3:$L$6,8,0))))*VLOOKUP(I370,$C$3:$L$6,7,0),0)),""),"")</f>
        <v/>
      </c>
      <c r="L370" s="29" t="str">
        <f t="shared" ca="1" si="39"/>
        <v/>
      </c>
      <c r="M370" s="10"/>
      <c r="N370" s="10"/>
    </row>
    <row r="371" spans="1:14" x14ac:dyDescent="0.25">
      <c r="A371" s="10"/>
      <c r="B371" s="14" t="str">
        <f t="shared" ca="1" si="40"/>
        <v/>
      </c>
      <c r="C371" s="14" t="str">
        <f ca="1">IF(I370&lt;&gt;Variables!$B$1,IF(H370&lt;&gt;0,C370,I370),"")</f>
        <v/>
      </c>
      <c r="D371" s="29" t="str">
        <f t="shared" ca="1" si="37"/>
        <v/>
      </c>
      <c r="E371" s="29" t="str">
        <f t="shared" ca="1" si="38"/>
        <v/>
      </c>
      <c r="F371" s="29" t="str">
        <f ca="1">IF(C371&lt;&gt;"",IF(OR(VLOOKUP(C371,$C$3:$L$6,5,0)=Variables!$B$5,B371&gt;VLOOKUP(C371,$C$3:$L$6,8,0)),-D371*VLOOKUP(C371,$C$3:$L$6,6,0)/12,0),"")</f>
        <v/>
      </c>
      <c r="G371" s="29" t="str">
        <f ca="1">IF(I371&lt;&gt;Variables!$B$1,IF(C371&lt;&gt;"",$I$9-E371-F371,""),-D371)</f>
        <v/>
      </c>
      <c r="H371" s="29" t="str">
        <f t="shared" ca="1" si="41"/>
        <v/>
      </c>
      <c r="I371" s="31" t="str">
        <f ca="1">IF(C371&lt;&gt;"",IF(D371+$I$9-E371-F371&gt;=0,IF(ISERROR(INDEX($C$3:$C$6,MATCH(C371,$C$3:$C$6,0)+1,0)),Variables!$B$1,INDEX($C$3:$C$6,MATCH(C371,$C$3:$C$6,0)+1,0)),""),"")</f>
        <v/>
      </c>
      <c r="J371" s="29" t="str">
        <f ca="1">IF(ISERROR(VLOOKUP(I371,$C$3:$L$6,5,0)),"",IF(OR(VLOOKUP(I371,$C$3:$L$6,5,0)=Variables!$B$5,B371&gt;VLOOKUP(I371,$C$3:$L$6,8,0)),IF(VLOOKUP(I371,$C$3:$L$6,5,0)=Variables!$B$5,((YEAR(B371)-YEAR($B$12))*12+MONTH(B371)-MONTH($B$12)),((YEAR(B371)-YEAR(VLOOKUP(I371,$C$3:$L$6,8,0)))*12+MONTH(B371)-MONTH(VLOOKUP(I371,$C$3:$L$6,8,0))))*(VLOOKUP(I371,$C$3:$L$6,10,0)*VLOOKUP(I371,$C$3:$L$6,6,0)/12),0))</f>
        <v/>
      </c>
      <c r="K371" s="29" t="str">
        <f ca="1">IF(C371&lt;&gt;"",IF(I371&lt;&gt;"",IF(ISERROR(VLOOKUP(I371,$C$3:$L$6,10,0)),"",VLOOKUP(I371,$C$3:$L$6,10,0)+J371+IF(OR(VLOOKUP(I371,$C$3:$L$6,5,0)=Variables!$B$5,B371&gt;VLOOKUP(I371,$C$3:$L$6,8,0)),IF(VLOOKUP(I371,$C$3:$L$6,5,0)=Variables!$B$5,((YEAR(B371)-YEAR($B$12))*12+MONTH(B371)-MONTH($B$12)),((YEAR(B371)-YEAR(VLOOKUP(I371,$C$3:$L$6,8,0)))*12+MONTH(B371)-MONTH(VLOOKUP(I371,$C$3:$L$6,8,0))))*VLOOKUP(I371,$C$3:$L$6,7,0),0)),""),"")</f>
        <v/>
      </c>
      <c r="L371" s="29" t="str">
        <f t="shared" ca="1" si="39"/>
        <v/>
      </c>
      <c r="M371" s="10"/>
      <c r="N371" s="10"/>
    </row>
    <row r="372" spans="1:14" x14ac:dyDescent="0.25">
      <c r="A372" s="10"/>
      <c r="B372" s="14" t="str">
        <f t="shared" ca="1" si="40"/>
        <v/>
      </c>
      <c r="C372" s="14" t="str">
        <f ca="1">IF(I371&lt;&gt;Variables!$B$1,IF(H371&lt;&gt;0,C371,I371),"")</f>
        <v/>
      </c>
      <c r="D372" s="29" t="str">
        <f t="shared" ca="1" si="37"/>
        <v/>
      </c>
      <c r="E372" s="29" t="str">
        <f t="shared" ca="1" si="38"/>
        <v/>
      </c>
      <c r="F372" s="29" t="str">
        <f ca="1">IF(C372&lt;&gt;"",IF(OR(VLOOKUP(C372,$C$3:$L$6,5,0)=Variables!$B$5,B372&gt;VLOOKUP(C372,$C$3:$L$6,8,0)),-D372*VLOOKUP(C372,$C$3:$L$6,6,0)/12,0),"")</f>
        <v/>
      </c>
      <c r="G372" s="29" t="str">
        <f ca="1">IF(I372&lt;&gt;Variables!$B$1,IF(C372&lt;&gt;"",$I$9-E372-F372,""),-D372)</f>
        <v/>
      </c>
      <c r="H372" s="29" t="str">
        <f t="shared" ca="1" si="41"/>
        <v/>
      </c>
      <c r="I372" s="31" t="str">
        <f ca="1">IF(C372&lt;&gt;"",IF(D372+$I$9-E372-F372&gt;=0,IF(ISERROR(INDEX($C$3:$C$6,MATCH(C372,$C$3:$C$6,0)+1,0)),Variables!$B$1,INDEX($C$3:$C$6,MATCH(C372,$C$3:$C$6,0)+1,0)),""),"")</f>
        <v/>
      </c>
      <c r="J372" s="29" t="str">
        <f ca="1">IF(ISERROR(VLOOKUP(I372,$C$3:$L$6,5,0)),"",IF(OR(VLOOKUP(I372,$C$3:$L$6,5,0)=Variables!$B$5,B372&gt;VLOOKUP(I372,$C$3:$L$6,8,0)),IF(VLOOKUP(I372,$C$3:$L$6,5,0)=Variables!$B$5,((YEAR(B372)-YEAR($B$12))*12+MONTH(B372)-MONTH($B$12)),((YEAR(B372)-YEAR(VLOOKUP(I372,$C$3:$L$6,8,0)))*12+MONTH(B372)-MONTH(VLOOKUP(I372,$C$3:$L$6,8,0))))*(VLOOKUP(I372,$C$3:$L$6,10,0)*VLOOKUP(I372,$C$3:$L$6,6,0)/12),0))</f>
        <v/>
      </c>
      <c r="K372" s="29" t="str">
        <f ca="1">IF(C372&lt;&gt;"",IF(I372&lt;&gt;"",IF(ISERROR(VLOOKUP(I372,$C$3:$L$6,10,0)),"",VLOOKUP(I372,$C$3:$L$6,10,0)+J372+IF(OR(VLOOKUP(I372,$C$3:$L$6,5,0)=Variables!$B$5,B372&gt;VLOOKUP(I372,$C$3:$L$6,8,0)),IF(VLOOKUP(I372,$C$3:$L$6,5,0)=Variables!$B$5,((YEAR(B372)-YEAR($B$12))*12+MONTH(B372)-MONTH($B$12)),((YEAR(B372)-YEAR(VLOOKUP(I372,$C$3:$L$6,8,0)))*12+MONTH(B372)-MONTH(VLOOKUP(I372,$C$3:$L$6,8,0))))*VLOOKUP(I372,$C$3:$L$6,7,0),0)),""),"")</f>
        <v/>
      </c>
      <c r="L372" s="29" t="str">
        <f t="shared" ca="1" si="39"/>
        <v/>
      </c>
      <c r="M372" s="10"/>
      <c r="N372" s="10"/>
    </row>
    <row r="373" spans="1:14" x14ac:dyDescent="0.25">
      <c r="A373" s="10"/>
      <c r="B373" s="14" t="str">
        <f t="shared" ca="1" si="40"/>
        <v/>
      </c>
      <c r="C373" s="14" t="str">
        <f ca="1">IF(I372&lt;&gt;Variables!$B$1,IF(H372&lt;&gt;0,C372,I372),"")</f>
        <v/>
      </c>
      <c r="D373" s="29" t="str">
        <f t="shared" ca="1" si="37"/>
        <v/>
      </c>
      <c r="E373" s="29" t="str">
        <f t="shared" ca="1" si="38"/>
        <v/>
      </c>
      <c r="F373" s="29" t="str">
        <f ca="1">IF(C373&lt;&gt;"",IF(OR(VLOOKUP(C373,$C$3:$L$6,5,0)=Variables!$B$5,B373&gt;VLOOKUP(C373,$C$3:$L$6,8,0)),-D373*VLOOKUP(C373,$C$3:$L$6,6,0)/12,0),"")</f>
        <v/>
      </c>
      <c r="G373" s="29" t="str">
        <f ca="1">IF(I373&lt;&gt;Variables!$B$1,IF(C373&lt;&gt;"",$I$9-E373-F373,""),-D373)</f>
        <v/>
      </c>
      <c r="H373" s="29" t="str">
        <f t="shared" ca="1" si="41"/>
        <v/>
      </c>
      <c r="I373" s="31" t="str">
        <f ca="1">IF(C373&lt;&gt;"",IF(D373+$I$9-E373-F373&gt;=0,IF(ISERROR(INDEX($C$3:$C$6,MATCH(C373,$C$3:$C$6,0)+1,0)),Variables!$B$1,INDEX($C$3:$C$6,MATCH(C373,$C$3:$C$6,0)+1,0)),""),"")</f>
        <v/>
      </c>
      <c r="J373" s="29" t="str">
        <f ca="1">IF(ISERROR(VLOOKUP(I373,$C$3:$L$6,5,0)),"",IF(OR(VLOOKUP(I373,$C$3:$L$6,5,0)=Variables!$B$5,B373&gt;VLOOKUP(I373,$C$3:$L$6,8,0)),IF(VLOOKUP(I373,$C$3:$L$6,5,0)=Variables!$B$5,((YEAR(B373)-YEAR($B$12))*12+MONTH(B373)-MONTH($B$12)),((YEAR(B373)-YEAR(VLOOKUP(I373,$C$3:$L$6,8,0)))*12+MONTH(B373)-MONTH(VLOOKUP(I373,$C$3:$L$6,8,0))))*(VLOOKUP(I373,$C$3:$L$6,10,0)*VLOOKUP(I373,$C$3:$L$6,6,0)/12),0))</f>
        <v/>
      </c>
      <c r="K373" s="29" t="str">
        <f ca="1">IF(C373&lt;&gt;"",IF(I373&lt;&gt;"",IF(ISERROR(VLOOKUP(I373,$C$3:$L$6,10,0)),"",VLOOKUP(I373,$C$3:$L$6,10,0)+J373+IF(OR(VLOOKUP(I373,$C$3:$L$6,5,0)=Variables!$B$5,B373&gt;VLOOKUP(I373,$C$3:$L$6,8,0)),IF(VLOOKUP(I373,$C$3:$L$6,5,0)=Variables!$B$5,((YEAR(B373)-YEAR($B$12))*12+MONTH(B373)-MONTH($B$12)),((YEAR(B373)-YEAR(VLOOKUP(I373,$C$3:$L$6,8,0)))*12+MONTH(B373)-MONTH(VLOOKUP(I373,$C$3:$L$6,8,0))))*VLOOKUP(I373,$C$3:$L$6,7,0),0)),""),"")</f>
        <v/>
      </c>
      <c r="L373" s="29" t="str">
        <f t="shared" ca="1" si="39"/>
        <v/>
      </c>
      <c r="M373" s="10"/>
      <c r="N373" s="10"/>
    </row>
    <row r="374" spans="1:14" x14ac:dyDescent="0.25">
      <c r="A374" s="10"/>
      <c r="B374" s="14" t="str">
        <f t="shared" ca="1" si="40"/>
        <v/>
      </c>
      <c r="C374" s="14" t="str">
        <f ca="1">IF(I373&lt;&gt;Variables!$B$1,IF(H373&lt;&gt;0,C373,I373),"")</f>
        <v/>
      </c>
      <c r="D374" s="29" t="str">
        <f t="shared" ca="1" si="37"/>
        <v/>
      </c>
      <c r="E374" s="29" t="str">
        <f t="shared" ca="1" si="38"/>
        <v/>
      </c>
      <c r="F374" s="29" t="str">
        <f ca="1">IF(C374&lt;&gt;"",IF(OR(VLOOKUP(C374,$C$3:$L$6,5,0)=Variables!$B$5,B374&gt;VLOOKUP(C374,$C$3:$L$6,8,0)),-D374*VLOOKUP(C374,$C$3:$L$6,6,0)/12,0),"")</f>
        <v/>
      </c>
      <c r="G374" s="29" t="str">
        <f ca="1">IF(I374&lt;&gt;Variables!$B$1,IF(C374&lt;&gt;"",$I$9-E374-F374,""),-D374)</f>
        <v/>
      </c>
      <c r="H374" s="29" t="str">
        <f t="shared" ca="1" si="41"/>
        <v/>
      </c>
      <c r="I374" s="31" t="str">
        <f ca="1">IF(C374&lt;&gt;"",IF(D374+$I$9-E374-F374&gt;=0,IF(ISERROR(INDEX($C$3:$C$6,MATCH(C374,$C$3:$C$6,0)+1,0)),Variables!$B$1,INDEX($C$3:$C$6,MATCH(C374,$C$3:$C$6,0)+1,0)),""),"")</f>
        <v/>
      </c>
      <c r="J374" s="29" t="str">
        <f ca="1">IF(ISERROR(VLOOKUP(I374,$C$3:$L$6,5,0)),"",IF(OR(VLOOKUP(I374,$C$3:$L$6,5,0)=Variables!$B$5,B374&gt;VLOOKUP(I374,$C$3:$L$6,8,0)),IF(VLOOKUP(I374,$C$3:$L$6,5,0)=Variables!$B$5,((YEAR(B374)-YEAR($B$12))*12+MONTH(B374)-MONTH($B$12)),((YEAR(B374)-YEAR(VLOOKUP(I374,$C$3:$L$6,8,0)))*12+MONTH(B374)-MONTH(VLOOKUP(I374,$C$3:$L$6,8,0))))*(VLOOKUP(I374,$C$3:$L$6,10,0)*VLOOKUP(I374,$C$3:$L$6,6,0)/12),0))</f>
        <v/>
      </c>
      <c r="K374" s="29" t="str">
        <f ca="1">IF(C374&lt;&gt;"",IF(I374&lt;&gt;"",IF(ISERROR(VLOOKUP(I374,$C$3:$L$6,10,0)),"",VLOOKUP(I374,$C$3:$L$6,10,0)+J374+IF(OR(VLOOKUP(I374,$C$3:$L$6,5,0)=Variables!$B$5,B374&gt;VLOOKUP(I374,$C$3:$L$6,8,0)),IF(VLOOKUP(I374,$C$3:$L$6,5,0)=Variables!$B$5,((YEAR(B374)-YEAR($B$12))*12+MONTH(B374)-MONTH($B$12)),((YEAR(B374)-YEAR(VLOOKUP(I374,$C$3:$L$6,8,0)))*12+MONTH(B374)-MONTH(VLOOKUP(I374,$C$3:$L$6,8,0))))*VLOOKUP(I374,$C$3:$L$6,7,0),0)),""),"")</f>
        <v/>
      </c>
      <c r="L374" s="29" t="str">
        <f t="shared" ca="1" si="39"/>
        <v/>
      </c>
      <c r="M374" s="10"/>
      <c r="N374" s="10"/>
    </row>
    <row r="375" spans="1:14" x14ac:dyDescent="0.25">
      <c r="A375" s="10"/>
      <c r="B375" s="14" t="str">
        <f t="shared" ca="1" si="40"/>
        <v/>
      </c>
      <c r="C375" s="14" t="str">
        <f ca="1">IF(I374&lt;&gt;Variables!$B$1,IF(H374&lt;&gt;0,C374,I374),"")</f>
        <v/>
      </c>
      <c r="D375" s="29" t="str">
        <f t="shared" ca="1" si="37"/>
        <v/>
      </c>
      <c r="E375" s="29" t="str">
        <f t="shared" ca="1" si="38"/>
        <v/>
      </c>
      <c r="F375" s="29" t="str">
        <f ca="1">IF(C375&lt;&gt;"",IF(OR(VLOOKUP(C375,$C$3:$L$6,5,0)=Variables!$B$5,B375&gt;VLOOKUP(C375,$C$3:$L$6,8,0)),-D375*VLOOKUP(C375,$C$3:$L$6,6,0)/12,0),"")</f>
        <v/>
      </c>
      <c r="G375" s="29" t="str">
        <f ca="1">IF(I375&lt;&gt;Variables!$B$1,IF(C375&lt;&gt;"",$I$9-E375-F375,""),-D375)</f>
        <v/>
      </c>
      <c r="H375" s="29" t="str">
        <f t="shared" ca="1" si="41"/>
        <v/>
      </c>
      <c r="I375" s="31" t="str">
        <f ca="1">IF(C375&lt;&gt;"",IF(D375+$I$9-E375-F375&gt;=0,IF(ISERROR(INDEX($C$3:$C$6,MATCH(C375,$C$3:$C$6,0)+1,0)),Variables!$B$1,INDEX($C$3:$C$6,MATCH(C375,$C$3:$C$6,0)+1,0)),""),"")</f>
        <v/>
      </c>
      <c r="J375" s="29" t="str">
        <f ca="1">IF(ISERROR(VLOOKUP(I375,$C$3:$L$6,5,0)),"",IF(OR(VLOOKUP(I375,$C$3:$L$6,5,0)=Variables!$B$5,B375&gt;VLOOKUP(I375,$C$3:$L$6,8,0)),IF(VLOOKUP(I375,$C$3:$L$6,5,0)=Variables!$B$5,((YEAR(B375)-YEAR($B$12))*12+MONTH(B375)-MONTH($B$12)),((YEAR(B375)-YEAR(VLOOKUP(I375,$C$3:$L$6,8,0)))*12+MONTH(B375)-MONTH(VLOOKUP(I375,$C$3:$L$6,8,0))))*(VLOOKUP(I375,$C$3:$L$6,10,0)*VLOOKUP(I375,$C$3:$L$6,6,0)/12),0))</f>
        <v/>
      </c>
      <c r="K375" s="29" t="str">
        <f ca="1">IF(C375&lt;&gt;"",IF(I375&lt;&gt;"",IF(ISERROR(VLOOKUP(I375,$C$3:$L$6,10,0)),"",VLOOKUP(I375,$C$3:$L$6,10,0)+J375+IF(OR(VLOOKUP(I375,$C$3:$L$6,5,0)=Variables!$B$5,B375&gt;VLOOKUP(I375,$C$3:$L$6,8,0)),IF(VLOOKUP(I375,$C$3:$L$6,5,0)=Variables!$B$5,((YEAR(B375)-YEAR($B$12))*12+MONTH(B375)-MONTH($B$12)),((YEAR(B375)-YEAR(VLOOKUP(I375,$C$3:$L$6,8,0)))*12+MONTH(B375)-MONTH(VLOOKUP(I375,$C$3:$L$6,8,0))))*VLOOKUP(I375,$C$3:$L$6,7,0),0)),""),"")</f>
        <v/>
      </c>
      <c r="L375" s="29" t="str">
        <f t="shared" ca="1" si="39"/>
        <v/>
      </c>
      <c r="M375" s="10"/>
      <c r="N375" s="10"/>
    </row>
    <row r="376" spans="1:14" x14ac:dyDescent="0.25">
      <c r="A376" s="10"/>
      <c r="B376" s="14" t="str">
        <f t="shared" ca="1" si="40"/>
        <v/>
      </c>
      <c r="C376" s="14" t="str">
        <f ca="1">IF(I375&lt;&gt;Variables!$B$1,IF(H375&lt;&gt;0,C375,I375),"")</f>
        <v/>
      </c>
      <c r="D376" s="29" t="str">
        <f t="shared" ca="1" si="37"/>
        <v/>
      </c>
      <c r="E376" s="29" t="str">
        <f t="shared" ca="1" si="38"/>
        <v/>
      </c>
      <c r="F376" s="29" t="str">
        <f ca="1">IF(C376&lt;&gt;"",IF(OR(VLOOKUP(C376,$C$3:$L$6,5,0)=Variables!$B$5,B376&gt;VLOOKUP(C376,$C$3:$L$6,8,0)),-D376*VLOOKUP(C376,$C$3:$L$6,6,0)/12,0),"")</f>
        <v/>
      </c>
      <c r="G376" s="29" t="str">
        <f ca="1">IF(I376&lt;&gt;Variables!$B$1,IF(C376&lt;&gt;"",$I$9-E376-F376,""),-D376)</f>
        <v/>
      </c>
      <c r="H376" s="29" t="str">
        <f t="shared" ca="1" si="41"/>
        <v/>
      </c>
      <c r="I376" s="31" t="str">
        <f ca="1">IF(C376&lt;&gt;"",IF(D376+$I$9-E376-F376&gt;=0,IF(ISERROR(INDEX($C$3:$C$6,MATCH(C376,$C$3:$C$6,0)+1,0)),Variables!$B$1,INDEX($C$3:$C$6,MATCH(C376,$C$3:$C$6,0)+1,0)),""),"")</f>
        <v/>
      </c>
      <c r="J376" s="29" t="str">
        <f ca="1">IF(ISERROR(VLOOKUP(I376,$C$3:$L$6,5,0)),"",IF(OR(VLOOKUP(I376,$C$3:$L$6,5,0)=Variables!$B$5,B376&gt;VLOOKUP(I376,$C$3:$L$6,8,0)),IF(VLOOKUP(I376,$C$3:$L$6,5,0)=Variables!$B$5,((YEAR(B376)-YEAR($B$12))*12+MONTH(B376)-MONTH($B$12)),((YEAR(B376)-YEAR(VLOOKUP(I376,$C$3:$L$6,8,0)))*12+MONTH(B376)-MONTH(VLOOKUP(I376,$C$3:$L$6,8,0))))*(VLOOKUP(I376,$C$3:$L$6,10,0)*VLOOKUP(I376,$C$3:$L$6,6,0)/12),0))</f>
        <v/>
      </c>
      <c r="K376" s="29" t="str">
        <f ca="1">IF(C376&lt;&gt;"",IF(I376&lt;&gt;"",IF(ISERROR(VLOOKUP(I376,$C$3:$L$6,10,0)),"",VLOOKUP(I376,$C$3:$L$6,10,0)+J376+IF(OR(VLOOKUP(I376,$C$3:$L$6,5,0)=Variables!$B$5,B376&gt;VLOOKUP(I376,$C$3:$L$6,8,0)),IF(VLOOKUP(I376,$C$3:$L$6,5,0)=Variables!$B$5,((YEAR(B376)-YEAR($B$12))*12+MONTH(B376)-MONTH($B$12)),((YEAR(B376)-YEAR(VLOOKUP(I376,$C$3:$L$6,8,0)))*12+MONTH(B376)-MONTH(VLOOKUP(I376,$C$3:$L$6,8,0))))*VLOOKUP(I376,$C$3:$L$6,7,0),0)),""),"")</f>
        <v/>
      </c>
      <c r="L376" s="29" t="str">
        <f t="shared" ca="1" si="39"/>
        <v/>
      </c>
      <c r="M376" s="10"/>
      <c r="N376" s="10"/>
    </row>
    <row r="377" spans="1:14" x14ac:dyDescent="0.25">
      <c r="A377" s="10"/>
      <c r="B377" s="14" t="str">
        <f t="shared" ca="1" si="40"/>
        <v/>
      </c>
      <c r="C377" s="14" t="str">
        <f ca="1">IF(I376&lt;&gt;Variables!$B$1,IF(H376&lt;&gt;0,C376,I376),"")</f>
        <v/>
      </c>
      <c r="D377" s="29" t="str">
        <f t="shared" ca="1" si="37"/>
        <v/>
      </c>
      <c r="E377" s="29" t="str">
        <f t="shared" ca="1" si="38"/>
        <v/>
      </c>
      <c r="F377" s="29" t="str">
        <f ca="1">IF(C377&lt;&gt;"",IF(OR(VLOOKUP(C377,$C$3:$L$6,5,0)=Variables!$B$5,B377&gt;VLOOKUP(C377,$C$3:$L$6,8,0)),-D377*VLOOKUP(C377,$C$3:$L$6,6,0)/12,0),"")</f>
        <v/>
      </c>
      <c r="G377" s="29" t="str">
        <f ca="1">IF(I377&lt;&gt;Variables!$B$1,IF(C377&lt;&gt;"",$I$9-E377-F377,""),-D377)</f>
        <v/>
      </c>
      <c r="H377" s="29" t="str">
        <f t="shared" ca="1" si="41"/>
        <v/>
      </c>
      <c r="I377" s="31" t="str">
        <f ca="1">IF(C377&lt;&gt;"",IF(D377+$I$9-E377-F377&gt;=0,IF(ISERROR(INDEX($C$3:$C$6,MATCH(C377,$C$3:$C$6,0)+1,0)),Variables!$B$1,INDEX($C$3:$C$6,MATCH(C377,$C$3:$C$6,0)+1,0)),""),"")</f>
        <v/>
      </c>
      <c r="J377" s="29" t="str">
        <f ca="1">IF(ISERROR(VLOOKUP(I377,$C$3:$L$6,5,0)),"",IF(OR(VLOOKUP(I377,$C$3:$L$6,5,0)=Variables!$B$5,B377&gt;VLOOKUP(I377,$C$3:$L$6,8,0)),IF(VLOOKUP(I377,$C$3:$L$6,5,0)=Variables!$B$5,((YEAR(B377)-YEAR($B$12))*12+MONTH(B377)-MONTH($B$12)),((YEAR(B377)-YEAR(VLOOKUP(I377,$C$3:$L$6,8,0)))*12+MONTH(B377)-MONTH(VLOOKUP(I377,$C$3:$L$6,8,0))))*(VLOOKUP(I377,$C$3:$L$6,10,0)*VLOOKUP(I377,$C$3:$L$6,6,0)/12),0))</f>
        <v/>
      </c>
      <c r="K377" s="29" t="str">
        <f ca="1">IF(C377&lt;&gt;"",IF(I377&lt;&gt;"",IF(ISERROR(VLOOKUP(I377,$C$3:$L$6,10,0)),"",VLOOKUP(I377,$C$3:$L$6,10,0)+J377+IF(OR(VLOOKUP(I377,$C$3:$L$6,5,0)=Variables!$B$5,B377&gt;VLOOKUP(I377,$C$3:$L$6,8,0)),IF(VLOOKUP(I377,$C$3:$L$6,5,0)=Variables!$B$5,((YEAR(B377)-YEAR($B$12))*12+MONTH(B377)-MONTH($B$12)),((YEAR(B377)-YEAR(VLOOKUP(I377,$C$3:$L$6,8,0)))*12+MONTH(B377)-MONTH(VLOOKUP(I377,$C$3:$L$6,8,0))))*VLOOKUP(I377,$C$3:$L$6,7,0),0)),""),"")</f>
        <v/>
      </c>
      <c r="L377" s="29" t="str">
        <f t="shared" ca="1" si="39"/>
        <v/>
      </c>
      <c r="M377" s="10"/>
      <c r="N377" s="10"/>
    </row>
    <row r="378" spans="1:14" x14ac:dyDescent="0.25">
      <c r="A378" s="10"/>
      <c r="B378" s="14" t="str">
        <f t="shared" ca="1" si="40"/>
        <v/>
      </c>
      <c r="C378" s="14" t="str">
        <f ca="1">IF(I377&lt;&gt;Variables!$B$1,IF(H377&lt;&gt;0,C377,I377),"")</f>
        <v/>
      </c>
      <c r="D378" s="29" t="str">
        <f t="shared" ca="1" si="37"/>
        <v/>
      </c>
      <c r="E378" s="29" t="str">
        <f t="shared" ca="1" si="38"/>
        <v/>
      </c>
      <c r="F378" s="29" t="str">
        <f ca="1">IF(C378&lt;&gt;"",IF(OR(VLOOKUP(C378,$C$3:$L$6,5,0)=Variables!$B$5,B378&gt;VLOOKUP(C378,$C$3:$L$6,8,0)),-D378*VLOOKUP(C378,$C$3:$L$6,6,0)/12,0),"")</f>
        <v/>
      </c>
      <c r="G378" s="29" t="str">
        <f ca="1">IF(I378&lt;&gt;Variables!$B$1,IF(C378&lt;&gt;"",$I$9-E378-F378,""),-D378)</f>
        <v/>
      </c>
      <c r="H378" s="29" t="str">
        <f t="shared" ca="1" si="41"/>
        <v/>
      </c>
      <c r="I378" s="31" t="str">
        <f ca="1">IF(C378&lt;&gt;"",IF(D378+$I$9-E378-F378&gt;=0,IF(ISERROR(INDEX($C$3:$C$6,MATCH(C378,$C$3:$C$6,0)+1,0)),Variables!$B$1,INDEX($C$3:$C$6,MATCH(C378,$C$3:$C$6,0)+1,0)),""),"")</f>
        <v/>
      </c>
      <c r="J378" s="29" t="str">
        <f ca="1">IF(ISERROR(VLOOKUP(I378,$C$3:$L$6,5,0)),"",IF(OR(VLOOKUP(I378,$C$3:$L$6,5,0)=Variables!$B$5,B378&gt;VLOOKUP(I378,$C$3:$L$6,8,0)),IF(VLOOKUP(I378,$C$3:$L$6,5,0)=Variables!$B$5,((YEAR(B378)-YEAR($B$12))*12+MONTH(B378)-MONTH($B$12)),((YEAR(B378)-YEAR(VLOOKUP(I378,$C$3:$L$6,8,0)))*12+MONTH(B378)-MONTH(VLOOKUP(I378,$C$3:$L$6,8,0))))*(VLOOKUP(I378,$C$3:$L$6,10,0)*VLOOKUP(I378,$C$3:$L$6,6,0)/12),0))</f>
        <v/>
      </c>
      <c r="K378" s="29" t="str">
        <f ca="1">IF(C378&lt;&gt;"",IF(I378&lt;&gt;"",IF(ISERROR(VLOOKUP(I378,$C$3:$L$6,10,0)),"",VLOOKUP(I378,$C$3:$L$6,10,0)+J378+IF(OR(VLOOKUP(I378,$C$3:$L$6,5,0)=Variables!$B$5,B378&gt;VLOOKUP(I378,$C$3:$L$6,8,0)),IF(VLOOKUP(I378,$C$3:$L$6,5,0)=Variables!$B$5,((YEAR(B378)-YEAR($B$12))*12+MONTH(B378)-MONTH($B$12)),((YEAR(B378)-YEAR(VLOOKUP(I378,$C$3:$L$6,8,0)))*12+MONTH(B378)-MONTH(VLOOKUP(I378,$C$3:$L$6,8,0))))*VLOOKUP(I378,$C$3:$L$6,7,0),0)),""),"")</f>
        <v/>
      </c>
      <c r="L378" s="29" t="str">
        <f t="shared" ca="1" si="39"/>
        <v/>
      </c>
      <c r="M378" s="10"/>
      <c r="N378" s="10"/>
    </row>
    <row r="379" spans="1:14" x14ac:dyDescent="0.25">
      <c r="A379" s="10"/>
      <c r="B379" s="14" t="str">
        <f t="shared" ca="1" si="40"/>
        <v/>
      </c>
      <c r="C379" s="14" t="str">
        <f ca="1">IF(I378&lt;&gt;Variables!$B$1,IF(H378&lt;&gt;0,C378,I378),"")</f>
        <v/>
      </c>
      <c r="D379" s="29" t="str">
        <f t="shared" ca="1" si="37"/>
        <v/>
      </c>
      <c r="E379" s="29" t="str">
        <f t="shared" ca="1" si="38"/>
        <v/>
      </c>
      <c r="F379" s="29" t="str">
        <f ca="1">IF(C379&lt;&gt;"",IF(OR(VLOOKUP(C379,$C$3:$L$6,5,0)=Variables!$B$5,B379&gt;VLOOKUP(C379,$C$3:$L$6,8,0)),-D379*VLOOKUP(C379,$C$3:$L$6,6,0)/12,0),"")</f>
        <v/>
      </c>
      <c r="G379" s="29" t="str">
        <f ca="1">IF(I379&lt;&gt;Variables!$B$1,IF(C379&lt;&gt;"",$I$9-E379-F379,""),-D379)</f>
        <v/>
      </c>
      <c r="H379" s="29" t="str">
        <f t="shared" ca="1" si="41"/>
        <v/>
      </c>
      <c r="I379" s="31" t="str">
        <f ca="1">IF(C379&lt;&gt;"",IF(D379+$I$9-E379-F379&gt;=0,IF(ISERROR(INDEX($C$3:$C$6,MATCH(C379,$C$3:$C$6,0)+1,0)),Variables!$B$1,INDEX($C$3:$C$6,MATCH(C379,$C$3:$C$6,0)+1,0)),""),"")</f>
        <v/>
      </c>
      <c r="J379" s="29" t="str">
        <f ca="1">IF(ISERROR(VLOOKUP(I379,$C$3:$L$6,5,0)),"",IF(OR(VLOOKUP(I379,$C$3:$L$6,5,0)=Variables!$B$5,B379&gt;VLOOKUP(I379,$C$3:$L$6,8,0)),IF(VLOOKUP(I379,$C$3:$L$6,5,0)=Variables!$B$5,((YEAR(B379)-YEAR($B$12))*12+MONTH(B379)-MONTH($B$12)),((YEAR(B379)-YEAR(VLOOKUP(I379,$C$3:$L$6,8,0)))*12+MONTH(B379)-MONTH(VLOOKUP(I379,$C$3:$L$6,8,0))))*(VLOOKUP(I379,$C$3:$L$6,10,0)*VLOOKUP(I379,$C$3:$L$6,6,0)/12),0))</f>
        <v/>
      </c>
      <c r="K379" s="29" t="str">
        <f ca="1">IF(C379&lt;&gt;"",IF(I379&lt;&gt;"",IF(ISERROR(VLOOKUP(I379,$C$3:$L$6,10,0)),"",VLOOKUP(I379,$C$3:$L$6,10,0)+J379+IF(OR(VLOOKUP(I379,$C$3:$L$6,5,0)=Variables!$B$5,B379&gt;VLOOKUP(I379,$C$3:$L$6,8,0)),IF(VLOOKUP(I379,$C$3:$L$6,5,0)=Variables!$B$5,((YEAR(B379)-YEAR($B$12))*12+MONTH(B379)-MONTH($B$12)),((YEAR(B379)-YEAR(VLOOKUP(I379,$C$3:$L$6,8,0)))*12+MONTH(B379)-MONTH(VLOOKUP(I379,$C$3:$L$6,8,0))))*VLOOKUP(I379,$C$3:$L$6,7,0),0)),""),"")</f>
        <v/>
      </c>
      <c r="L379" s="29" t="str">
        <f t="shared" ca="1" si="39"/>
        <v/>
      </c>
      <c r="M379" s="10"/>
      <c r="N379" s="10"/>
    </row>
    <row r="380" spans="1:14" x14ac:dyDescent="0.25">
      <c r="A380" s="10"/>
      <c r="B380" s="14" t="str">
        <f t="shared" ca="1" si="40"/>
        <v/>
      </c>
      <c r="C380" s="14" t="str">
        <f ca="1">IF(I379&lt;&gt;Variables!$B$1,IF(H379&lt;&gt;0,C379,I379),"")</f>
        <v/>
      </c>
      <c r="D380" s="29" t="str">
        <f t="shared" ca="1" si="37"/>
        <v/>
      </c>
      <c r="E380" s="29" t="str">
        <f t="shared" ca="1" si="38"/>
        <v/>
      </c>
      <c r="F380" s="29" t="str">
        <f ca="1">IF(C380&lt;&gt;"",IF(OR(VLOOKUP(C380,$C$3:$L$6,5,0)=Variables!$B$5,B380&gt;VLOOKUP(C380,$C$3:$L$6,8,0)),-D380*VLOOKUP(C380,$C$3:$L$6,6,0)/12,0),"")</f>
        <v/>
      </c>
      <c r="G380" s="29" t="str">
        <f ca="1">IF(I380&lt;&gt;Variables!$B$1,IF(C380&lt;&gt;"",$I$9-E380-F380,""),-D380)</f>
        <v/>
      </c>
      <c r="H380" s="29" t="str">
        <f t="shared" ca="1" si="41"/>
        <v/>
      </c>
      <c r="I380" s="31" t="str">
        <f ca="1">IF(C380&lt;&gt;"",IF(D380+$I$9-E380-F380&gt;=0,IF(ISERROR(INDEX($C$3:$C$6,MATCH(C380,$C$3:$C$6,0)+1,0)),Variables!$B$1,INDEX($C$3:$C$6,MATCH(C380,$C$3:$C$6,0)+1,0)),""),"")</f>
        <v/>
      </c>
      <c r="J380" s="29" t="str">
        <f ca="1">IF(ISERROR(VLOOKUP(I380,$C$3:$L$6,5,0)),"",IF(OR(VLOOKUP(I380,$C$3:$L$6,5,0)=Variables!$B$5,B380&gt;VLOOKUP(I380,$C$3:$L$6,8,0)),IF(VLOOKUP(I380,$C$3:$L$6,5,0)=Variables!$B$5,((YEAR(B380)-YEAR($B$12))*12+MONTH(B380)-MONTH($B$12)),((YEAR(B380)-YEAR(VLOOKUP(I380,$C$3:$L$6,8,0)))*12+MONTH(B380)-MONTH(VLOOKUP(I380,$C$3:$L$6,8,0))))*(VLOOKUP(I380,$C$3:$L$6,10,0)*VLOOKUP(I380,$C$3:$L$6,6,0)/12),0))</f>
        <v/>
      </c>
      <c r="K380" s="29" t="str">
        <f ca="1">IF(C380&lt;&gt;"",IF(I380&lt;&gt;"",IF(ISERROR(VLOOKUP(I380,$C$3:$L$6,10,0)),"",VLOOKUP(I380,$C$3:$L$6,10,0)+J380+IF(OR(VLOOKUP(I380,$C$3:$L$6,5,0)=Variables!$B$5,B380&gt;VLOOKUP(I380,$C$3:$L$6,8,0)),IF(VLOOKUP(I380,$C$3:$L$6,5,0)=Variables!$B$5,((YEAR(B380)-YEAR($B$12))*12+MONTH(B380)-MONTH($B$12)),((YEAR(B380)-YEAR(VLOOKUP(I380,$C$3:$L$6,8,0)))*12+MONTH(B380)-MONTH(VLOOKUP(I380,$C$3:$L$6,8,0))))*VLOOKUP(I380,$C$3:$L$6,7,0),0)),""),"")</f>
        <v/>
      </c>
      <c r="L380" s="29" t="str">
        <f t="shared" ca="1" si="39"/>
        <v/>
      </c>
      <c r="M380" s="10"/>
      <c r="N380" s="10"/>
    </row>
    <row r="381" spans="1:14" x14ac:dyDescent="0.25">
      <c r="A381" s="10"/>
      <c r="B381" s="14" t="str">
        <f t="shared" ca="1" si="40"/>
        <v/>
      </c>
      <c r="C381" s="14" t="str">
        <f ca="1">IF(I380&lt;&gt;Variables!$B$1,IF(H380&lt;&gt;0,C380,I380),"")</f>
        <v/>
      </c>
      <c r="D381" s="29" t="str">
        <f t="shared" ca="1" si="37"/>
        <v/>
      </c>
      <c r="E381" s="29" t="str">
        <f t="shared" ca="1" si="38"/>
        <v/>
      </c>
      <c r="F381" s="29" t="str">
        <f ca="1">IF(C381&lt;&gt;"",IF(OR(VLOOKUP(C381,$C$3:$L$6,5,0)=Variables!$B$5,B381&gt;VLOOKUP(C381,$C$3:$L$6,8,0)),-D381*VLOOKUP(C381,$C$3:$L$6,6,0)/12,0),"")</f>
        <v/>
      </c>
      <c r="G381" s="29" t="str">
        <f ca="1">IF(I381&lt;&gt;Variables!$B$1,IF(C381&lt;&gt;"",$I$9-E381-F381,""),-D381)</f>
        <v/>
      </c>
      <c r="H381" s="29" t="str">
        <f t="shared" ca="1" si="41"/>
        <v/>
      </c>
      <c r="I381" s="31" t="str">
        <f ca="1">IF(C381&lt;&gt;"",IF(D381+$I$9-E381-F381&gt;=0,IF(ISERROR(INDEX($C$3:$C$6,MATCH(C381,$C$3:$C$6,0)+1,0)),Variables!$B$1,INDEX($C$3:$C$6,MATCH(C381,$C$3:$C$6,0)+1,0)),""),"")</f>
        <v/>
      </c>
      <c r="J381" s="29" t="str">
        <f ca="1">IF(ISERROR(VLOOKUP(I381,$C$3:$L$6,5,0)),"",IF(OR(VLOOKUP(I381,$C$3:$L$6,5,0)=Variables!$B$5,B381&gt;VLOOKUP(I381,$C$3:$L$6,8,0)),IF(VLOOKUP(I381,$C$3:$L$6,5,0)=Variables!$B$5,((YEAR(B381)-YEAR($B$12))*12+MONTH(B381)-MONTH($B$12)),((YEAR(B381)-YEAR(VLOOKUP(I381,$C$3:$L$6,8,0)))*12+MONTH(B381)-MONTH(VLOOKUP(I381,$C$3:$L$6,8,0))))*(VLOOKUP(I381,$C$3:$L$6,10,0)*VLOOKUP(I381,$C$3:$L$6,6,0)/12),0))</f>
        <v/>
      </c>
      <c r="K381" s="29" t="str">
        <f ca="1">IF(C381&lt;&gt;"",IF(I381&lt;&gt;"",IF(ISERROR(VLOOKUP(I381,$C$3:$L$6,10,0)),"",VLOOKUP(I381,$C$3:$L$6,10,0)+J381+IF(OR(VLOOKUP(I381,$C$3:$L$6,5,0)=Variables!$B$5,B381&gt;VLOOKUP(I381,$C$3:$L$6,8,0)),IF(VLOOKUP(I381,$C$3:$L$6,5,0)=Variables!$B$5,((YEAR(B381)-YEAR($B$12))*12+MONTH(B381)-MONTH($B$12)),((YEAR(B381)-YEAR(VLOOKUP(I381,$C$3:$L$6,8,0)))*12+MONTH(B381)-MONTH(VLOOKUP(I381,$C$3:$L$6,8,0))))*VLOOKUP(I381,$C$3:$L$6,7,0),0)),""),"")</f>
        <v/>
      </c>
      <c r="L381" s="29" t="str">
        <f t="shared" ca="1" si="39"/>
        <v/>
      </c>
      <c r="M381" s="10"/>
      <c r="N381" s="10"/>
    </row>
    <row r="382" spans="1:14" x14ac:dyDescent="0.25">
      <c r="A382" s="10"/>
      <c r="B382" s="14" t="str">
        <f t="shared" ca="1" si="40"/>
        <v/>
      </c>
      <c r="C382" s="14" t="str">
        <f ca="1">IF(I381&lt;&gt;Variables!$B$1,IF(H381&lt;&gt;0,C381,I381),"")</f>
        <v/>
      </c>
      <c r="D382" s="29" t="str">
        <f t="shared" ca="1" si="37"/>
        <v/>
      </c>
      <c r="E382" s="29" t="str">
        <f t="shared" ca="1" si="38"/>
        <v/>
      </c>
      <c r="F382" s="29" t="str">
        <f ca="1">IF(C382&lt;&gt;"",IF(OR(VLOOKUP(C382,$C$3:$L$6,5,0)=Variables!$B$5,B382&gt;VLOOKUP(C382,$C$3:$L$6,8,0)),-D382*VLOOKUP(C382,$C$3:$L$6,6,0)/12,0),"")</f>
        <v/>
      </c>
      <c r="G382" s="29" t="str">
        <f ca="1">IF(I382&lt;&gt;Variables!$B$1,IF(C382&lt;&gt;"",$I$9-E382-F382,""),-D382)</f>
        <v/>
      </c>
      <c r="H382" s="29" t="str">
        <f t="shared" ca="1" si="41"/>
        <v/>
      </c>
      <c r="I382" s="31" t="str">
        <f ca="1">IF(C382&lt;&gt;"",IF(D382+$I$9-E382-F382&gt;=0,IF(ISERROR(INDEX($C$3:$C$6,MATCH(C382,$C$3:$C$6,0)+1,0)),Variables!$B$1,INDEX($C$3:$C$6,MATCH(C382,$C$3:$C$6,0)+1,0)),""),"")</f>
        <v/>
      </c>
      <c r="J382" s="29" t="str">
        <f ca="1">IF(ISERROR(VLOOKUP(I382,$C$3:$L$6,5,0)),"",IF(OR(VLOOKUP(I382,$C$3:$L$6,5,0)=Variables!$B$5,B382&gt;VLOOKUP(I382,$C$3:$L$6,8,0)),IF(VLOOKUP(I382,$C$3:$L$6,5,0)=Variables!$B$5,((YEAR(B382)-YEAR($B$12))*12+MONTH(B382)-MONTH($B$12)),((YEAR(B382)-YEAR(VLOOKUP(I382,$C$3:$L$6,8,0)))*12+MONTH(B382)-MONTH(VLOOKUP(I382,$C$3:$L$6,8,0))))*(VLOOKUP(I382,$C$3:$L$6,10,0)*VLOOKUP(I382,$C$3:$L$6,6,0)/12),0))</f>
        <v/>
      </c>
      <c r="K382" s="29" t="str">
        <f ca="1">IF(C382&lt;&gt;"",IF(I382&lt;&gt;"",IF(ISERROR(VLOOKUP(I382,$C$3:$L$6,10,0)),"",VLOOKUP(I382,$C$3:$L$6,10,0)+J382+IF(OR(VLOOKUP(I382,$C$3:$L$6,5,0)=Variables!$B$5,B382&gt;VLOOKUP(I382,$C$3:$L$6,8,0)),IF(VLOOKUP(I382,$C$3:$L$6,5,0)=Variables!$B$5,((YEAR(B382)-YEAR($B$12))*12+MONTH(B382)-MONTH($B$12)),((YEAR(B382)-YEAR(VLOOKUP(I382,$C$3:$L$6,8,0)))*12+MONTH(B382)-MONTH(VLOOKUP(I382,$C$3:$L$6,8,0))))*VLOOKUP(I382,$C$3:$L$6,7,0),0)),""),"")</f>
        <v/>
      </c>
      <c r="L382" s="29" t="str">
        <f t="shared" ca="1" si="39"/>
        <v/>
      </c>
      <c r="M382" s="10"/>
      <c r="N382" s="10"/>
    </row>
    <row r="383" spans="1:14" x14ac:dyDescent="0.25">
      <c r="A383" s="10"/>
      <c r="B383" s="14" t="str">
        <f t="shared" ca="1" si="40"/>
        <v/>
      </c>
      <c r="C383" s="14" t="str">
        <f ca="1">IF(I382&lt;&gt;Variables!$B$1,IF(H382&lt;&gt;0,C382,I382),"")</f>
        <v/>
      </c>
      <c r="D383" s="29" t="str">
        <f t="shared" ca="1" si="37"/>
        <v/>
      </c>
      <c r="E383" s="29" t="str">
        <f t="shared" ca="1" si="38"/>
        <v/>
      </c>
      <c r="F383" s="29" t="str">
        <f ca="1">IF(C383&lt;&gt;"",IF(OR(VLOOKUP(C383,$C$3:$L$6,5,0)=Variables!$B$5,B383&gt;VLOOKUP(C383,$C$3:$L$6,8,0)),-D383*VLOOKUP(C383,$C$3:$L$6,6,0)/12,0),"")</f>
        <v/>
      </c>
      <c r="G383" s="29" t="str">
        <f ca="1">IF(I383&lt;&gt;Variables!$B$1,IF(C383&lt;&gt;"",$I$9-E383-F383,""),-D383)</f>
        <v/>
      </c>
      <c r="H383" s="29" t="str">
        <f t="shared" ca="1" si="41"/>
        <v/>
      </c>
      <c r="I383" s="31" t="str">
        <f ca="1">IF(C383&lt;&gt;"",IF(D383+$I$9-E383-F383&gt;=0,IF(ISERROR(INDEX($C$3:$C$6,MATCH(C383,$C$3:$C$6,0)+1,0)),Variables!$B$1,INDEX($C$3:$C$6,MATCH(C383,$C$3:$C$6,0)+1,0)),""),"")</f>
        <v/>
      </c>
      <c r="J383" s="29" t="str">
        <f ca="1">IF(ISERROR(VLOOKUP(I383,$C$3:$L$6,5,0)),"",IF(OR(VLOOKUP(I383,$C$3:$L$6,5,0)=Variables!$B$5,B383&gt;VLOOKUP(I383,$C$3:$L$6,8,0)),IF(VLOOKUP(I383,$C$3:$L$6,5,0)=Variables!$B$5,((YEAR(B383)-YEAR($B$12))*12+MONTH(B383)-MONTH($B$12)),((YEAR(B383)-YEAR(VLOOKUP(I383,$C$3:$L$6,8,0)))*12+MONTH(B383)-MONTH(VLOOKUP(I383,$C$3:$L$6,8,0))))*(VLOOKUP(I383,$C$3:$L$6,10,0)*VLOOKUP(I383,$C$3:$L$6,6,0)/12),0))</f>
        <v/>
      </c>
      <c r="K383" s="29" t="str">
        <f ca="1">IF(C383&lt;&gt;"",IF(I383&lt;&gt;"",IF(ISERROR(VLOOKUP(I383,$C$3:$L$6,10,0)),"",VLOOKUP(I383,$C$3:$L$6,10,0)+J383+IF(OR(VLOOKUP(I383,$C$3:$L$6,5,0)=Variables!$B$5,B383&gt;VLOOKUP(I383,$C$3:$L$6,8,0)),IF(VLOOKUP(I383,$C$3:$L$6,5,0)=Variables!$B$5,((YEAR(B383)-YEAR($B$12))*12+MONTH(B383)-MONTH($B$12)),((YEAR(B383)-YEAR(VLOOKUP(I383,$C$3:$L$6,8,0)))*12+MONTH(B383)-MONTH(VLOOKUP(I383,$C$3:$L$6,8,0))))*VLOOKUP(I383,$C$3:$L$6,7,0),0)),""),"")</f>
        <v/>
      </c>
      <c r="L383" s="29" t="str">
        <f t="shared" ca="1" si="39"/>
        <v/>
      </c>
      <c r="M383" s="10"/>
      <c r="N383" s="10"/>
    </row>
    <row r="384" spans="1:14" x14ac:dyDescent="0.25">
      <c r="A384" s="10"/>
      <c r="B384" s="14" t="str">
        <f t="shared" ca="1" si="40"/>
        <v/>
      </c>
      <c r="C384" s="14" t="str">
        <f ca="1">IF(I383&lt;&gt;Variables!$B$1,IF(H383&lt;&gt;0,C383,I383),"")</f>
        <v/>
      </c>
      <c r="D384" s="29" t="str">
        <f t="shared" ca="1" si="37"/>
        <v/>
      </c>
      <c r="E384" s="29" t="str">
        <f t="shared" ca="1" si="38"/>
        <v/>
      </c>
      <c r="F384" s="29" t="str">
        <f ca="1">IF(C384&lt;&gt;"",IF(OR(VLOOKUP(C384,$C$3:$L$6,5,0)=Variables!$B$5,B384&gt;VLOOKUP(C384,$C$3:$L$6,8,0)),-D384*VLOOKUP(C384,$C$3:$L$6,6,0)/12,0),"")</f>
        <v/>
      </c>
      <c r="G384" s="29" t="str">
        <f ca="1">IF(I384&lt;&gt;Variables!$B$1,IF(C384&lt;&gt;"",$I$9-E384-F384,""),-D384)</f>
        <v/>
      </c>
      <c r="H384" s="29" t="str">
        <f t="shared" ca="1" si="41"/>
        <v/>
      </c>
      <c r="I384" s="31" t="str">
        <f ca="1">IF(C384&lt;&gt;"",IF(D384+$I$9-E384-F384&gt;=0,IF(ISERROR(INDEX($C$3:$C$6,MATCH(C384,$C$3:$C$6,0)+1,0)),Variables!$B$1,INDEX($C$3:$C$6,MATCH(C384,$C$3:$C$6,0)+1,0)),""),"")</f>
        <v/>
      </c>
      <c r="J384" s="29" t="str">
        <f ca="1">IF(ISERROR(VLOOKUP(I384,$C$3:$L$6,5,0)),"",IF(OR(VLOOKUP(I384,$C$3:$L$6,5,0)=Variables!$B$5,B384&gt;VLOOKUP(I384,$C$3:$L$6,8,0)),IF(VLOOKUP(I384,$C$3:$L$6,5,0)=Variables!$B$5,((YEAR(B384)-YEAR($B$12))*12+MONTH(B384)-MONTH($B$12)),((YEAR(B384)-YEAR(VLOOKUP(I384,$C$3:$L$6,8,0)))*12+MONTH(B384)-MONTH(VLOOKUP(I384,$C$3:$L$6,8,0))))*(VLOOKUP(I384,$C$3:$L$6,10,0)*VLOOKUP(I384,$C$3:$L$6,6,0)/12),0))</f>
        <v/>
      </c>
      <c r="K384" s="29" t="str">
        <f ca="1">IF(C384&lt;&gt;"",IF(I384&lt;&gt;"",IF(ISERROR(VLOOKUP(I384,$C$3:$L$6,10,0)),"",VLOOKUP(I384,$C$3:$L$6,10,0)+J384+IF(OR(VLOOKUP(I384,$C$3:$L$6,5,0)=Variables!$B$5,B384&gt;VLOOKUP(I384,$C$3:$L$6,8,0)),IF(VLOOKUP(I384,$C$3:$L$6,5,0)=Variables!$B$5,((YEAR(B384)-YEAR($B$12))*12+MONTH(B384)-MONTH($B$12)),((YEAR(B384)-YEAR(VLOOKUP(I384,$C$3:$L$6,8,0)))*12+MONTH(B384)-MONTH(VLOOKUP(I384,$C$3:$L$6,8,0))))*VLOOKUP(I384,$C$3:$L$6,7,0),0)),""),"")</f>
        <v/>
      </c>
      <c r="L384" s="29" t="str">
        <f t="shared" ca="1" si="39"/>
        <v/>
      </c>
      <c r="M384" s="10"/>
      <c r="N384" s="10"/>
    </row>
    <row r="385" spans="1:14" x14ac:dyDescent="0.25">
      <c r="A385" s="10"/>
      <c r="B385" s="14" t="str">
        <f t="shared" ca="1" si="40"/>
        <v/>
      </c>
      <c r="C385" s="14" t="str">
        <f ca="1">IF(I384&lt;&gt;Variables!$B$1,IF(H384&lt;&gt;0,C384,I384),"")</f>
        <v/>
      </c>
      <c r="D385" s="29" t="str">
        <f t="shared" ca="1" si="37"/>
        <v/>
      </c>
      <c r="E385" s="29" t="str">
        <f t="shared" ca="1" si="38"/>
        <v/>
      </c>
      <c r="F385" s="29" t="str">
        <f ca="1">IF(C385&lt;&gt;"",IF(OR(VLOOKUP(C385,$C$3:$L$6,5,0)=Variables!$B$5,B385&gt;VLOOKUP(C385,$C$3:$L$6,8,0)),-D385*VLOOKUP(C385,$C$3:$L$6,6,0)/12,0),"")</f>
        <v/>
      </c>
      <c r="G385" s="29" t="str">
        <f ca="1">IF(I385&lt;&gt;Variables!$B$1,IF(C385&lt;&gt;"",$I$9-E385-F385,""),-D385)</f>
        <v/>
      </c>
      <c r="H385" s="29" t="str">
        <f t="shared" ca="1" si="41"/>
        <v/>
      </c>
      <c r="I385" s="31" t="str">
        <f ca="1">IF(C385&lt;&gt;"",IF(D385+$I$9-E385-F385&gt;=0,IF(ISERROR(INDEX($C$3:$C$6,MATCH(C385,$C$3:$C$6,0)+1,0)),Variables!$B$1,INDEX($C$3:$C$6,MATCH(C385,$C$3:$C$6,0)+1,0)),""),"")</f>
        <v/>
      </c>
      <c r="J385" s="29" t="str">
        <f ca="1">IF(ISERROR(VLOOKUP(I385,$C$3:$L$6,5,0)),"",IF(OR(VLOOKUP(I385,$C$3:$L$6,5,0)=Variables!$B$5,B385&gt;VLOOKUP(I385,$C$3:$L$6,8,0)),IF(VLOOKUP(I385,$C$3:$L$6,5,0)=Variables!$B$5,((YEAR(B385)-YEAR($B$12))*12+MONTH(B385)-MONTH($B$12)),((YEAR(B385)-YEAR(VLOOKUP(I385,$C$3:$L$6,8,0)))*12+MONTH(B385)-MONTH(VLOOKUP(I385,$C$3:$L$6,8,0))))*(VLOOKUP(I385,$C$3:$L$6,10,0)*VLOOKUP(I385,$C$3:$L$6,6,0)/12),0))</f>
        <v/>
      </c>
      <c r="K385" s="29" t="str">
        <f ca="1">IF(C385&lt;&gt;"",IF(I385&lt;&gt;"",IF(ISERROR(VLOOKUP(I385,$C$3:$L$6,10,0)),"",VLOOKUP(I385,$C$3:$L$6,10,0)+J385+IF(OR(VLOOKUP(I385,$C$3:$L$6,5,0)=Variables!$B$5,B385&gt;VLOOKUP(I385,$C$3:$L$6,8,0)),IF(VLOOKUP(I385,$C$3:$L$6,5,0)=Variables!$B$5,((YEAR(B385)-YEAR($B$12))*12+MONTH(B385)-MONTH($B$12)),((YEAR(B385)-YEAR(VLOOKUP(I385,$C$3:$L$6,8,0)))*12+MONTH(B385)-MONTH(VLOOKUP(I385,$C$3:$L$6,8,0))))*VLOOKUP(I385,$C$3:$L$6,7,0),0)),""),"")</f>
        <v/>
      </c>
      <c r="L385" s="29" t="str">
        <f t="shared" ca="1" si="39"/>
        <v/>
      </c>
      <c r="M385" s="10"/>
      <c r="N385" s="10"/>
    </row>
    <row r="386" spans="1:14" x14ac:dyDescent="0.25">
      <c r="A386" s="10"/>
      <c r="B386" s="14" t="str">
        <f t="shared" ca="1" si="40"/>
        <v/>
      </c>
      <c r="C386" s="14" t="str">
        <f ca="1">IF(I385&lt;&gt;Variables!$B$1,IF(H385&lt;&gt;0,C385,I385),"")</f>
        <v/>
      </c>
      <c r="D386" s="29" t="str">
        <f t="shared" ca="1" si="37"/>
        <v/>
      </c>
      <c r="E386" s="29" t="str">
        <f t="shared" ca="1" si="38"/>
        <v/>
      </c>
      <c r="F386" s="29" t="str">
        <f ca="1">IF(C386&lt;&gt;"",IF(OR(VLOOKUP(C386,$C$3:$L$6,5,0)=Variables!$B$5,B386&gt;VLOOKUP(C386,$C$3:$L$6,8,0)),-D386*VLOOKUP(C386,$C$3:$L$6,6,0)/12,0),"")</f>
        <v/>
      </c>
      <c r="G386" s="29" t="str">
        <f ca="1">IF(I386&lt;&gt;Variables!$B$1,IF(C386&lt;&gt;"",$I$9-E386-F386,""),-D386)</f>
        <v/>
      </c>
      <c r="H386" s="29" t="str">
        <f t="shared" ca="1" si="41"/>
        <v/>
      </c>
      <c r="I386" s="31" t="str">
        <f ca="1">IF(C386&lt;&gt;"",IF(D386+$I$9-E386-F386&gt;=0,IF(ISERROR(INDEX($C$3:$C$6,MATCH(C386,$C$3:$C$6,0)+1,0)),Variables!$B$1,INDEX($C$3:$C$6,MATCH(C386,$C$3:$C$6,0)+1,0)),""),"")</f>
        <v/>
      </c>
      <c r="J386" s="29" t="str">
        <f ca="1">IF(ISERROR(VLOOKUP(I386,$C$3:$L$6,5,0)),"",IF(OR(VLOOKUP(I386,$C$3:$L$6,5,0)=Variables!$B$5,B386&gt;VLOOKUP(I386,$C$3:$L$6,8,0)),IF(VLOOKUP(I386,$C$3:$L$6,5,0)=Variables!$B$5,((YEAR(B386)-YEAR($B$12))*12+MONTH(B386)-MONTH($B$12)),((YEAR(B386)-YEAR(VLOOKUP(I386,$C$3:$L$6,8,0)))*12+MONTH(B386)-MONTH(VLOOKUP(I386,$C$3:$L$6,8,0))))*(VLOOKUP(I386,$C$3:$L$6,10,0)*VLOOKUP(I386,$C$3:$L$6,6,0)/12),0))</f>
        <v/>
      </c>
      <c r="K386" s="29" t="str">
        <f ca="1">IF(C386&lt;&gt;"",IF(I386&lt;&gt;"",IF(ISERROR(VLOOKUP(I386,$C$3:$L$6,10,0)),"",VLOOKUP(I386,$C$3:$L$6,10,0)+J386+IF(OR(VLOOKUP(I386,$C$3:$L$6,5,0)=Variables!$B$5,B386&gt;VLOOKUP(I386,$C$3:$L$6,8,0)),IF(VLOOKUP(I386,$C$3:$L$6,5,0)=Variables!$B$5,((YEAR(B386)-YEAR($B$12))*12+MONTH(B386)-MONTH($B$12)),((YEAR(B386)-YEAR(VLOOKUP(I386,$C$3:$L$6,8,0)))*12+MONTH(B386)-MONTH(VLOOKUP(I386,$C$3:$L$6,8,0))))*VLOOKUP(I386,$C$3:$L$6,7,0),0)),""),"")</f>
        <v/>
      </c>
      <c r="L386" s="29" t="str">
        <f t="shared" ca="1" si="39"/>
        <v/>
      </c>
      <c r="M386" s="10"/>
      <c r="N386" s="10"/>
    </row>
    <row r="387" spans="1:14" x14ac:dyDescent="0.25">
      <c r="A387" s="10"/>
      <c r="B387" s="14" t="str">
        <f t="shared" ca="1" si="40"/>
        <v/>
      </c>
      <c r="C387" s="14" t="str">
        <f ca="1">IF(I386&lt;&gt;Variables!$B$1,IF(H386&lt;&gt;0,C386,I386),"")</f>
        <v/>
      </c>
      <c r="D387" s="29" t="str">
        <f t="shared" ca="1" si="37"/>
        <v/>
      </c>
      <c r="E387" s="29" t="str">
        <f t="shared" ca="1" si="38"/>
        <v/>
      </c>
      <c r="F387" s="29" t="str">
        <f ca="1">IF(C387&lt;&gt;"",IF(OR(VLOOKUP(C387,$C$3:$L$6,5,0)=Variables!$B$5,B387&gt;VLOOKUP(C387,$C$3:$L$6,8,0)),-D387*VLOOKUP(C387,$C$3:$L$6,6,0)/12,0),"")</f>
        <v/>
      </c>
      <c r="G387" s="29" t="str">
        <f ca="1">IF(I387&lt;&gt;Variables!$B$1,IF(C387&lt;&gt;"",$I$9-E387-F387,""),-D387)</f>
        <v/>
      </c>
      <c r="H387" s="29" t="str">
        <f t="shared" ca="1" si="41"/>
        <v/>
      </c>
      <c r="I387" s="31" t="str">
        <f ca="1">IF(C387&lt;&gt;"",IF(D387+$I$9-E387-F387&gt;=0,IF(ISERROR(INDEX($C$3:$C$6,MATCH(C387,$C$3:$C$6,0)+1,0)),Variables!$B$1,INDEX($C$3:$C$6,MATCH(C387,$C$3:$C$6,0)+1,0)),""),"")</f>
        <v/>
      </c>
      <c r="J387" s="29" t="str">
        <f ca="1">IF(ISERROR(VLOOKUP(I387,$C$3:$L$6,5,0)),"",IF(OR(VLOOKUP(I387,$C$3:$L$6,5,0)=Variables!$B$5,B387&gt;VLOOKUP(I387,$C$3:$L$6,8,0)),IF(VLOOKUP(I387,$C$3:$L$6,5,0)=Variables!$B$5,((YEAR(B387)-YEAR($B$12))*12+MONTH(B387)-MONTH($B$12)),((YEAR(B387)-YEAR(VLOOKUP(I387,$C$3:$L$6,8,0)))*12+MONTH(B387)-MONTH(VLOOKUP(I387,$C$3:$L$6,8,0))))*(VLOOKUP(I387,$C$3:$L$6,10,0)*VLOOKUP(I387,$C$3:$L$6,6,0)/12),0))</f>
        <v/>
      </c>
      <c r="K387" s="29" t="str">
        <f ca="1">IF(C387&lt;&gt;"",IF(I387&lt;&gt;"",IF(ISERROR(VLOOKUP(I387,$C$3:$L$6,10,0)),"",VLOOKUP(I387,$C$3:$L$6,10,0)+J387+IF(OR(VLOOKUP(I387,$C$3:$L$6,5,0)=Variables!$B$5,B387&gt;VLOOKUP(I387,$C$3:$L$6,8,0)),IF(VLOOKUP(I387,$C$3:$L$6,5,0)=Variables!$B$5,((YEAR(B387)-YEAR($B$12))*12+MONTH(B387)-MONTH($B$12)),((YEAR(B387)-YEAR(VLOOKUP(I387,$C$3:$L$6,8,0)))*12+MONTH(B387)-MONTH(VLOOKUP(I387,$C$3:$L$6,8,0))))*VLOOKUP(I387,$C$3:$L$6,7,0),0)),""),"")</f>
        <v/>
      </c>
      <c r="L387" s="29" t="str">
        <f t="shared" ca="1" si="39"/>
        <v/>
      </c>
      <c r="M387" s="10"/>
      <c r="N387" s="10"/>
    </row>
    <row r="388" spans="1:14" x14ac:dyDescent="0.25">
      <c r="A388" s="10"/>
      <c r="B388" s="14" t="str">
        <f t="shared" ca="1" si="40"/>
        <v/>
      </c>
      <c r="C388" s="14" t="str">
        <f ca="1">IF(I387&lt;&gt;Variables!$B$1,IF(H387&lt;&gt;0,C387,I387),"")</f>
        <v/>
      </c>
      <c r="D388" s="29" t="str">
        <f t="shared" ca="1" si="37"/>
        <v/>
      </c>
      <c r="E388" s="29" t="str">
        <f t="shared" ca="1" si="38"/>
        <v/>
      </c>
      <c r="F388" s="29" t="str">
        <f ca="1">IF(C388&lt;&gt;"",IF(OR(VLOOKUP(C388,$C$3:$L$6,5,0)=Variables!$B$5,B388&gt;VLOOKUP(C388,$C$3:$L$6,8,0)),-D388*VLOOKUP(C388,$C$3:$L$6,6,0)/12,0),"")</f>
        <v/>
      </c>
      <c r="G388" s="29" t="str">
        <f ca="1">IF(I388&lt;&gt;Variables!$B$1,IF(C388&lt;&gt;"",$I$9-E388-F388,""),-D388)</f>
        <v/>
      </c>
      <c r="H388" s="29" t="str">
        <f t="shared" ca="1" si="41"/>
        <v/>
      </c>
      <c r="I388" s="31" t="str">
        <f ca="1">IF(C388&lt;&gt;"",IF(D388+$I$9-E388-F388&gt;=0,IF(ISERROR(INDEX($C$3:$C$6,MATCH(C388,$C$3:$C$6,0)+1,0)),Variables!$B$1,INDEX($C$3:$C$6,MATCH(C388,$C$3:$C$6,0)+1,0)),""),"")</f>
        <v/>
      </c>
      <c r="J388" s="29" t="str">
        <f ca="1">IF(ISERROR(VLOOKUP(I388,$C$3:$L$6,5,0)),"",IF(OR(VLOOKUP(I388,$C$3:$L$6,5,0)=Variables!$B$5,B388&gt;VLOOKUP(I388,$C$3:$L$6,8,0)),IF(VLOOKUP(I388,$C$3:$L$6,5,0)=Variables!$B$5,((YEAR(B388)-YEAR($B$12))*12+MONTH(B388)-MONTH($B$12)),((YEAR(B388)-YEAR(VLOOKUP(I388,$C$3:$L$6,8,0)))*12+MONTH(B388)-MONTH(VLOOKUP(I388,$C$3:$L$6,8,0))))*(VLOOKUP(I388,$C$3:$L$6,10,0)*VLOOKUP(I388,$C$3:$L$6,6,0)/12),0))</f>
        <v/>
      </c>
      <c r="K388" s="29" t="str">
        <f ca="1">IF(C388&lt;&gt;"",IF(I388&lt;&gt;"",IF(ISERROR(VLOOKUP(I388,$C$3:$L$6,10,0)),"",VLOOKUP(I388,$C$3:$L$6,10,0)+J388+IF(OR(VLOOKUP(I388,$C$3:$L$6,5,0)=Variables!$B$5,B388&gt;VLOOKUP(I388,$C$3:$L$6,8,0)),IF(VLOOKUP(I388,$C$3:$L$6,5,0)=Variables!$B$5,((YEAR(B388)-YEAR($B$12))*12+MONTH(B388)-MONTH($B$12)),((YEAR(B388)-YEAR(VLOOKUP(I388,$C$3:$L$6,8,0)))*12+MONTH(B388)-MONTH(VLOOKUP(I388,$C$3:$L$6,8,0))))*VLOOKUP(I388,$C$3:$L$6,7,0),0)),""),"")</f>
        <v/>
      </c>
      <c r="L388" s="29" t="str">
        <f t="shared" ca="1" si="39"/>
        <v/>
      </c>
      <c r="M388" s="10"/>
      <c r="N388" s="10"/>
    </row>
    <row r="389" spans="1:14" x14ac:dyDescent="0.25">
      <c r="A389" s="10"/>
      <c r="B389" s="14" t="str">
        <f t="shared" ca="1" si="40"/>
        <v/>
      </c>
      <c r="C389" s="14" t="str">
        <f ca="1">IF(I388&lt;&gt;Variables!$B$1,IF(H388&lt;&gt;0,C388,I388),"")</f>
        <v/>
      </c>
      <c r="D389" s="29" t="str">
        <f t="shared" ca="1" si="37"/>
        <v/>
      </c>
      <c r="E389" s="29" t="str">
        <f t="shared" ca="1" si="38"/>
        <v/>
      </c>
      <c r="F389" s="29" t="str">
        <f ca="1">IF(C389&lt;&gt;"",IF(OR(VLOOKUP(C389,$C$3:$L$6,5,0)=Variables!$B$5,B389&gt;VLOOKUP(C389,$C$3:$L$6,8,0)),-D389*VLOOKUP(C389,$C$3:$L$6,6,0)/12,0),"")</f>
        <v/>
      </c>
      <c r="G389" s="29" t="str">
        <f ca="1">IF(I389&lt;&gt;Variables!$B$1,IF(C389&lt;&gt;"",$I$9-E389-F389,""),-D389)</f>
        <v/>
      </c>
      <c r="H389" s="29" t="str">
        <f t="shared" ca="1" si="41"/>
        <v/>
      </c>
      <c r="I389" s="31" t="str">
        <f ca="1">IF(C389&lt;&gt;"",IF(D389+$I$9-E389-F389&gt;=0,IF(ISERROR(INDEX($C$3:$C$6,MATCH(C389,$C$3:$C$6,0)+1,0)),Variables!$B$1,INDEX($C$3:$C$6,MATCH(C389,$C$3:$C$6,0)+1,0)),""),"")</f>
        <v/>
      </c>
      <c r="J389" s="29" t="str">
        <f ca="1">IF(ISERROR(VLOOKUP(I389,$C$3:$L$6,5,0)),"",IF(OR(VLOOKUP(I389,$C$3:$L$6,5,0)=Variables!$B$5,B389&gt;VLOOKUP(I389,$C$3:$L$6,8,0)),IF(VLOOKUP(I389,$C$3:$L$6,5,0)=Variables!$B$5,((YEAR(B389)-YEAR($B$12))*12+MONTH(B389)-MONTH($B$12)),((YEAR(B389)-YEAR(VLOOKUP(I389,$C$3:$L$6,8,0)))*12+MONTH(B389)-MONTH(VLOOKUP(I389,$C$3:$L$6,8,0))))*(VLOOKUP(I389,$C$3:$L$6,10,0)*VLOOKUP(I389,$C$3:$L$6,6,0)/12),0))</f>
        <v/>
      </c>
      <c r="K389" s="29" t="str">
        <f ca="1">IF(C389&lt;&gt;"",IF(I389&lt;&gt;"",IF(ISERROR(VLOOKUP(I389,$C$3:$L$6,10,0)),"",VLOOKUP(I389,$C$3:$L$6,10,0)+J389+IF(OR(VLOOKUP(I389,$C$3:$L$6,5,0)=Variables!$B$5,B389&gt;VLOOKUP(I389,$C$3:$L$6,8,0)),IF(VLOOKUP(I389,$C$3:$L$6,5,0)=Variables!$B$5,((YEAR(B389)-YEAR($B$12))*12+MONTH(B389)-MONTH($B$12)),((YEAR(B389)-YEAR(VLOOKUP(I389,$C$3:$L$6,8,0)))*12+MONTH(B389)-MONTH(VLOOKUP(I389,$C$3:$L$6,8,0))))*VLOOKUP(I389,$C$3:$L$6,7,0),0)),""),"")</f>
        <v/>
      </c>
      <c r="L389" s="29" t="str">
        <f t="shared" ca="1" si="39"/>
        <v/>
      </c>
      <c r="M389" s="10"/>
      <c r="N389" s="10"/>
    </row>
    <row r="390" spans="1:14" x14ac:dyDescent="0.25">
      <c r="A390" s="10"/>
      <c r="B390" s="14" t="str">
        <f t="shared" ca="1" si="40"/>
        <v/>
      </c>
      <c r="C390" s="14" t="str">
        <f ca="1">IF(I389&lt;&gt;Variables!$B$1,IF(H389&lt;&gt;0,C389,I389),"")</f>
        <v/>
      </c>
      <c r="D390" s="29" t="str">
        <f t="shared" ca="1" si="37"/>
        <v/>
      </c>
      <c r="E390" s="29" t="str">
        <f t="shared" ca="1" si="38"/>
        <v/>
      </c>
      <c r="F390" s="29" t="str">
        <f ca="1">IF(C390&lt;&gt;"",IF(OR(VLOOKUP(C390,$C$3:$L$6,5,0)=Variables!$B$5,B390&gt;VLOOKUP(C390,$C$3:$L$6,8,0)),-D390*VLOOKUP(C390,$C$3:$L$6,6,0)/12,0),"")</f>
        <v/>
      </c>
      <c r="G390" s="29" t="str">
        <f ca="1">IF(I390&lt;&gt;Variables!$B$1,IF(C390&lt;&gt;"",$I$9-E390-F390,""),-D390)</f>
        <v/>
      </c>
      <c r="H390" s="29" t="str">
        <f t="shared" ca="1" si="41"/>
        <v/>
      </c>
      <c r="I390" s="31" t="str">
        <f ca="1">IF(C390&lt;&gt;"",IF(D390+$I$9-E390-F390&gt;=0,IF(ISERROR(INDEX($C$3:$C$6,MATCH(C390,$C$3:$C$6,0)+1,0)),Variables!$B$1,INDEX($C$3:$C$6,MATCH(C390,$C$3:$C$6,0)+1,0)),""),"")</f>
        <v/>
      </c>
      <c r="J390" s="29" t="str">
        <f ca="1">IF(ISERROR(VLOOKUP(I390,$C$3:$L$6,5,0)),"",IF(OR(VLOOKUP(I390,$C$3:$L$6,5,0)=Variables!$B$5,B390&gt;VLOOKUP(I390,$C$3:$L$6,8,0)),IF(VLOOKUP(I390,$C$3:$L$6,5,0)=Variables!$B$5,((YEAR(B390)-YEAR($B$12))*12+MONTH(B390)-MONTH($B$12)),((YEAR(B390)-YEAR(VLOOKUP(I390,$C$3:$L$6,8,0)))*12+MONTH(B390)-MONTH(VLOOKUP(I390,$C$3:$L$6,8,0))))*(VLOOKUP(I390,$C$3:$L$6,10,0)*VLOOKUP(I390,$C$3:$L$6,6,0)/12),0))</f>
        <v/>
      </c>
      <c r="K390" s="29" t="str">
        <f ca="1">IF(C390&lt;&gt;"",IF(I390&lt;&gt;"",IF(ISERROR(VLOOKUP(I390,$C$3:$L$6,10,0)),"",VLOOKUP(I390,$C$3:$L$6,10,0)+J390+IF(OR(VLOOKUP(I390,$C$3:$L$6,5,0)=Variables!$B$5,B390&gt;VLOOKUP(I390,$C$3:$L$6,8,0)),IF(VLOOKUP(I390,$C$3:$L$6,5,0)=Variables!$B$5,((YEAR(B390)-YEAR($B$12))*12+MONTH(B390)-MONTH($B$12)),((YEAR(B390)-YEAR(VLOOKUP(I390,$C$3:$L$6,8,0)))*12+MONTH(B390)-MONTH(VLOOKUP(I390,$C$3:$L$6,8,0))))*VLOOKUP(I390,$C$3:$L$6,7,0),0)),""),"")</f>
        <v/>
      </c>
      <c r="L390" s="29" t="str">
        <f t="shared" ca="1" si="39"/>
        <v/>
      </c>
      <c r="M390" s="10"/>
      <c r="N390" s="10"/>
    </row>
    <row r="391" spans="1:14" x14ac:dyDescent="0.25">
      <c r="A391" s="10"/>
      <c r="B391" s="14" t="str">
        <f t="shared" ca="1" si="40"/>
        <v/>
      </c>
      <c r="C391" s="14" t="str">
        <f ca="1">IF(I390&lt;&gt;Variables!$B$1,IF(H390&lt;&gt;0,C390,I390),"")</f>
        <v/>
      </c>
      <c r="D391" s="29" t="str">
        <f t="shared" ca="1" si="37"/>
        <v/>
      </c>
      <c r="E391" s="29" t="str">
        <f t="shared" ca="1" si="38"/>
        <v/>
      </c>
      <c r="F391" s="29" t="str">
        <f ca="1">IF(C391&lt;&gt;"",IF(OR(VLOOKUP(C391,$C$3:$L$6,5,0)=Variables!$B$5,B391&gt;VLOOKUP(C391,$C$3:$L$6,8,0)),-D391*VLOOKUP(C391,$C$3:$L$6,6,0)/12,0),"")</f>
        <v/>
      </c>
      <c r="G391" s="29" t="str">
        <f ca="1">IF(I391&lt;&gt;Variables!$B$1,IF(C391&lt;&gt;"",$I$9-E391-F391,""),-D391)</f>
        <v/>
      </c>
      <c r="H391" s="29" t="str">
        <f t="shared" ca="1" si="41"/>
        <v/>
      </c>
      <c r="I391" s="31" t="str">
        <f ca="1">IF(C391&lt;&gt;"",IF(D391+$I$9-E391-F391&gt;=0,IF(ISERROR(INDEX($C$3:$C$6,MATCH(C391,$C$3:$C$6,0)+1,0)),Variables!$B$1,INDEX($C$3:$C$6,MATCH(C391,$C$3:$C$6,0)+1,0)),""),"")</f>
        <v/>
      </c>
      <c r="J391" s="29" t="str">
        <f ca="1">IF(ISERROR(VLOOKUP(I391,$C$3:$L$6,5,0)),"",IF(OR(VLOOKUP(I391,$C$3:$L$6,5,0)=Variables!$B$5,B391&gt;VLOOKUP(I391,$C$3:$L$6,8,0)),IF(VLOOKUP(I391,$C$3:$L$6,5,0)=Variables!$B$5,((YEAR(B391)-YEAR($B$12))*12+MONTH(B391)-MONTH($B$12)),((YEAR(B391)-YEAR(VLOOKUP(I391,$C$3:$L$6,8,0)))*12+MONTH(B391)-MONTH(VLOOKUP(I391,$C$3:$L$6,8,0))))*(VLOOKUP(I391,$C$3:$L$6,10,0)*VLOOKUP(I391,$C$3:$L$6,6,0)/12),0))</f>
        <v/>
      </c>
      <c r="K391" s="29" t="str">
        <f ca="1">IF(C391&lt;&gt;"",IF(I391&lt;&gt;"",IF(ISERROR(VLOOKUP(I391,$C$3:$L$6,10,0)),"",VLOOKUP(I391,$C$3:$L$6,10,0)+J391+IF(OR(VLOOKUP(I391,$C$3:$L$6,5,0)=Variables!$B$5,B391&gt;VLOOKUP(I391,$C$3:$L$6,8,0)),IF(VLOOKUP(I391,$C$3:$L$6,5,0)=Variables!$B$5,((YEAR(B391)-YEAR($B$12))*12+MONTH(B391)-MONTH($B$12)),((YEAR(B391)-YEAR(VLOOKUP(I391,$C$3:$L$6,8,0)))*12+MONTH(B391)-MONTH(VLOOKUP(I391,$C$3:$L$6,8,0))))*VLOOKUP(I391,$C$3:$L$6,7,0),0)),""),"")</f>
        <v/>
      </c>
      <c r="L391" s="29" t="str">
        <f t="shared" ca="1" si="39"/>
        <v/>
      </c>
      <c r="M391" s="10"/>
      <c r="N391" s="10"/>
    </row>
    <row r="392" spans="1:14" x14ac:dyDescent="0.25">
      <c r="A392" s="10"/>
      <c r="B392" s="14" t="str">
        <f t="shared" ca="1" si="40"/>
        <v/>
      </c>
      <c r="C392" s="14" t="str">
        <f ca="1">IF(I391&lt;&gt;Variables!$B$1,IF(H391&lt;&gt;0,C391,I391),"")</f>
        <v/>
      </c>
      <c r="D392" s="29" t="str">
        <f t="shared" ca="1" si="37"/>
        <v/>
      </c>
      <c r="E392" s="29" t="str">
        <f t="shared" ca="1" si="38"/>
        <v/>
      </c>
      <c r="F392" s="29" t="str">
        <f ca="1">IF(C392&lt;&gt;"",IF(OR(VLOOKUP(C392,$C$3:$L$6,5,0)=Variables!$B$5,B392&gt;VLOOKUP(C392,$C$3:$L$6,8,0)),-D392*VLOOKUP(C392,$C$3:$L$6,6,0)/12,0),"")</f>
        <v/>
      </c>
      <c r="G392" s="29" t="str">
        <f ca="1">IF(I392&lt;&gt;Variables!$B$1,IF(C392&lt;&gt;"",$I$9-E392-F392,""),-D392)</f>
        <v/>
      </c>
      <c r="H392" s="29" t="str">
        <f t="shared" ca="1" si="41"/>
        <v/>
      </c>
      <c r="I392" s="31" t="str">
        <f ca="1">IF(C392&lt;&gt;"",IF(D392+$I$9-E392-F392&gt;=0,IF(ISERROR(INDEX($C$3:$C$6,MATCH(C392,$C$3:$C$6,0)+1,0)),Variables!$B$1,INDEX($C$3:$C$6,MATCH(C392,$C$3:$C$6,0)+1,0)),""),"")</f>
        <v/>
      </c>
      <c r="J392" s="29" t="str">
        <f ca="1">IF(ISERROR(VLOOKUP(I392,$C$3:$L$6,5,0)),"",IF(OR(VLOOKUP(I392,$C$3:$L$6,5,0)=Variables!$B$5,B392&gt;VLOOKUP(I392,$C$3:$L$6,8,0)),IF(VLOOKUP(I392,$C$3:$L$6,5,0)=Variables!$B$5,((YEAR(B392)-YEAR($B$12))*12+MONTH(B392)-MONTH($B$12)),((YEAR(B392)-YEAR(VLOOKUP(I392,$C$3:$L$6,8,0)))*12+MONTH(B392)-MONTH(VLOOKUP(I392,$C$3:$L$6,8,0))))*(VLOOKUP(I392,$C$3:$L$6,10,0)*VLOOKUP(I392,$C$3:$L$6,6,0)/12),0))</f>
        <v/>
      </c>
      <c r="K392" s="29" t="str">
        <f ca="1">IF(C392&lt;&gt;"",IF(I392&lt;&gt;"",IF(ISERROR(VLOOKUP(I392,$C$3:$L$6,10,0)),"",VLOOKUP(I392,$C$3:$L$6,10,0)+J392+IF(OR(VLOOKUP(I392,$C$3:$L$6,5,0)=Variables!$B$5,B392&gt;VLOOKUP(I392,$C$3:$L$6,8,0)),IF(VLOOKUP(I392,$C$3:$L$6,5,0)=Variables!$B$5,((YEAR(B392)-YEAR($B$12))*12+MONTH(B392)-MONTH($B$12)),((YEAR(B392)-YEAR(VLOOKUP(I392,$C$3:$L$6,8,0)))*12+MONTH(B392)-MONTH(VLOOKUP(I392,$C$3:$L$6,8,0))))*VLOOKUP(I392,$C$3:$L$6,7,0),0)),""),"")</f>
        <v/>
      </c>
      <c r="L392" s="29" t="str">
        <f t="shared" ca="1" si="39"/>
        <v/>
      </c>
      <c r="M392" s="10"/>
      <c r="N392" s="10"/>
    </row>
    <row r="393" spans="1:14" x14ac:dyDescent="0.25">
      <c r="A393" s="10"/>
      <c r="B393" s="14" t="str">
        <f t="shared" ca="1" si="40"/>
        <v/>
      </c>
      <c r="C393" s="14" t="str">
        <f ca="1">IF(I392&lt;&gt;Variables!$B$1,IF(H392&lt;&gt;0,C392,I392),"")</f>
        <v/>
      </c>
      <c r="D393" s="29" t="str">
        <f t="shared" ca="1" si="37"/>
        <v/>
      </c>
      <c r="E393" s="29" t="str">
        <f t="shared" ca="1" si="38"/>
        <v/>
      </c>
      <c r="F393" s="29" t="str">
        <f ca="1">IF(C393&lt;&gt;"",IF(OR(VLOOKUP(C393,$C$3:$L$6,5,0)=Variables!$B$5,B393&gt;VLOOKUP(C393,$C$3:$L$6,8,0)),-D393*VLOOKUP(C393,$C$3:$L$6,6,0)/12,0),"")</f>
        <v/>
      </c>
      <c r="G393" s="29" t="str">
        <f ca="1">IF(I393&lt;&gt;Variables!$B$1,IF(C393&lt;&gt;"",$I$9-E393-F393,""),-D393)</f>
        <v/>
      </c>
      <c r="H393" s="29" t="str">
        <f t="shared" ca="1" si="41"/>
        <v/>
      </c>
      <c r="I393" s="31" t="str">
        <f ca="1">IF(C393&lt;&gt;"",IF(D393+$I$9-E393-F393&gt;=0,IF(ISERROR(INDEX($C$3:$C$6,MATCH(C393,$C$3:$C$6,0)+1,0)),Variables!$B$1,INDEX($C$3:$C$6,MATCH(C393,$C$3:$C$6,0)+1,0)),""),"")</f>
        <v/>
      </c>
      <c r="J393" s="29" t="str">
        <f ca="1">IF(ISERROR(VLOOKUP(I393,$C$3:$L$6,5,0)),"",IF(OR(VLOOKUP(I393,$C$3:$L$6,5,0)=Variables!$B$5,B393&gt;VLOOKUP(I393,$C$3:$L$6,8,0)),IF(VLOOKUP(I393,$C$3:$L$6,5,0)=Variables!$B$5,((YEAR(B393)-YEAR($B$12))*12+MONTH(B393)-MONTH($B$12)),((YEAR(B393)-YEAR(VLOOKUP(I393,$C$3:$L$6,8,0)))*12+MONTH(B393)-MONTH(VLOOKUP(I393,$C$3:$L$6,8,0))))*(VLOOKUP(I393,$C$3:$L$6,10,0)*VLOOKUP(I393,$C$3:$L$6,6,0)/12),0))</f>
        <v/>
      </c>
      <c r="K393" s="29" t="str">
        <f ca="1">IF(C393&lt;&gt;"",IF(I393&lt;&gt;"",IF(ISERROR(VLOOKUP(I393,$C$3:$L$6,10,0)),"",VLOOKUP(I393,$C$3:$L$6,10,0)+J393+IF(OR(VLOOKUP(I393,$C$3:$L$6,5,0)=Variables!$B$5,B393&gt;VLOOKUP(I393,$C$3:$L$6,8,0)),IF(VLOOKUP(I393,$C$3:$L$6,5,0)=Variables!$B$5,((YEAR(B393)-YEAR($B$12))*12+MONTH(B393)-MONTH($B$12)),((YEAR(B393)-YEAR(VLOOKUP(I393,$C$3:$L$6,8,0)))*12+MONTH(B393)-MONTH(VLOOKUP(I393,$C$3:$L$6,8,0))))*VLOOKUP(I393,$C$3:$L$6,7,0),0)),""),"")</f>
        <v/>
      </c>
      <c r="L393" s="29" t="str">
        <f t="shared" ca="1" si="39"/>
        <v/>
      </c>
      <c r="M393" s="10"/>
      <c r="N393" s="10"/>
    </row>
    <row r="394" spans="1:14" x14ac:dyDescent="0.25">
      <c r="A394" s="10"/>
      <c r="B394" s="14" t="str">
        <f t="shared" ca="1" si="40"/>
        <v/>
      </c>
      <c r="C394" s="14" t="str">
        <f ca="1">IF(I393&lt;&gt;Variables!$B$1,IF(H393&lt;&gt;0,C393,I393),"")</f>
        <v/>
      </c>
      <c r="D394" s="29" t="str">
        <f t="shared" ca="1" si="37"/>
        <v/>
      </c>
      <c r="E394" s="29" t="str">
        <f t="shared" ca="1" si="38"/>
        <v/>
      </c>
      <c r="F394" s="29" t="str">
        <f ca="1">IF(C394&lt;&gt;"",IF(OR(VLOOKUP(C394,$C$3:$L$6,5,0)=Variables!$B$5,B394&gt;VLOOKUP(C394,$C$3:$L$6,8,0)),-D394*VLOOKUP(C394,$C$3:$L$6,6,0)/12,0),"")</f>
        <v/>
      </c>
      <c r="G394" s="29" t="str">
        <f ca="1">IF(I394&lt;&gt;Variables!$B$1,IF(C394&lt;&gt;"",$I$9-E394-F394,""),-D394)</f>
        <v/>
      </c>
      <c r="H394" s="29" t="str">
        <f t="shared" ca="1" si="41"/>
        <v/>
      </c>
      <c r="I394" s="31" t="str">
        <f ca="1">IF(C394&lt;&gt;"",IF(D394+$I$9-E394-F394&gt;=0,IF(ISERROR(INDEX($C$3:$C$6,MATCH(C394,$C$3:$C$6,0)+1,0)),Variables!$B$1,INDEX($C$3:$C$6,MATCH(C394,$C$3:$C$6,0)+1,0)),""),"")</f>
        <v/>
      </c>
      <c r="J394" s="29" t="str">
        <f ca="1">IF(ISERROR(VLOOKUP(I394,$C$3:$L$6,5,0)),"",IF(OR(VLOOKUP(I394,$C$3:$L$6,5,0)=Variables!$B$5,B394&gt;VLOOKUP(I394,$C$3:$L$6,8,0)),IF(VLOOKUP(I394,$C$3:$L$6,5,0)=Variables!$B$5,((YEAR(B394)-YEAR($B$12))*12+MONTH(B394)-MONTH($B$12)),((YEAR(B394)-YEAR(VLOOKUP(I394,$C$3:$L$6,8,0)))*12+MONTH(B394)-MONTH(VLOOKUP(I394,$C$3:$L$6,8,0))))*(VLOOKUP(I394,$C$3:$L$6,10,0)*VLOOKUP(I394,$C$3:$L$6,6,0)/12),0))</f>
        <v/>
      </c>
      <c r="K394" s="29" t="str">
        <f ca="1">IF(C394&lt;&gt;"",IF(I394&lt;&gt;"",IF(ISERROR(VLOOKUP(I394,$C$3:$L$6,10,0)),"",VLOOKUP(I394,$C$3:$L$6,10,0)+J394+IF(OR(VLOOKUP(I394,$C$3:$L$6,5,0)=Variables!$B$5,B394&gt;VLOOKUP(I394,$C$3:$L$6,8,0)),IF(VLOOKUP(I394,$C$3:$L$6,5,0)=Variables!$B$5,((YEAR(B394)-YEAR($B$12))*12+MONTH(B394)-MONTH($B$12)),((YEAR(B394)-YEAR(VLOOKUP(I394,$C$3:$L$6,8,0)))*12+MONTH(B394)-MONTH(VLOOKUP(I394,$C$3:$L$6,8,0))))*VLOOKUP(I394,$C$3:$L$6,7,0),0)),""),"")</f>
        <v/>
      </c>
      <c r="L394" s="29" t="str">
        <f t="shared" ca="1" si="39"/>
        <v/>
      </c>
      <c r="M394" s="10"/>
      <c r="N394" s="10"/>
    </row>
    <row r="395" spans="1:14" x14ac:dyDescent="0.25">
      <c r="A395" s="10"/>
      <c r="B395" s="14" t="str">
        <f t="shared" ca="1" si="40"/>
        <v/>
      </c>
      <c r="C395" s="14" t="str">
        <f ca="1">IF(I394&lt;&gt;Variables!$B$1,IF(H394&lt;&gt;0,C394,I394),"")</f>
        <v/>
      </c>
      <c r="D395" s="29" t="str">
        <f t="shared" ca="1" si="37"/>
        <v/>
      </c>
      <c r="E395" s="29" t="str">
        <f t="shared" ca="1" si="38"/>
        <v/>
      </c>
      <c r="F395" s="29" t="str">
        <f ca="1">IF(C395&lt;&gt;"",IF(OR(VLOOKUP(C395,$C$3:$L$6,5,0)=Variables!$B$5,B395&gt;VLOOKUP(C395,$C$3:$L$6,8,0)),-D395*VLOOKUP(C395,$C$3:$L$6,6,0)/12,0),"")</f>
        <v/>
      </c>
      <c r="G395" s="29" t="str">
        <f ca="1">IF(I395&lt;&gt;Variables!$B$1,IF(C395&lt;&gt;"",$I$9-E395-F395,""),-D395)</f>
        <v/>
      </c>
      <c r="H395" s="29" t="str">
        <f t="shared" ca="1" si="41"/>
        <v/>
      </c>
      <c r="I395" s="31" t="str">
        <f ca="1">IF(C395&lt;&gt;"",IF(D395+$I$9-E395-F395&gt;=0,IF(ISERROR(INDEX($C$3:$C$6,MATCH(C395,$C$3:$C$6,0)+1,0)),Variables!$B$1,INDEX($C$3:$C$6,MATCH(C395,$C$3:$C$6,0)+1,0)),""),"")</f>
        <v/>
      </c>
      <c r="J395" s="29" t="str">
        <f ca="1">IF(ISERROR(VLOOKUP(I395,$C$3:$L$6,5,0)),"",IF(OR(VLOOKUP(I395,$C$3:$L$6,5,0)=Variables!$B$5,B395&gt;VLOOKUP(I395,$C$3:$L$6,8,0)),IF(VLOOKUP(I395,$C$3:$L$6,5,0)=Variables!$B$5,((YEAR(B395)-YEAR($B$12))*12+MONTH(B395)-MONTH($B$12)),((YEAR(B395)-YEAR(VLOOKUP(I395,$C$3:$L$6,8,0)))*12+MONTH(B395)-MONTH(VLOOKUP(I395,$C$3:$L$6,8,0))))*(VLOOKUP(I395,$C$3:$L$6,10,0)*VLOOKUP(I395,$C$3:$L$6,6,0)/12),0))</f>
        <v/>
      </c>
      <c r="K395" s="29" t="str">
        <f ca="1">IF(C395&lt;&gt;"",IF(I395&lt;&gt;"",IF(ISERROR(VLOOKUP(I395,$C$3:$L$6,10,0)),"",VLOOKUP(I395,$C$3:$L$6,10,0)+J395+IF(OR(VLOOKUP(I395,$C$3:$L$6,5,0)=Variables!$B$5,B395&gt;VLOOKUP(I395,$C$3:$L$6,8,0)),IF(VLOOKUP(I395,$C$3:$L$6,5,0)=Variables!$B$5,((YEAR(B395)-YEAR($B$12))*12+MONTH(B395)-MONTH($B$12)),((YEAR(B395)-YEAR(VLOOKUP(I395,$C$3:$L$6,8,0)))*12+MONTH(B395)-MONTH(VLOOKUP(I395,$C$3:$L$6,8,0))))*VLOOKUP(I395,$C$3:$L$6,7,0),0)),""),"")</f>
        <v/>
      </c>
      <c r="L395" s="29" t="str">
        <f t="shared" ca="1" si="39"/>
        <v/>
      </c>
      <c r="M395" s="10"/>
      <c r="N395" s="10"/>
    </row>
    <row r="396" spans="1:14" x14ac:dyDescent="0.25">
      <c r="A396" s="10"/>
      <c r="B396" s="14" t="str">
        <f t="shared" ca="1" si="40"/>
        <v/>
      </c>
      <c r="C396" s="14" t="str">
        <f ca="1">IF(I395&lt;&gt;Variables!$B$1,IF(H395&lt;&gt;0,C395,I395),"")</f>
        <v/>
      </c>
      <c r="D396" s="29" t="str">
        <f t="shared" ca="1" si="37"/>
        <v/>
      </c>
      <c r="E396" s="29" t="str">
        <f t="shared" ca="1" si="38"/>
        <v/>
      </c>
      <c r="F396" s="29" t="str">
        <f ca="1">IF(C396&lt;&gt;"",IF(OR(VLOOKUP(C396,$C$3:$L$6,5,0)=Variables!$B$5,B396&gt;VLOOKUP(C396,$C$3:$L$6,8,0)),-D396*VLOOKUP(C396,$C$3:$L$6,6,0)/12,0),"")</f>
        <v/>
      </c>
      <c r="G396" s="29" t="str">
        <f ca="1">IF(I396&lt;&gt;Variables!$B$1,IF(C396&lt;&gt;"",$I$9-E396-F396,""),-D396)</f>
        <v/>
      </c>
      <c r="H396" s="29" t="str">
        <f t="shared" ca="1" si="41"/>
        <v/>
      </c>
      <c r="I396" s="31" t="str">
        <f ca="1">IF(C396&lt;&gt;"",IF(D396+$I$9-E396-F396&gt;=0,IF(ISERROR(INDEX($C$3:$C$6,MATCH(C396,$C$3:$C$6,0)+1,0)),Variables!$B$1,INDEX($C$3:$C$6,MATCH(C396,$C$3:$C$6,0)+1,0)),""),"")</f>
        <v/>
      </c>
      <c r="J396" s="29" t="str">
        <f ca="1">IF(ISERROR(VLOOKUP(I396,$C$3:$L$6,5,0)),"",IF(OR(VLOOKUP(I396,$C$3:$L$6,5,0)=Variables!$B$5,B396&gt;VLOOKUP(I396,$C$3:$L$6,8,0)),IF(VLOOKUP(I396,$C$3:$L$6,5,0)=Variables!$B$5,((YEAR(B396)-YEAR($B$12))*12+MONTH(B396)-MONTH($B$12)),((YEAR(B396)-YEAR(VLOOKUP(I396,$C$3:$L$6,8,0)))*12+MONTH(B396)-MONTH(VLOOKUP(I396,$C$3:$L$6,8,0))))*(VLOOKUP(I396,$C$3:$L$6,10,0)*VLOOKUP(I396,$C$3:$L$6,6,0)/12),0))</f>
        <v/>
      </c>
      <c r="K396" s="29" t="str">
        <f ca="1">IF(C396&lt;&gt;"",IF(I396&lt;&gt;"",IF(ISERROR(VLOOKUP(I396,$C$3:$L$6,10,0)),"",VLOOKUP(I396,$C$3:$L$6,10,0)+J396+IF(OR(VLOOKUP(I396,$C$3:$L$6,5,0)=Variables!$B$5,B396&gt;VLOOKUP(I396,$C$3:$L$6,8,0)),IF(VLOOKUP(I396,$C$3:$L$6,5,0)=Variables!$B$5,((YEAR(B396)-YEAR($B$12))*12+MONTH(B396)-MONTH($B$12)),((YEAR(B396)-YEAR(VLOOKUP(I396,$C$3:$L$6,8,0)))*12+MONTH(B396)-MONTH(VLOOKUP(I396,$C$3:$L$6,8,0))))*VLOOKUP(I396,$C$3:$L$6,7,0),0)),""),"")</f>
        <v/>
      </c>
      <c r="L396" s="29" t="str">
        <f t="shared" ca="1" si="39"/>
        <v/>
      </c>
      <c r="M396" s="10"/>
      <c r="N396" s="10"/>
    </row>
    <row r="397" spans="1:14" x14ac:dyDescent="0.25">
      <c r="A397" s="10"/>
      <c r="B397" s="14" t="str">
        <f t="shared" ca="1" si="40"/>
        <v/>
      </c>
      <c r="C397" s="14" t="str">
        <f ca="1">IF(I396&lt;&gt;Variables!$B$1,IF(H396&lt;&gt;0,C396,I396),"")</f>
        <v/>
      </c>
      <c r="D397" s="29" t="str">
        <f t="shared" ca="1" si="37"/>
        <v/>
      </c>
      <c r="E397" s="29" t="str">
        <f t="shared" ca="1" si="38"/>
        <v/>
      </c>
      <c r="F397" s="29" t="str">
        <f ca="1">IF(C397&lt;&gt;"",IF(OR(VLOOKUP(C397,$C$3:$L$6,5,0)=Variables!$B$5,B397&gt;VLOOKUP(C397,$C$3:$L$6,8,0)),-D397*VLOOKUP(C397,$C$3:$L$6,6,0)/12,0),"")</f>
        <v/>
      </c>
      <c r="G397" s="29" t="str">
        <f ca="1">IF(I397&lt;&gt;Variables!$B$1,IF(C397&lt;&gt;"",$I$9-E397-F397,""),-D397)</f>
        <v/>
      </c>
      <c r="H397" s="29" t="str">
        <f t="shared" ca="1" si="41"/>
        <v/>
      </c>
      <c r="I397" s="31" t="str">
        <f ca="1">IF(C397&lt;&gt;"",IF(D397+$I$9-E397-F397&gt;=0,IF(ISERROR(INDEX($C$3:$C$6,MATCH(C397,$C$3:$C$6,0)+1,0)),Variables!$B$1,INDEX($C$3:$C$6,MATCH(C397,$C$3:$C$6,0)+1,0)),""),"")</f>
        <v/>
      </c>
      <c r="J397" s="29" t="str">
        <f ca="1">IF(ISERROR(VLOOKUP(I397,$C$3:$L$6,5,0)),"",IF(OR(VLOOKUP(I397,$C$3:$L$6,5,0)=Variables!$B$5,B397&gt;VLOOKUP(I397,$C$3:$L$6,8,0)),IF(VLOOKUP(I397,$C$3:$L$6,5,0)=Variables!$B$5,((YEAR(B397)-YEAR($B$12))*12+MONTH(B397)-MONTH($B$12)),((YEAR(B397)-YEAR(VLOOKUP(I397,$C$3:$L$6,8,0)))*12+MONTH(B397)-MONTH(VLOOKUP(I397,$C$3:$L$6,8,0))))*(VLOOKUP(I397,$C$3:$L$6,10,0)*VLOOKUP(I397,$C$3:$L$6,6,0)/12),0))</f>
        <v/>
      </c>
      <c r="K397" s="29" t="str">
        <f ca="1">IF(C397&lt;&gt;"",IF(I397&lt;&gt;"",IF(ISERROR(VLOOKUP(I397,$C$3:$L$6,10,0)),"",VLOOKUP(I397,$C$3:$L$6,10,0)+J397+IF(OR(VLOOKUP(I397,$C$3:$L$6,5,0)=Variables!$B$5,B397&gt;VLOOKUP(I397,$C$3:$L$6,8,0)),IF(VLOOKUP(I397,$C$3:$L$6,5,0)=Variables!$B$5,((YEAR(B397)-YEAR($B$12))*12+MONTH(B397)-MONTH($B$12)),((YEAR(B397)-YEAR(VLOOKUP(I397,$C$3:$L$6,8,0)))*12+MONTH(B397)-MONTH(VLOOKUP(I397,$C$3:$L$6,8,0))))*VLOOKUP(I397,$C$3:$L$6,7,0),0)),""),"")</f>
        <v/>
      </c>
      <c r="L397" s="29" t="str">
        <f t="shared" ca="1" si="39"/>
        <v/>
      </c>
      <c r="M397" s="10"/>
      <c r="N397" s="10"/>
    </row>
    <row r="398" spans="1:14" x14ac:dyDescent="0.25">
      <c r="A398" s="10"/>
      <c r="B398" s="14" t="str">
        <f t="shared" ca="1" si="40"/>
        <v/>
      </c>
      <c r="C398" s="14" t="str">
        <f ca="1">IF(I397&lt;&gt;Variables!$B$1,IF(H397&lt;&gt;0,C397,I397),"")</f>
        <v/>
      </c>
      <c r="D398" s="29" t="str">
        <f t="shared" ca="1" si="37"/>
        <v/>
      </c>
      <c r="E398" s="29" t="str">
        <f t="shared" ca="1" si="38"/>
        <v/>
      </c>
      <c r="F398" s="29" t="str">
        <f ca="1">IF(C398&lt;&gt;"",IF(OR(VLOOKUP(C398,$C$3:$L$6,5,0)=Variables!$B$5,B398&gt;VLOOKUP(C398,$C$3:$L$6,8,0)),-D398*VLOOKUP(C398,$C$3:$L$6,6,0)/12,0),"")</f>
        <v/>
      </c>
      <c r="G398" s="29" t="str">
        <f ca="1">IF(I398&lt;&gt;Variables!$B$1,IF(C398&lt;&gt;"",$I$9-E398-F398,""),-D398)</f>
        <v/>
      </c>
      <c r="H398" s="29" t="str">
        <f t="shared" ca="1" si="41"/>
        <v/>
      </c>
      <c r="I398" s="31" t="str">
        <f ca="1">IF(C398&lt;&gt;"",IF(D398+$I$9-E398-F398&gt;=0,IF(ISERROR(INDEX($C$3:$C$6,MATCH(C398,$C$3:$C$6,0)+1,0)),Variables!$B$1,INDEX($C$3:$C$6,MATCH(C398,$C$3:$C$6,0)+1,0)),""),"")</f>
        <v/>
      </c>
      <c r="J398" s="29" t="str">
        <f ca="1">IF(ISERROR(VLOOKUP(I398,$C$3:$L$6,5,0)),"",IF(OR(VLOOKUP(I398,$C$3:$L$6,5,0)=Variables!$B$5,B398&gt;VLOOKUP(I398,$C$3:$L$6,8,0)),IF(VLOOKUP(I398,$C$3:$L$6,5,0)=Variables!$B$5,((YEAR(B398)-YEAR($B$12))*12+MONTH(B398)-MONTH($B$12)),((YEAR(B398)-YEAR(VLOOKUP(I398,$C$3:$L$6,8,0)))*12+MONTH(B398)-MONTH(VLOOKUP(I398,$C$3:$L$6,8,0))))*(VLOOKUP(I398,$C$3:$L$6,10,0)*VLOOKUP(I398,$C$3:$L$6,6,0)/12),0))</f>
        <v/>
      </c>
      <c r="K398" s="29" t="str">
        <f ca="1">IF(C398&lt;&gt;"",IF(I398&lt;&gt;"",IF(ISERROR(VLOOKUP(I398,$C$3:$L$6,10,0)),"",VLOOKUP(I398,$C$3:$L$6,10,0)+J398+IF(OR(VLOOKUP(I398,$C$3:$L$6,5,0)=Variables!$B$5,B398&gt;VLOOKUP(I398,$C$3:$L$6,8,0)),IF(VLOOKUP(I398,$C$3:$L$6,5,0)=Variables!$B$5,((YEAR(B398)-YEAR($B$12))*12+MONTH(B398)-MONTH($B$12)),((YEAR(B398)-YEAR(VLOOKUP(I398,$C$3:$L$6,8,0)))*12+MONTH(B398)-MONTH(VLOOKUP(I398,$C$3:$L$6,8,0))))*VLOOKUP(I398,$C$3:$L$6,7,0),0)),""),"")</f>
        <v/>
      </c>
      <c r="L398" s="29" t="str">
        <f t="shared" ca="1" si="39"/>
        <v/>
      </c>
      <c r="M398" s="10"/>
      <c r="N398" s="10"/>
    </row>
    <row r="399" spans="1:14" x14ac:dyDescent="0.25">
      <c r="A399" s="10"/>
      <c r="B399" s="14" t="str">
        <f t="shared" ca="1" si="40"/>
        <v/>
      </c>
      <c r="C399" s="14" t="str">
        <f ca="1">IF(I398&lt;&gt;Variables!$B$1,IF(H398&lt;&gt;0,C398,I398),"")</f>
        <v/>
      </c>
      <c r="D399" s="29" t="str">
        <f t="shared" ca="1" si="37"/>
        <v/>
      </c>
      <c r="E399" s="29" t="str">
        <f t="shared" ca="1" si="38"/>
        <v/>
      </c>
      <c r="F399" s="29" t="str">
        <f ca="1">IF(C399&lt;&gt;"",IF(OR(VLOOKUP(C399,$C$3:$L$6,5,0)=Variables!$B$5,B399&gt;VLOOKUP(C399,$C$3:$L$6,8,0)),-D399*VLOOKUP(C399,$C$3:$L$6,6,0)/12,0),"")</f>
        <v/>
      </c>
      <c r="G399" s="29" t="str">
        <f ca="1">IF(I399&lt;&gt;Variables!$B$1,IF(C399&lt;&gt;"",$I$9-E399-F399,""),-D399)</f>
        <v/>
      </c>
      <c r="H399" s="29" t="str">
        <f t="shared" ca="1" si="41"/>
        <v/>
      </c>
      <c r="I399" s="31" t="str">
        <f ca="1">IF(C399&lt;&gt;"",IF(D399+$I$9-E399-F399&gt;=0,IF(ISERROR(INDEX($C$3:$C$6,MATCH(C399,$C$3:$C$6,0)+1,0)),Variables!$B$1,INDEX($C$3:$C$6,MATCH(C399,$C$3:$C$6,0)+1,0)),""),"")</f>
        <v/>
      </c>
      <c r="J399" s="29" t="str">
        <f ca="1">IF(ISERROR(VLOOKUP(I399,$C$3:$L$6,5,0)),"",IF(OR(VLOOKUP(I399,$C$3:$L$6,5,0)=Variables!$B$5,B399&gt;VLOOKUP(I399,$C$3:$L$6,8,0)),IF(VLOOKUP(I399,$C$3:$L$6,5,0)=Variables!$B$5,((YEAR(B399)-YEAR($B$12))*12+MONTH(B399)-MONTH($B$12)),((YEAR(B399)-YEAR(VLOOKUP(I399,$C$3:$L$6,8,0)))*12+MONTH(B399)-MONTH(VLOOKUP(I399,$C$3:$L$6,8,0))))*(VLOOKUP(I399,$C$3:$L$6,10,0)*VLOOKUP(I399,$C$3:$L$6,6,0)/12),0))</f>
        <v/>
      </c>
      <c r="K399" s="29" t="str">
        <f ca="1">IF(C399&lt;&gt;"",IF(I399&lt;&gt;"",IF(ISERROR(VLOOKUP(I399,$C$3:$L$6,10,0)),"",VLOOKUP(I399,$C$3:$L$6,10,0)+J399+IF(OR(VLOOKUP(I399,$C$3:$L$6,5,0)=Variables!$B$5,B399&gt;VLOOKUP(I399,$C$3:$L$6,8,0)),IF(VLOOKUP(I399,$C$3:$L$6,5,0)=Variables!$B$5,((YEAR(B399)-YEAR($B$12))*12+MONTH(B399)-MONTH($B$12)),((YEAR(B399)-YEAR(VLOOKUP(I399,$C$3:$L$6,8,0)))*12+MONTH(B399)-MONTH(VLOOKUP(I399,$C$3:$L$6,8,0))))*VLOOKUP(I399,$C$3:$L$6,7,0),0)),""),"")</f>
        <v/>
      </c>
      <c r="L399" s="29" t="str">
        <f t="shared" ca="1" si="39"/>
        <v/>
      </c>
      <c r="M399" s="10"/>
      <c r="N399" s="10"/>
    </row>
    <row r="400" spans="1:14" x14ac:dyDescent="0.25">
      <c r="A400" s="10"/>
      <c r="B400" s="14" t="str">
        <f t="shared" ca="1" si="40"/>
        <v/>
      </c>
      <c r="C400" s="14" t="str">
        <f ca="1">IF(I399&lt;&gt;Variables!$B$1,IF(H399&lt;&gt;0,C399,I399),"")</f>
        <v/>
      </c>
      <c r="D400" s="29" t="str">
        <f t="shared" ca="1" si="37"/>
        <v/>
      </c>
      <c r="E400" s="29" t="str">
        <f t="shared" ca="1" si="38"/>
        <v/>
      </c>
      <c r="F400" s="29" t="str">
        <f ca="1">IF(C400&lt;&gt;"",IF(OR(VLOOKUP(C400,$C$3:$L$6,5,0)=Variables!$B$5,B400&gt;VLOOKUP(C400,$C$3:$L$6,8,0)),-D400*VLOOKUP(C400,$C$3:$L$6,6,0)/12,0),"")</f>
        <v/>
      </c>
      <c r="G400" s="29" t="str">
        <f ca="1">IF(I400&lt;&gt;Variables!$B$1,IF(C400&lt;&gt;"",$I$9-E400-F400,""),-D400)</f>
        <v/>
      </c>
      <c r="H400" s="29" t="str">
        <f t="shared" ca="1" si="41"/>
        <v/>
      </c>
      <c r="I400" s="31" t="str">
        <f ca="1">IF(C400&lt;&gt;"",IF(D400+$I$9-E400-F400&gt;=0,IF(ISERROR(INDEX($C$3:$C$6,MATCH(C400,$C$3:$C$6,0)+1,0)),Variables!$B$1,INDEX($C$3:$C$6,MATCH(C400,$C$3:$C$6,0)+1,0)),""),"")</f>
        <v/>
      </c>
      <c r="J400" s="29" t="str">
        <f ca="1">IF(ISERROR(VLOOKUP(I400,$C$3:$L$6,5,0)),"",IF(OR(VLOOKUP(I400,$C$3:$L$6,5,0)=Variables!$B$5,B400&gt;VLOOKUP(I400,$C$3:$L$6,8,0)),IF(VLOOKUP(I400,$C$3:$L$6,5,0)=Variables!$B$5,((YEAR(B400)-YEAR($B$12))*12+MONTH(B400)-MONTH($B$12)),((YEAR(B400)-YEAR(VLOOKUP(I400,$C$3:$L$6,8,0)))*12+MONTH(B400)-MONTH(VLOOKUP(I400,$C$3:$L$6,8,0))))*(VLOOKUP(I400,$C$3:$L$6,10,0)*VLOOKUP(I400,$C$3:$L$6,6,0)/12),0))</f>
        <v/>
      </c>
      <c r="K400" s="29" t="str">
        <f ca="1">IF(C400&lt;&gt;"",IF(I400&lt;&gt;"",IF(ISERROR(VLOOKUP(I400,$C$3:$L$6,10,0)),"",VLOOKUP(I400,$C$3:$L$6,10,0)+J400+IF(OR(VLOOKUP(I400,$C$3:$L$6,5,0)=Variables!$B$5,B400&gt;VLOOKUP(I400,$C$3:$L$6,8,0)),IF(VLOOKUP(I400,$C$3:$L$6,5,0)=Variables!$B$5,((YEAR(B400)-YEAR($B$12))*12+MONTH(B400)-MONTH($B$12)),((YEAR(B400)-YEAR(VLOOKUP(I400,$C$3:$L$6,8,0)))*12+MONTH(B400)-MONTH(VLOOKUP(I400,$C$3:$L$6,8,0))))*VLOOKUP(I400,$C$3:$L$6,7,0),0)),""),"")</f>
        <v/>
      </c>
      <c r="L400" s="29" t="str">
        <f t="shared" ca="1" si="39"/>
        <v/>
      </c>
      <c r="M400" s="10"/>
      <c r="N400" s="10"/>
    </row>
    <row r="401" spans="1:14" x14ac:dyDescent="0.25">
      <c r="A401" s="10"/>
      <c r="B401" s="14" t="str">
        <f t="shared" ca="1" si="40"/>
        <v/>
      </c>
      <c r="C401" s="14" t="str">
        <f ca="1">IF(I400&lt;&gt;Variables!$B$1,IF(H400&lt;&gt;0,C400,I400),"")</f>
        <v/>
      </c>
      <c r="D401" s="29" t="str">
        <f t="shared" ca="1" si="37"/>
        <v/>
      </c>
      <c r="E401" s="29" t="str">
        <f t="shared" ca="1" si="38"/>
        <v/>
      </c>
      <c r="F401" s="29" t="str">
        <f ca="1">IF(C401&lt;&gt;"",IF(OR(VLOOKUP(C401,$C$3:$L$6,5,0)=Variables!$B$5,B401&gt;VLOOKUP(C401,$C$3:$L$6,8,0)),-D401*VLOOKUP(C401,$C$3:$L$6,6,0)/12,0),"")</f>
        <v/>
      </c>
      <c r="G401" s="29" t="str">
        <f ca="1">IF(I401&lt;&gt;Variables!$B$1,IF(C401&lt;&gt;"",$I$9-E401-F401,""),-D401)</f>
        <v/>
      </c>
      <c r="H401" s="29" t="str">
        <f t="shared" ca="1" si="41"/>
        <v/>
      </c>
      <c r="I401" s="31" t="str">
        <f ca="1">IF(C401&lt;&gt;"",IF(D401+$I$9-E401-F401&gt;=0,IF(ISERROR(INDEX($C$3:$C$6,MATCH(C401,$C$3:$C$6,0)+1,0)),Variables!$B$1,INDEX($C$3:$C$6,MATCH(C401,$C$3:$C$6,0)+1,0)),""),"")</f>
        <v/>
      </c>
      <c r="J401" s="29" t="str">
        <f ca="1">IF(ISERROR(VLOOKUP(I401,$C$3:$L$6,5,0)),"",IF(OR(VLOOKUP(I401,$C$3:$L$6,5,0)=Variables!$B$5,B401&gt;VLOOKUP(I401,$C$3:$L$6,8,0)),IF(VLOOKUP(I401,$C$3:$L$6,5,0)=Variables!$B$5,((YEAR(B401)-YEAR($B$12))*12+MONTH(B401)-MONTH($B$12)),((YEAR(B401)-YEAR(VLOOKUP(I401,$C$3:$L$6,8,0)))*12+MONTH(B401)-MONTH(VLOOKUP(I401,$C$3:$L$6,8,0))))*(VLOOKUP(I401,$C$3:$L$6,10,0)*VLOOKUP(I401,$C$3:$L$6,6,0)/12),0))</f>
        <v/>
      </c>
      <c r="K401" s="29" t="str">
        <f ca="1">IF(C401&lt;&gt;"",IF(I401&lt;&gt;"",IF(ISERROR(VLOOKUP(I401,$C$3:$L$6,10,0)),"",VLOOKUP(I401,$C$3:$L$6,10,0)+J401+IF(OR(VLOOKUP(I401,$C$3:$L$6,5,0)=Variables!$B$5,B401&gt;VLOOKUP(I401,$C$3:$L$6,8,0)),IF(VLOOKUP(I401,$C$3:$L$6,5,0)=Variables!$B$5,((YEAR(B401)-YEAR($B$12))*12+MONTH(B401)-MONTH($B$12)),((YEAR(B401)-YEAR(VLOOKUP(I401,$C$3:$L$6,8,0)))*12+MONTH(B401)-MONTH(VLOOKUP(I401,$C$3:$L$6,8,0))))*VLOOKUP(I401,$C$3:$L$6,7,0),0)),""),"")</f>
        <v/>
      </c>
      <c r="L401" s="29" t="str">
        <f t="shared" ca="1" si="39"/>
        <v/>
      </c>
      <c r="M401" s="10"/>
      <c r="N401" s="10"/>
    </row>
    <row r="402" spans="1:14" x14ac:dyDescent="0.25">
      <c r="A402" s="10"/>
      <c r="B402" s="14" t="str">
        <f t="shared" ca="1" si="40"/>
        <v/>
      </c>
      <c r="C402" s="14" t="str">
        <f ca="1">IF(I401&lt;&gt;Variables!$B$1,IF(H401&lt;&gt;0,C401,I401),"")</f>
        <v/>
      </c>
      <c r="D402" s="29" t="str">
        <f t="shared" ca="1" si="37"/>
        <v/>
      </c>
      <c r="E402" s="29" t="str">
        <f t="shared" ca="1" si="38"/>
        <v/>
      </c>
      <c r="F402" s="29" t="str">
        <f ca="1">IF(C402&lt;&gt;"",IF(OR(VLOOKUP(C402,$C$3:$L$6,5,0)=Variables!$B$5,B402&gt;VLOOKUP(C402,$C$3:$L$6,8,0)),-D402*VLOOKUP(C402,$C$3:$L$6,6,0)/12,0),"")</f>
        <v/>
      </c>
      <c r="G402" s="29" t="str">
        <f ca="1">IF(I402&lt;&gt;Variables!$B$1,IF(C402&lt;&gt;"",$I$9-E402-F402,""),-D402)</f>
        <v/>
      </c>
      <c r="H402" s="29" t="str">
        <f t="shared" ca="1" si="41"/>
        <v/>
      </c>
      <c r="I402" s="31" t="str">
        <f ca="1">IF(C402&lt;&gt;"",IF(D402+$I$9-E402-F402&gt;=0,IF(ISERROR(INDEX($C$3:$C$6,MATCH(C402,$C$3:$C$6,0)+1,0)),Variables!$B$1,INDEX($C$3:$C$6,MATCH(C402,$C$3:$C$6,0)+1,0)),""),"")</f>
        <v/>
      </c>
      <c r="J402" s="29" t="str">
        <f ca="1">IF(ISERROR(VLOOKUP(I402,$C$3:$L$6,5,0)),"",IF(OR(VLOOKUP(I402,$C$3:$L$6,5,0)=Variables!$B$5,B402&gt;VLOOKUP(I402,$C$3:$L$6,8,0)),IF(VLOOKUP(I402,$C$3:$L$6,5,0)=Variables!$B$5,((YEAR(B402)-YEAR($B$12))*12+MONTH(B402)-MONTH($B$12)),((YEAR(B402)-YEAR(VLOOKUP(I402,$C$3:$L$6,8,0)))*12+MONTH(B402)-MONTH(VLOOKUP(I402,$C$3:$L$6,8,0))))*(VLOOKUP(I402,$C$3:$L$6,10,0)*VLOOKUP(I402,$C$3:$L$6,6,0)/12),0))</f>
        <v/>
      </c>
      <c r="K402" s="29" t="str">
        <f ca="1">IF(C402&lt;&gt;"",IF(I402&lt;&gt;"",IF(ISERROR(VLOOKUP(I402,$C$3:$L$6,10,0)),"",VLOOKUP(I402,$C$3:$L$6,10,0)+J402+IF(OR(VLOOKUP(I402,$C$3:$L$6,5,0)=Variables!$B$5,B402&gt;VLOOKUP(I402,$C$3:$L$6,8,0)),IF(VLOOKUP(I402,$C$3:$L$6,5,0)=Variables!$B$5,((YEAR(B402)-YEAR($B$12))*12+MONTH(B402)-MONTH($B$12)),((YEAR(B402)-YEAR(VLOOKUP(I402,$C$3:$L$6,8,0)))*12+MONTH(B402)-MONTH(VLOOKUP(I402,$C$3:$L$6,8,0))))*VLOOKUP(I402,$C$3:$L$6,7,0),0)),""),"")</f>
        <v/>
      </c>
      <c r="L402" s="29" t="str">
        <f t="shared" ca="1" si="39"/>
        <v/>
      </c>
      <c r="M402" s="10"/>
      <c r="N402" s="10"/>
    </row>
    <row r="403" spans="1:14" x14ac:dyDescent="0.25">
      <c r="A403" s="10"/>
      <c r="B403" s="14" t="str">
        <f t="shared" ca="1" si="40"/>
        <v/>
      </c>
      <c r="C403" s="14" t="str">
        <f ca="1">IF(I402&lt;&gt;Variables!$B$1,IF(H402&lt;&gt;0,C402,I402),"")</f>
        <v/>
      </c>
      <c r="D403" s="29" t="str">
        <f t="shared" ca="1" si="37"/>
        <v/>
      </c>
      <c r="E403" s="29" t="str">
        <f t="shared" ca="1" si="38"/>
        <v/>
      </c>
      <c r="F403" s="29" t="str">
        <f ca="1">IF(C403&lt;&gt;"",IF(OR(VLOOKUP(C403,$C$3:$L$6,5,0)=Variables!$B$5,B403&gt;VLOOKUP(C403,$C$3:$L$6,8,0)),-D403*VLOOKUP(C403,$C$3:$L$6,6,0)/12,0),"")</f>
        <v/>
      </c>
      <c r="G403" s="29" t="str">
        <f ca="1">IF(I403&lt;&gt;Variables!$B$1,IF(C403&lt;&gt;"",$I$9-E403-F403,""),-D403)</f>
        <v/>
      </c>
      <c r="H403" s="29" t="str">
        <f t="shared" ca="1" si="41"/>
        <v/>
      </c>
      <c r="I403" s="31" t="str">
        <f ca="1">IF(C403&lt;&gt;"",IF(D403+$I$9-E403-F403&gt;=0,IF(ISERROR(INDEX($C$3:$C$6,MATCH(C403,$C$3:$C$6,0)+1,0)),Variables!$B$1,INDEX($C$3:$C$6,MATCH(C403,$C$3:$C$6,0)+1,0)),""),"")</f>
        <v/>
      </c>
      <c r="J403" s="29" t="str">
        <f ca="1">IF(ISERROR(VLOOKUP(I403,$C$3:$L$6,5,0)),"",IF(OR(VLOOKUP(I403,$C$3:$L$6,5,0)=Variables!$B$5,B403&gt;VLOOKUP(I403,$C$3:$L$6,8,0)),IF(VLOOKUP(I403,$C$3:$L$6,5,0)=Variables!$B$5,((YEAR(B403)-YEAR($B$12))*12+MONTH(B403)-MONTH($B$12)),((YEAR(B403)-YEAR(VLOOKUP(I403,$C$3:$L$6,8,0)))*12+MONTH(B403)-MONTH(VLOOKUP(I403,$C$3:$L$6,8,0))))*(VLOOKUP(I403,$C$3:$L$6,10,0)*VLOOKUP(I403,$C$3:$L$6,6,0)/12),0))</f>
        <v/>
      </c>
      <c r="K403" s="29" t="str">
        <f ca="1">IF(C403&lt;&gt;"",IF(I403&lt;&gt;"",IF(ISERROR(VLOOKUP(I403,$C$3:$L$6,10,0)),"",VLOOKUP(I403,$C$3:$L$6,10,0)+J403+IF(OR(VLOOKUP(I403,$C$3:$L$6,5,0)=Variables!$B$5,B403&gt;VLOOKUP(I403,$C$3:$L$6,8,0)),IF(VLOOKUP(I403,$C$3:$L$6,5,0)=Variables!$B$5,((YEAR(B403)-YEAR($B$12))*12+MONTH(B403)-MONTH($B$12)),((YEAR(B403)-YEAR(VLOOKUP(I403,$C$3:$L$6,8,0)))*12+MONTH(B403)-MONTH(VLOOKUP(I403,$C$3:$L$6,8,0))))*VLOOKUP(I403,$C$3:$L$6,7,0),0)),""),"")</f>
        <v/>
      </c>
      <c r="L403" s="29" t="str">
        <f t="shared" ca="1" si="39"/>
        <v/>
      </c>
      <c r="M403" s="10"/>
      <c r="N403" s="10"/>
    </row>
    <row r="404" spans="1:14" x14ac:dyDescent="0.25">
      <c r="A404" s="10"/>
      <c r="B404" s="14" t="str">
        <f t="shared" ca="1" si="40"/>
        <v/>
      </c>
      <c r="C404" s="14" t="str">
        <f ca="1">IF(I403&lt;&gt;Variables!$B$1,IF(H403&lt;&gt;0,C403,I403),"")</f>
        <v/>
      </c>
      <c r="D404" s="29" t="str">
        <f t="shared" ca="1" si="37"/>
        <v/>
      </c>
      <c r="E404" s="29" t="str">
        <f t="shared" ca="1" si="38"/>
        <v/>
      </c>
      <c r="F404" s="29" t="str">
        <f ca="1">IF(C404&lt;&gt;"",IF(OR(VLOOKUP(C404,$C$3:$L$6,5,0)=Variables!$B$5,B404&gt;VLOOKUP(C404,$C$3:$L$6,8,0)),-D404*VLOOKUP(C404,$C$3:$L$6,6,0)/12,0),"")</f>
        <v/>
      </c>
      <c r="G404" s="29" t="str">
        <f ca="1">IF(I404&lt;&gt;Variables!$B$1,IF(C404&lt;&gt;"",$I$9-E404-F404,""),-D404)</f>
        <v/>
      </c>
      <c r="H404" s="29" t="str">
        <f t="shared" ca="1" si="41"/>
        <v/>
      </c>
      <c r="I404" s="31" t="str">
        <f ca="1">IF(C404&lt;&gt;"",IF(D404+$I$9-E404-F404&gt;=0,IF(ISERROR(INDEX($C$3:$C$6,MATCH(C404,$C$3:$C$6,0)+1,0)),Variables!$B$1,INDEX($C$3:$C$6,MATCH(C404,$C$3:$C$6,0)+1,0)),""),"")</f>
        <v/>
      </c>
      <c r="J404" s="29" t="str">
        <f ca="1">IF(ISERROR(VLOOKUP(I404,$C$3:$L$6,5,0)),"",IF(OR(VLOOKUP(I404,$C$3:$L$6,5,0)=Variables!$B$5,B404&gt;VLOOKUP(I404,$C$3:$L$6,8,0)),IF(VLOOKUP(I404,$C$3:$L$6,5,0)=Variables!$B$5,((YEAR(B404)-YEAR($B$12))*12+MONTH(B404)-MONTH($B$12)),((YEAR(B404)-YEAR(VLOOKUP(I404,$C$3:$L$6,8,0)))*12+MONTH(B404)-MONTH(VLOOKUP(I404,$C$3:$L$6,8,0))))*(VLOOKUP(I404,$C$3:$L$6,10,0)*VLOOKUP(I404,$C$3:$L$6,6,0)/12),0))</f>
        <v/>
      </c>
      <c r="K404" s="29" t="str">
        <f ca="1">IF(C404&lt;&gt;"",IF(I404&lt;&gt;"",IF(ISERROR(VLOOKUP(I404,$C$3:$L$6,10,0)),"",VLOOKUP(I404,$C$3:$L$6,10,0)+J404+IF(OR(VLOOKUP(I404,$C$3:$L$6,5,0)=Variables!$B$5,B404&gt;VLOOKUP(I404,$C$3:$L$6,8,0)),IF(VLOOKUP(I404,$C$3:$L$6,5,0)=Variables!$B$5,((YEAR(B404)-YEAR($B$12))*12+MONTH(B404)-MONTH($B$12)),((YEAR(B404)-YEAR(VLOOKUP(I404,$C$3:$L$6,8,0)))*12+MONTH(B404)-MONTH(VLOOKUP(I404,$C$3:$L$6,8,0))))*VLOOKUP(I404,$C$3:$L$6,7,0),0)),""),"")</f>
        <v/>
      </c>
      <c r="L404" s="29" t="str">
        <f t="shared" ca="1" si="39"/>
        <v/>
      </c>
      <c r="M404" s="10"/>
      <c r="N404" s="10"/>
    </row>
    <row r="405" spans="1:14" x14ac:dyDescent="0.25">
      <c r="A405" s="10"/>
      <c r="B405" s="14" t="str">
        <f t="shared" ca="1" si="40"/>
        <v/>
      </c>
      <c r="C405" s="14" t="str">
        <f ca="1">IF(I404&lt;&gt;Variables!$B$1,IF(H404&lt;&gt;0,C404,I404),"")</f>
        <v/>
      </c>
      <c r="D405" s="29" t="str">
        <f t="shared" ca="1" si="37"/>
        <v/>
      </c>
      <c r="E405" s="29" t="str">
        <f t="shared" ca="1" si="38"/>
        <v/>
      </c>
      <c r="F405" s="29" t="str">
        <f ca="1">IF(C405&lt;&gt;"",IF(OR(VLOOKUP(C405,$C$3:$L$6,5,0)=Variables!$B$5,B405&gt;VLOOKUP(C405,$C$3:$L$6,8,0)),-D405*VLOOKUP(C405,$C$3:$L$6,6,0)/12,0),"")</f>
        <v/>
      </c>
      <c r="G405" s="29" t="str">
        <f ca="1">IF(I405&lt;&gt;Variables!$B$1,IF(C405&lt;&gt;"",$I$9-E405-F405,""),-D405)</f>
        <v/>
      </c>
      <c r="H405" s="29" t="str">
        <f t="shared" ca="1" si="41"/>
        <v/>
      </c>
      <c r="I405" s="31" t="str">
        <f ca="1">IF(C405&lt;&gt;"",IF(D405+$I$9-E405-F405&gt;=0,IF(ISERROR(INDEX($C$3:$C$6,MATCH(C405,$C$3:$C$6,0)+1,0)),Variables!$B$1,INDEX($C$3:$C$6,MATCH(C405,$C$3:$C$6,0)+1,0)),""),"")</f>
        <v/>
      </c>
      <c r="J405" s="29" t="str">
        <f ca="1">IF(ISERROR(VLOOKUP(I405,$C$3:$L$6,5,0)),"",IF(OR(VLOOKUP(I405,$C$3:$L$6,5,0)=Variables!$B$5,B405&gt;VLOOKUP(I405,$C$3:$L$6,8,0)),IF(VLOOKUP(I405,$C$3:$L$6,5,0)=Variables!$B$5,((YEAR(B405)-YEAR($B$12))*12+MONTH(B405)-MONTH($B$12)),((YEAR(B405)-YEAR(VLOOKUP(I405,$C$3:$L$6,8,0)))*12+MONTH(B405)-MONTH(VLOOKUP(I405,$C$3:$L$6,8,0))))*(VLOOKUP(I405,$C$3:$L$6,10,0)*VLOOKUP(I405,$C$3:$L$6,6,0)/12),0))</f>
        <v/>
      </c>
      <c r="K405" s="29" t="str">
        <f ca="1">IF(C405&lt;&gt;"",IF(I405&lt;&gt;"",IF(ISERROR(VLOOKUP(I405,$C$3:$L$6,10,0)),"",VLOOKUP(I405,$C$3:$L$6,10,0)+J405+IF(OR(VLOOKUP(I405,$C$3:$L$6,5,0)=Variables!$B$5,B405&gt;VLOOKUP(I405,$C$3:$L$6,8,0)),IF(VLOOKUP(I405,$C$3:$L$6,5,0)=Variables!$B$5,((YEAR(B405)-YEAR($B$12))*12+MONTH(B405)-MONTH($B$12)),((YEAR(B405)-YEAR(VLOOKUP(I405,$C$3:$L$6,8,0)))*12+MONTH(B405)-MONTH(VLOOKUP(I405,$C$3:$L$6,8,0))))*VLOOKUP(I405,$C$3:$L$6,7,0),0)),""),"")</f>
        <v/>
      </c>
      <c r="L405" s="29" t="str">
        <f t="shared" ca="1" si="39"/>
        <v/>
      </c>
      <c r="M405" s="10"/>
      <c r="N405" s="10"/>
    </row>
    <row r="406" spans="1:14" x14ac:dyDescent="0.25">
      <c r="A406" s="10"/>
      <c r="B406" s="14" t="str">
        <f t="shared" ca="1" si="40"/>
        <v/>
      </c>
      <c r="C406" s="14" t="str">
        <f ca="1">IF(I405&lt;&gt;Variables!$B$1,IF(H405&lt;&gt;0,C405,I405),"")</f>
        <v/>
      </c>
      <c r="D406" s="29" t="str">
        <f t="shared" ca="1" si="37"/>
        <v/>
      </c>
      <c r="E406" s="29" t="str">
        <f t="shared" ca="1" si="38"/>
        <v/>
      </c>
      <c r="F406" s="29" t="str">
        <f ca="1">IF(C406&lt;&gt;"",IF(OR(VLOOKUP(C406,$C$3:$L$6,5,0)=Variables!$B$5,B406&gt;VLOOKUP(C406,$C$3:$L$6,8,0)),-D406*VLOOKUP(C406,$C$3:$L$6,6,0)/12,0),"")</f>
        <v/>
      </c>
      <c r="G406" s="29" t="str">
        <f ca="1">IF(I406&lt;&gt;Variables!$B$1,IF(C406&lt;&gt;"",$I$9-E406-F406,""),-D406)</f>
        <v/>
      </c>
      <c r="H406" s="29" t="str">
        <f t="shared" ca="1" si="41"/>
        <v/>
      </c>
      <c r="I406" s="31" t="str">
        <f ca="1">IF(C406&lt;&gt;"",IF(D406+$I$9-E406-F406&gt;=0,IF(ISERROR(INDEX($C$3:$C$6,MATCH(C406,$C$3:$C$6,0)+1,0)),Variables!$B$1,INDEX($C$3:$C$6,MATCH(C406,$C$3:$C$6,0)+1,0)),""),"")</f>
        <v/>
      </c>
      <c r="J406" s="29" t="str">
        <f ca="1">IF(ISERROR(VLOOKUP(I406,$C$3:$L$6,5,0)),"",IF(OR(VLOOKUP(I406,$C$3:$L$6,5,0)=Variables!$B$5,B406&gt;VLOOKUP(I406,$C$3:$L$6,8,0)),IF(VLOOKUP(I406,$C$3:$L$6,5,0)=Variables!$B$5,((YEAR(B406)-YEAR($B$12))*12+MONTH(B406)-MONTH($B$12)),((YEAR(B406)-YEAR(VLOOKUP(I406,$C$3:$L$6,8,0)))*12+MONTH(B406)-MONTH(VLOOKUP(I406,$C$3:$L$6,8,0))))*(VLOOKUP(I406,$C$3:$L$6,10,0)*VLOOKUP(I406,$C$3:$L$6,6,0)/12),0))</f>
        <v/>
      </c>
      <c r="K406" s="29" t="str">
        <f ca="1">IF(C406&lt;&gt;"",IF(I406&lt;&gt;"",IF(ISERROR(VLOOKUP(I406,$C$3:$L$6,10,0)),"",VLOOKUP(I406,$C$3:$L$6,10,0)+J406+IF(OR(VLOOKUP(I406,$C$3:$L$6,5,0)=Variables!$B$5,B406&gt;VLOOKUP(I406,$C$3:$L$6,8,0)),IF(VLOOKUP(I406,$C$3:$L$6,5,0)=Variables!$B$5,((YEAR(B406)-YEAR($B$12))*12+MONTH(B406)-MONTH($B$12)),((YEAR(B406)-YEAR(VLOOKUP(I406,$C$3:$L$6,8,0)))*12+MONTH(B406)-MONTH(VLOOKUP(I406,$C$3:$L$6,8,0))))*VLOOKUP(I406,$C$3:$L$6,7,0),0)),""),"")</f>
        <v/>
      </c>
      <c r="L406" s="29" t="str">
        <f t="shared" ca="1" si="39"/>
        <v/>
      </c>
      <c r="M406" s="10"/>
      <c r="N406" s="10"/>
    </row>
    <row r="407" spans="1:14" x14ac:dyDescent="0.25">
      <c r="A407" s="10"/>
      <c r="B407" s="14" t="str">
        <f t="shared" ca="1" si="40"/>
        <v/>
      </c>
      <c r="C407" s="14" t="str">
        <f ca="1">IF(I406&lt;&gt;Variables!$B$1,IF(H406&lt;&gt;0,C406,I406),"")</f>
        <v/>
      </c>
      <c r="D407" s="29" t="str">
        <f t="shared" ca="1" si="37"/>
        <v/>
      </c>
      <c r="E407" s="29" t="str">
        <f t="shared" ca="1" si="38"/>
        <v/>
      </c>
      <c r="F407" s="29" t="str">
        <f ca="1">IF(C407&lt;&gt;"",IF(OR(VLOOKUP(C407,$C$3:$L$6,5,0)=Variables!$B$5,B407&gt;VLOOKUP(C407,$C$3:$L$6,8,0)),-D407*VLOOKUP(C407,$C$3:$L$6,6,0)/12,0),"")</f>
        <v/>
      </c>
      <c r="G407" s="29" t="str">
        <f ca="1">IF(I407&lt;&gt;Variables!$B$1,IF(C407&lt;&gt;"",$I$9-E407-F407,""),-D407)</f>
        <v/>
      </c>
      <c r="H407" s="29" t="str">
        <f t="shared" ca="1" si="41"/>
        <v/>
      </c>
      <c r="I407" s="31" t="str">
        <f ca="1">IF(C407&lt;&gt;"",IF(D407+$I$9-E407-F407&gt;=0,IF(ISERROR(INDEX($C$3:$C$6,MATCH(C407,$C$3:$C$6,0)+1,0)),Variables!$B$1,INDEX($C$3:$C$6,MATCH(C407,$C$3:$C$6,0)+1,0)),""),"")</f>
        <v/>
      </c>
      <c r="J407" s="29" t="str">
        <f ca="1">IF(ISERROR(VLOOKUP(I407,$C$3:$L$6,5,0)),"",IF(OR(VLOOKUP(I407,$C$3:$L$6,5,0)=Variables!$B$5,B407&gt;VLOOKUP(I407,$C$3:$L$6,8,0)),IF(VLOOKUP(I407,$C$3:$L$6,5,0)=Variables!$B$5,((YEAR(B407)-YEAR($B$12))*12+MONTH(B407)-MONTH($B$12)),((YEAR(B407)-YEAR(VLOOKUP(I407,$C$3:$L$6,8,0)))*12+MONTH(B407)-MONTH(VLOOKUP(I407,$C$3:$L$6,8,0))))*(VLOOKUP(I407,$C$3:$L$6,10,0)*VLOOKUP(I407,$C$3:$L$6,6,0)/12),0))</f>
        <v/>
      </c>
      <c r="K407" s="29" t="str">
        <f ca="1">IF(C407&lt;&gt;"",IF(I407&lt;&gt;"",IF(ISERROR(VLOOKUP(I407,$C$3:$L$6,10,0)),"",VLOOKUP(I407,$C$3:$L$6,10,0)+J407+IF(OR(VLOOKUP(I407,$C$3:$L$6,5,0)=Variables!$B$5,B407&gt;VLOOKUP(I407,$C$3:$L$6,8,0)),IF(VLOOKUP(I407,$C$3:$L$6,5,0)=Variables!$B$5,((YEAR(B407)-YEAR($B$12))*12+MONTH(B407)-MONTH($B$12)),((YEAR(B407)-YEAR(VLOOKUP(I407,$C$3:$L$6,8,0)))*12+MONTH(B407)-MONTH(VLOOKUP(I407,$C$3:$L$6,8,0))))*VLOOKUP(I407,$C$3:$L$6,7,0),0)),""),"")</f>
        <v/>
      </c>
      <c r="L407" s="29" t="str">
        <f t="shared" ca="1" si="39"/>
        <v/>
      </c>
      <c r="M407" s="10"/>
      <c r="N407" s="10"/>
    </row>
    <row r="408" spans="1:14" x14ac:dyDescent="0.25">
      <c r="A408" s="10"/>
      <c r="B408" s="14" t="str">
        <f t="shared" ca="1" si="40"/>
        <v/>
      </c>
      <c r="C408" s="14" t="str">
        <f ca="1">IF(I407&lt;&gt;Variables!$B$1,IF(H407&lt;&gt;0,C407,I407),"")</f>
        <v/>
      </c>
      <c r="D408" s="29" t="str">
        <f t="shared" ca="1" si="37"/>
        <v/>
      </c>
      <c r="E408" s="29" t="str">
        <f t="shared" ca="1" si="38"/>
        <v/>
      </c>
      <c r="F408" s="29" t="str">
        <f ca="1">IF(C408&lt;&gt;"",IF(OR(VLOOKUP(C408,$C$3:$L$6,5,0)=Variables!$B$5,B408&gt;VLOOKUP(C408,$C$3:$L$6,8,0)),-D408*VLOOKUP(C408,$C$3:$L$6,6,0)/12,0),"")</f>
        <v/>
      </c>
      <c r="G408" s="29" t="str">
        <f ca="1">IF(I408&lt;&gt;Variables!$B$1,IF(C408&lt;&gt;"",$I$9-E408-F408,""),-D408)</f>
        <v/>
      </c>
      <c r="H408" s="29" t="str">
        <f t="shared" ca="1" si="41"/>
        <v/>
      </c>
      <c r="I408" s="31" t="str">
        <f ca="1">IF(C408&lt;&gt;"",IF(D408+$I$9-E408-F408&gt;=0,IF(ISERROR(INDEX($C$3:$C$6,MATCH(C408,$C$3:$C$6,0)+1,0)),Variables!$B$1,INDEX($C$3:$C$6,MATCH(C408,$C$3:$C$6,0)+1,0)),""),"")</f>
        <v/>
      </c>
      <c r="J408" s="29" t="str">
        <f ca="1">IF(ISERROR(VLOOKUP(I408,$C$3:$L$6,5,0)),"",IF(OR(VLOOKUP(I408,$C$3:$L$6,5,0)=Variables!$B$5,B408&gt;VLOOKUP(I408,$C$3:$L$6,8,0)),IF(VLOOKUP(I408,$C$3:$L$6,5,0)=Variables!$B$5,((YEAR(B408)-YEAR($B$12))*12+MONTH(B408)-MONTH($B$12)),((YEAR(B408)-YEAR(VLOOKUP(I408,$C$3:$L$6,8,0)))*12+MONTH(B408)-MONTH(VLOOKUP(I408,$C$3:$L$6,8,0))))*(VLOOKUP(I408,$C$3:$L$6,10,0)*VLOOKUP(I408,$C$3:$L$6,6,0)/12),0))</f>
        <v/>
      </c>
      <c r="K408" s="29" t="str">
        <f ca="1">IF(C408&lt;&gt;"",IF(I408&lt;&gt;"",IF(ISERROR(VLOOKUP(I408,$C$3:$L$6,10,0)),"",VLOOKUP(I408,$C$3:$L$6,10,0)+J408+IF(OR(VLOOKUP(I408,$C$3:$L$6,5,0)=Variables!$B$5,B408&gt;VLOOKUP(I408,$C$3:$L$6,8,0)),IF(VLOOKUP(I408,$C$3:$L$6,5,0)=Variables!$B$5,((YEAR(B408)-YEAR($B$12))*12+MONTH(B408)-MONTH($B$12)),((YEAR(B408)-YEAR(VLOOKUP(I408,$C$3:$L$6,8,0)))*12+MONTH(B408)-MONTH(VLOOKUP(I408,$C$3:$L$6,8,0))))*VLOOKUP(I408,$C$3:$L$6,7,0),0)),""),"")</f>
        <v/>
      </c>
      <c r="L408" s="29" t="str">
        <f t="shared" ca="1" si="39"/>
        <v/>
      </c>
      <c r="M408" s="10"/>
      <c r="N408" s="10"/>
    </row>
    <row r="409" spans="1:14" x14ac:dyDescent="0.25">
      <c r="A409" s="10"/>
      <c r="B409" s="14" t="str">
        <f t="shared" ca="1" si="40"/>
        <v/>
      </c>
      <c r="C409" s="14" t="str">
        <f ca="1">IF(I408&lt;&gt;Variables!$B$1,IF(H408&lt;&gt;0,C408,I408),"")</f>
        <v/>
      </c>
      <c r="D409" s="29" t="str">
        <f t="shared" ca="1" si="37"/>
        <v/>
      </c>
      <c r="E409" s="29" t="str">
        <f t="shared" ca="1" si="38"/>
        <v/>
      </c>
      <c r="F409" s="29" t="str">
        <f ca="1">IF(C409&lt;&gt;"",IF(OR(VLOOKUP(C409,$C$3:$L$6,5,0)=Variables!$B$5,B409&gt;VLOOKUP(C409,$C$3:$L$6,8,0)),-D409*VLOOKUP(C409,$C$3:$L$6,6,0)/12,0),"")</f>
        <v/>
      </c>
      <c r="G409" s="29" t="str">
        <f ca="1">IF(I409&lt;&gt;Variables!$B$1,IF(C409&lt;&gt;"",$I$9-E409-F409,""),-D409)</f>
        <v/>
      </c>
      <c r="H409" s="29" t="str">
        <f t="shared" ca="1" si="41"/>
        <v/>
      </c>
      <c r="I409" s="31" t="str">
        <f ca="1">IF(C409&lt;&gt;"",IF(D409+$I$9-E409-F409&gt;=0,IF(ISERROR(INDEX($C$3:$C$6,MATCH(C409,$C$3:$C$6,0)+1,0)),Variables!$B$1,INDEX($C$3:$C$6,MATCH(C409,$C$3:$C$6,0)+1,0)),""),"")</f>
        <v/>
      </c>
      <c r="J409" s="29" t="str">
        <f ca="1">IF(ISERROR(VLOOKUP(I409,$C$3:$L$6,5,0)),"",IF(OR(VLOOKUP(I409,$C$3:$L$6,5,0)=Variables!$B$5,B409&gt;VLOOKUP(I409,$C$3:$L$6,8,0)),IF(VLOOKUP(I409,$C$3:$L$6,5,0)=Variables!$B$5,((YEAR(B409)-YEAR($B$12))*12+MONTH(B409)-MONTH($B$12)),((YEAR(B409)-YEAR(VLOOKUP(I409,$C$3:$L$6,8,0)))*12+MONTH(B409)-MONTH(VLOOKUP(I409,$C$3:$L$6,8,0))))*(VLOOKUP(I409,$C$3:$L$6,10,0)*VLOOKUP(I409,$C$3:$L$6,6,0)/12),0))</f>
        <v/>
      </c>
      <c r="K409" s="29" t="str">
        <f ca="1">IF(C409&lt;&gt;"",IF(I409&lt;&gt;"",IF(ISERROR(VLOOKUP(I409,$C$3:$L$6,10,0)),"",VLOOKUP(I409,$C$3:$L$6,10,0)+J409+IF(OR(VLOOKUP(I409,$C$3:$L$6,5,0)=Variables!$B$5,B409&gt;VLOOKUP(I409,$C$3:$L$6,8,0)),IF(VLOOKUP(I409,$C$3:$L$6,5,0)=Variables!$B$5,((YEAR(B409)-YEAR($B$12))*12+MONTH(B409)-MONTH($B$12)),((YEAR(B409)-YEAR(VLOOKUP(I409,$C$3:$L$6,8,0)))*12+MONTH(B409)-MONTH(VLOOKUP(I409,$C$3:$L$6,8,0))))*VLOOKUP(I409,$C$3:$L$6,7,0),0)),""),"")</f>
        <v/>
      </c>
      <c r="L409" s="29" t="str">
        <f t="shared" ca="1" si="39"/>
        <v/>
      </c>
      <c r="M409" s="10"/>
      <c r="N409" s="10"/>
    </row>
    <row r="410" spans="1:14" x14ac:dyDescent="0.25">
      <c r="A410" s="10"/>
      <c r="B410" s="14" t="str">
        <f t="shared" ca="1" si="40"/>
        <v/>
      </c>
      <c r="C410" s="14" t="str">
        <f ca="1">IF(I409&lt;&gt;Variables!$B$1,IF(H409&lt;&gt;0,C409,I409),"")</f>
        <v/>
      </c>
      <c r="D410" s="29" t="str">
        <f t="shared" ca="1" si="37"/>
        <v/>
      </c>
      <c r="E410" s="29" t="str">
        <f t="shared" ca="1" si="38"/>
        <v/>
      </c>
      <c r="F410" s="29" t="str">
        <f ca="1">IF(C410&lt;&gt;"",IF(OR(VLOOKUP(C410,$C$3:$L$6,5,0)=Variables!$B$5,B410&gt;VLOOKUP(C410,$C$3:$L$6,8,0)),-D410*VLOOKUP(C410,$C$3:$L$6,6,0)/12,0),"")</f>
        <v/>
      </c>
      <c r="G410" s="29" t="str">
        <f ca="1">IF(I410&lt;&gt;Variables!$B$1,IF(C410&lt;&gt;"",$I$9-E410-F410,""),-D410)</f>
        <v/>
      </c>
      <c r="H410" s="29" t="str">
        <f t="shared" ca="1" si="41"/>
        <v/>
      </c>
      <c r="I410" s="31" t="str">
        <f ca="1">IF(C410&lt;&gt;"",IF(D410+$I$9-E410-F410&gt;=0,IF(ISERROR(INDEX($C$3:$C$6,MATCH(C410,$C$3:$C$6,0)+1,0)),Variables!$B$1,INDEX($C$3:$C$6,MATCH(C410,$C$3:$C$6,0)+1,0)),""),"")</f>
        <v/>
      </c>
      <c r="J410" s="29" t="str">
        <f ca="1">IF(ISERROR(VLOOKUP(I410,$C$3:$L$6,5,0)),"",IF(OR(VLOOKUP(I410,$C$3:$L$6,5,0)=Variables!$B$5,B410&gt;VLOOKUP(I410,$C$3:$L$6,8,0)),IF(VLOOKUP(I410,$C$3:$L$6,5,0)=Variables!$B$5,((YEAR(B410)-YEAR($B$12))*12+MONTH(B410)-MONTH($B$12)),((YEAR(B410)-YEAR(VLOOKUP(I410,$C$3:$L$6,8,0)))*12+MONTH(B410)-MONTH(VLOOKUP(I410,$C$3:$L$6,8,0))))*(VLOOKUP(I410,$C$3:$L$6,10,0)*VLOOKUP(I410,$C$3:$L$6,6,0)/12),0))</f>
        <v/>
      </c>
      <c r="K410" s="29" t="str">
        <f ca="1">IF(C410&lt;&gt;"",IF(I410&lt;&gt;"",IF(ISERROR(VLOOKUP(I410,$C$3:$L$6,10,0)),"",VLOOKUP(I410,$C$3:$L$6,10,0)+J410+IF(OR(VLOOKUP(I410,$C$3:$L$6,5,0)=Variables!$B$5,B410&gt;VLOOKUP(I410,$C$3:$L$6,8,0)),IF(VLOOKUP(I410,$C$3:$L$6,5,0)=Variables!$B$5,((YEAR(B410)-YEAR($B$12))*12+MONTH(B410)-MONTH($B$12)),((YEAR(B410)-YEAR(VLOOKUP(I410,$C$3:$L$6,8,0)))*12+MONTH(B410)-MONTH(VLOOKUP(I410,$C$3:$L$6,8,0))))*VLOOKUP(I410,$C$3:$L$6,7,0),0)),""),"")</f>
        <v/>
      </c>
      <c r="L410" s="29" t="str">
        <f t="shared" ca="1" si="39"/>
        <v/>
      </c>
      <c r="M410" s="10"/>
      <c r="N410" s="10"/>
    </row>
    <row r="411" spans="1:14" x14ac:dyDescent="0.25">
      <c r="A411" s="10"/>
      <c r="B411" s="14" t="str">
        <f t="shared" ca="1" si="40"/>
        <v/>
      </c>
      <c r="C411" s="14" t="str">
        <f ca="1">IF(I410&lt;&gt;Variables!$B$1,IF(H410&lt;&gt;0,C410,I410),"")</f>
        <v/>
      </c>
      <c r="D411" s="29" t="str">
        <f t="shared" ca="1" si="37"/>
        <v/>
      </c>
      <c r="E411" s="29" t="str">
        <f t="shared" ca="1" si="38"/>
        <v/>
      </c>
      <c r="F411" s="29" t="str">
        <f ca="1">IF(C411&lt;&gt;"",IF(OR(VLOOKUP(C411,$C$3:$L$6,5,0)=Variables!$B$5,B411&gt;VLOOKUP(C411,$C$3:$L$6,8,0)),-D411*VLOOKUP(C411,$C$3:$L$6,6,0)/12,0),"")</f>
        <v/>
      </c>
      <c r="G411" s="29" t="str">
        <f ca="1">IF(I411&lt;&gt;Variables!$B$1,IF(C411&lt;&gt;"",$I$9-E411-F411,""),-D411)</f>
        <v/>
      </c>
      <c r="H411" s="29" t="str">
        <f t="shared" ca="1" si="41"/>
        <v/>
      </c>
      <c r="I411" s="31" t="str">
        <f ca="1">IF(C411&lt;&gt;"",IF(D411+$I$9-E411-F411&gt;=0,IF(ISERROR(INDEX($C$3:$C$6,MATCH(C411,$C$3:$C$6,0)+1,0)),Variables!$B$1,INDEX($C$3:$C$6,MATCH(C411,$C$3:$C$6,0)+1,0)),""),"")</f>
        <v/>
      </c>
      <c r="J411" s="29" t="str">
        <f ca="1">IF(ISERROR(VLOOKUP(I411,$C$3:$L$6,5,0)),"",IF(OR(VLOOKUP(I411,$C$3:$L$6,5,0)=Variables!$B$5,B411&gt;VLOOKUP(I411,$C$3:$L$6,8,0)),IF(VLOOKUP(I411,$C$3:$L$6,5,0)=Variables!$B$5,((YEAR(B411)-YEAR($B$12))*12+MONTH(B411)-MONTH($B$12)),((YEAR(B411)-YEAR(VLOOKUP(I411,$C$3:$L$6,8,0)))*12+MONTH(B411)-MONTH(VLOOKUP(I411,$C$3:$L$6,8,0))))*(VLOOKUP(I411,$C$3:$L$6,10,0)*VLOOKUP(I411,$C$3:$L$6,6,0)/12),0))</f>
        <v/>
      </c>
      <c r="K411" s="29" t="str">
        <f ca="1">IF(C411&lt;&gt;"",IF(I411&lt;&gt;"",IF(ISERROR(VLOOKUP(I411,$C$3:$L$6,10,0)),"",VLOOKUP(I411,$C$3:$L$6,10,0)+J411+IF(OR(VLOOKUP(I411,$C$3:$L$6,5,0)=Variables!$B$5,B411&gt;VLOOKUP(I411,$C$3:$L$6,8,0)),IF(VLOOKUP(I411,$C$3:$L$6,5,0)=Variables!$B$5,((YEAR(B411)-YEAR($B$12))*12+MONTH(B411)-MONTH($B$12)),((YEAR(B411)-YEAR(VLOOKUP(I411,$C$3:$L$6,8,0)))*12+MONTH(B411)-MONTH(VLOOKUP(I411,$C$3:$L$6,8,0))))*VLOOKUP(I411,$C$3:$L$6,7,0),0)),""),"")</f>
        <v/>
      </c>
      <c r="L411" s="29" t="str">
        <f t="shared" ca="1" si="39"/>
        <v/>
      </c>
      <c r="M411" s="10"/>
      <c r="N411" s="10"/>
    </row>
    <row r="412" spans="1:14" x14ac:dyDescent="0.25">
      <c r="A412" s="10"/>
      <c r="B412" s="14" t="str">
        <f t="shared" ca="1" si="40"/>
        <v/>
      </c>
      <c r="C412" s="14" t="str">
        <f ca="1">IF(I411&lt;&gt;Variables!$B$1,IF(H411&lt;&gt;0,C411,I411),"")</f>
        <v/>
      </c>
      <c r="D412" s="29" t="str">
        <f t="shared" ref="D412:D475" ca="1" si="42">IF(C412&lt;&gt;"",IF(H411&lt;&gt;0,H411,L411),"")</f>
        <v/>
      </c>
      <c r="E412" s="29" t="str">
        <f t="shared" ref="E412:E475" ca="1" si="43">IF(C412&lt;&gt;"",MINPAYMENT(C412,ROW(B412),COLUMN(B412)),"")</f>
        <v/>
      </c>
      <c r="F412" s="29" t="str">
        <f ca="1">IF(C412&lt;&gt;"",IF(OR(VLOOKUP(C412,$C$3:$L$6,5,0)=Variables!$B$5,B412&gt;VLOOKUP(C412,$C$3:$L$6,8,0)),-D412*VLOOKUP(C412,$C$3:$L$6,6,0)/12,0),"")</f>
        <v/>
      </c>
      <c r="G412" s="29" t="str">
        <f ca="1">IF(I412&lt;&gt;Variables!$B$1,IF(C412&lt;&gt;"",$I$9-E412-F412,""),-D412)</f>
        <v/>
      </c>
      <c r="H412" s="29" t="str">
        <f t="shared" ca="1" si="41"/>
        <v/>
      </c>
      <c r="I412" s="31" t="str">
        <f ca="1">IF(C412&lt;&gt;"",IF(D412+$I$9-E412-F412&gt;=0,IF(ISERROR(INDEX($C$3:$C$6,MATCH(C412,$C$3:$C$6,0)+1,0)),Variables!$B$1,INDEX($C$3:$C$6,MATCH(C412,$C$3:$C$6,0)+1,0)),""),"")</f>
        <v/>
      </c>
      <c r="J412" s="29" t="str">
        <f ca="1">IF(ISERROR(VLOOKUP(I412,$C$3:$L$6,5,0)),"",IF(OR(VLOOKUP(I412,$C$3:$L$6,5,0)=Variables!$B$5,B412&gt;VLOOKUP(I412,$C$3:$L$6,8,0)),IF(VLOOKUP(I412,$C$3:$L$6,5,0)=Variables!$B$5,((YEAR(B412)-YEAR($B$12))*12+MONTH(B412)-MONTH($B$12)),((YEAR(B412)-YEAR(VLOOKUP(I412,$C$3:$L$6,8,0)))*12+MONTH(B412)-MONTH(VLOOKUP(I412,$C$3:$L$6,8,0))))*(VLOOKUP(I412,$C$3:$L$6,10,0)*VLOOKUP(I412,$C$3:$L$6,6,0)/12),0))</f>
        <v/>
      </c>
      <c r="K412" s="29" t="str">
        <f ca="1">IF(C412&lt;&gt;"",IF(I412&lt;&gt;"",IF(ISERROR(VLOOKUP(I412,$C$3:$L$6,10,0)),"",VLOOKUP(I412,$C$3:$L$6,10,0)+J412+IF(OR(VLOOKUP(I412,$C$3:$L$6,5,0)=Variables!$B$5,B412&gt;VLOOKUP(I412,$C$3:$L$6,8,0)),IF(VLOOKUP(I412,$C$3:$L$6,5,0)=Variables!$B$5,((YEAR(B412)-YEAR($B$12))*12+MONTH(B412)-MONTH($B$12)),((YEAR(B412)-YEAR(VLOOKUP(I412,$C$3:$L$6,8,0)))*12+MONTH(B412)-MONTH(VLOOKUP(I412,$C$3:$L$6,8,0))))*VLOOKUP(I412,$C$3:$L$6,7,0),0)),""),"")</f>
        <v/>
      </c>
      <c r="L412" s="29" t="str">
        <f t="shared" ref="L412:L475" ca="1" si="44">IF(C412&lt;&gt;"",IF(ISERROR(IF(D412+G412&gt;=0,K412+D412+G412,"")),"",IF(D412+G412&gt;=0,K412+D412+G412,"")),"")</f>
        <v/>
      </c>
      <c r="M412" s="10"/>
      <c r="N412" s="10"/>
    </row>
    <row r="413" spans="1:14" x14ac:dyDescent="0.25">
      <c r="A413" s="10"/>
      <c r="B413" s="14" t="str">
        <f t="shared" ref="B413:B476" ca="1" si="45">IF(C413&lt;&gt;"",DATE(YEAR(B412),MONTH(B412)+1,DAY(B412)),"")</f>
        <v/>
      </c>
      <c r="C413" s="14" t="str">
        <f ca="1">IF(I412&lt;&gt;Variables!$B$1,IF(H412&lt;&gt;0,C412,I412),"")</f>
        <v/>
      </c>
      <c r="D413" s="29" t="str">
        <f t="shared" ca="1" si="42"/>
        <v/>
      </c>
      <c r="E413" s="29" t="str">
        <f t="shared" ca="1" si="43"/>
        <v/>
      </c>
      <c r="F413" s="29" t="str">
        <f ca="1">IF(C413&lt;&gt;"",IF(OR(VLOOKUP(C413,$C$3:$L$6,5,0)=Variables!$B$5,B413&gt;VLOOKUP(C413,$C$3:$L$6,8,0)),-D413*VLOOKUP(C413,$C$3:$L$6,6,0)/12,0),"")</f>
        <v/>
      </c>
      <c r="G413" s="29" t="str">
        <f ca="1">IF(I413&lt;&gt;Variables!$B$1,IF(C413&lt;&gt;"",$I$9-E413-F413,""),-D413)</f>
        <v/>
      </c>
      <c r="H413" s="29" t="str">
        <f t="shared" ref="H413:H476" ca="1" si="46">IF(C413&lt;&gt;"",IF(D413+G413&lt;0,D413+G413,0),"")</f>
        <v/>
      </c>
      <c r="I413" s="31" t="str">
        <f ca="1">IF(C413&lt;&gt;"",IF(D413+$I$9-E413-F413&gt;=0,IF(ISERROR(INDEX($C$3:$C$6,MATCH(C413,$C$3:$C$6,0)+1,0)),Variables!$B$1,INDEX($C$3:$C$6,MATCH(C413,$C$3:$C$6,0)+1,0)),""),"")</f>
        <v/>
      </c>
      <c r="J413" s="29" t="str">
        <f ca="1">IF(ISERROR(VLOOKUP(I413,$C$3:$L$6,5,0)),"",IF(OR(VLOOKUP(I413,$C$3:$L$6,5,0)=Variables!$B$5,B413&gt;VLOOKUP(I413,$C$3:$L$6,8,0)),IF(VLOOKUP(I413,$C$3:$L$6,5,0)=Variables!$B$5,((YEAR(B413)-YEAR($B$12))*12+MONTH(B413)-MONTH($B$12)),((YEAR(B413)-YEAR(VLOOKUP(I413,$C$3:$L$6,8,0)))*12+MONTH(B413)-MONTH(VLOOKUP(I413,$C$3:$L$6,8,0))))*(VLOOKUP(I413,$C$3:$L$6,10,0)*VLOOKUP(I413,$C$3:$L$6,6,0)/12),0))</f>
        <v/>
      </c>
      <c r="K413" s="29" t="str">
        <f ca="1">IF(C413&lt;&gt;"",IF(I413&lt;&gt;"",IF(ISERROR(VLOOKUP(I413,$C$3:$L$6,10,0)),"",VLOOKUP(I413,$C$3:$L$6,10,0)+J413+IF(OR(VLOOKUP(I413,$C$3:$L$6,5,0)=Variables!$B$5,B413&gt;VLOOKUP(I413,$C$3:$L$6,8,0)),IF(VLOOKUP(I413,$C$3:$L$6,5,0)=Variables!$B$5,((YEAR(B413)-YEAR($B$12))*12+MONTH(B413)-MONTH($B$12)),((YEAR(B413)-YEAR(VLOOKUP(I413,$C$3:$L$6,8,0)))*12+MONTH(B413)-MONTH(VLOOKUP(I413,$C$3:$L$6,8,0))))*VLOOKUP(I413,$C$3:$L$6,7,0),0)),""),"")</f>
        <v/>
      </c>
      <c r="L413" s="29" t="str">
        <f t="shared" ca="1" si="44"/>
        <v/>
      </c>
      <c r="M413" s="10"/>
      <c r="N413" s="10"/>
    </row>
    <row r="414" spans="1:14" x14ac:dyDescent="0.25">
      <c r="A414" s="10"/>
      <c r="B414" s="14" t="str">
        <f t="shared" ca="1" si="45"/>
        <v/>
      </c>
      <c r="C414" s="14" t="str">
        <f ca="1">IF(I413&lt;&gt;Variables!$B$1,IF(H413&lt;&gt;0,C413,I413),"")</f>
        <v/>
      </c>
      <c r="D414" s="29" t="str">
        <f t="shared" ca="1" si="42"/>
        <v/>
      </c>
      <c r="E414" s="29" t="str">
        <f t="shared" ca="1" si="43"/>
        <v/>
      </c>
      <c r="F414" s="29" t="str">
        <f ca="1">IF(C414&lt;&gt;"",IF(OR(VLOOKUP(C414,$C$3:$L$6,5,0)=Variables!$B$5,B414&gt;VLOOKUP(C414,$C$3:$L$6,8,0)),-D414*VLOOKUP(C414,$C$3:$L$6,6,0)/12,0),"")</f>
        <v/>
      </c>
      <c r="G414" s="29" t="str">
        <f ca="1">IF(I414&lt;&gt;Variables!$B$1,IF(C414&lt;&gt;"",$I$9-E414-F414,""),-D414)</f>
        <v/>
      </c>
      <c r="H414" s="29" t="str">
        <f t="shared" ca="1" si="46"/>
        <v/>
      </c>
      <c r="I414" s="31" t="str">
        <f ca="1">IF(C414&lt;&gt;"",IF(D414+$I$9-E414-F414&gt;=0,IF(ISERROR(INDEX($C$3:$C$6,MATCH(C414,$C$3:$C$6,0)+1,0)),Variables!$B$1,INDEX($C$3:$C$6,MATCH(C414,$C$3:$C$6,0)+1,0)),""),"")</f>
        <v/>
      </c>
      <c r="J414" s="29" t="str">
        <f ca="1">IF(ISERROR(VLOOKUP(I414,$C$3:$L$6,5,0)),"",IF(OR(VLOOKUP(I414,$C$3:$L$6,5,0)=Variables!$B$5,B414&gt;VLOOKUP(I414,$C$3:$L$6,8,0)),IF(VLOOKUP(I414,$C$3:$L$6,5,0)=Variables!$B$5,((YEAR(B414)-YEAR($B$12))*12+MONTH(B414)-MONTH($B$12)),((YEAR(B414)-YEAR(VLOOKUP(I414,$C$3:$L$6,8,0)))*12+MONTH(B414)-MONTH(VLOOKUP(I414,$C$3:$L$6,8,0))))*(VLOOKUP(I414,$C$3:$L$6,10,0)*VLOOKUP(I414,$C$3:$L$6,6,0)/12),0))</f>
        <v/>
      </c>
      <c r="K414" s="29" t="str">
        <f ca="1">IF(C414&lt;&gt;"",IF(I414&lt;&gt;"",IF(ISERROR(VLOOKUP(I414,$C$3:$L$6,10,0)),"",VLOOKUP(I414,$C$3:$L$6,10,0)+J414+IF(OR(VLOOKUP(I414,$C$3:$L$6,5,0)=Variables!$B$5,B414&gt;VLOOKUP(I414,$C$3:$L$6,8,0)),IF(VLOOKUP(I414,$C$3:$L$6,5,0)=Variables!$B$5,((YEAR(B414)-YEAR($B$12))*12+MONTH(B414)-MONTH($B$12)),((YEAR(B414)-YEAR(VLOOKUP(I414,$C$3:$L$6,8,0)))*12+MONTH(B414)-MONTH(VLOOKUP(I414,$C$3:$L$6,8,0))))*VLOOKUP(I414,$C$3:$L$6,7,0),0)),""),"")</f>
        <v/>
      </c>
      <c r="L414" s="29" t="str">
        <f t="shared" ca="1" si="44"/>
        <v/>
      </c>
      <c r="M414" s="10"/>
      <c r="N414" s="10"/>
    </row>
    <row r="415" spans="1:14" x14ac:dyDescent="0.25">
      <c r="A415" s="10"/>
      <c r="B415" s="14" t="str">
        <f t="shared" ca="1" si="45"/>
        <v/>
      </c>
      <c r="C415" s="14" t="str">
        <f ca="1">IF(I414&lt;&gt;Variables!$B$1,IF(H414&lt;&gt;0,C414,I414),"")</f>
        <v/>
      </c>
      <c r="D415" s="29" t="str">
        <f t="shared" ca="1" si="42"/>
        <v/>
      </c>
      <c r="E415" s="29" t="str">
        <f t="shared" ca="1" si="43"/>
        <v/>
      </c>
      <c r="F415" s="29" t="str">
        <f ca="1">IF(C415&lt;&gt;"",IF(OR(VLOOKUP(C415,$C$3:$L$6,5,0)=Variables!$B$5,B415&gt;VLOOKUP(C415,$C$3:$L$6,8,0)),-D415*VLOOKUP(C415,$C$3:$L$6,6,0)/12,0),"")</f>
        <v/>
      </c>
      <c r="G415" s="29" t="str">
        <f ca="1">IF(I415&lt;&gt;Variables!$B$1,IF(C415&lt;&gt;"",$I$9-E415-F415,""),-D415)</f>
        <v/>
      </c>
      <c r="H415" s="29" t="str">
        <f t="shared" ca="1" si="46"/>
        <v/>
      </c>
      <c r="I415" s="31" t="str">
        <f ca="1">IF(C415&lt;&gt;"",IF(D415+$I$9-E415-F415&gt;=0,IF(ISERROR(INDEX($C$3:$C$6,MATCH(C415,$C$3:$C$6,0)+1,0)),Variables!$B$1,INDEX($C$3:$C$6,MATCH(C415,$C$3:$C$6,0)+1,0)),""),"")</f>
        <v/>
      </c>
      <c r="J415" s="29" t="str">
        <f ca="1">IF(ISERROR(VLOOKUP(I415,$C$3:$L$6,5,0)),"",IF(OR(VLOOKUP(I415,$C$3:$L$6,5,0)=Variables!$B$5,B415&gt;VLOOKUP(I415,$C$3:$L$6,8,0)),IF(VLOOKUP(I415,$C$3:$L$6,5,0)=Variables!$B$5,((YEAR(B415)-YEAR($B$12))*12+MONTH(B415)-MONTH($B$12)),((YEAR(B415)-YEAR(VLOOKUP(I415,$C$3:$L$6,8,0)))*12+MONTH(B415)-MONTH(VLOOKUP(I415,$C$3:$L$6,8,0))))*(VLOOKUP(I415,$C$3:$L$6,10,0)*VLOOKUP(I415,$C$3:$L$6,6,0)/12),0))</f>
        <v/>
      </c>
      <c r="K415" s="29" t="str">
        <f ca="1">IF(C415&lt;&gt;"",IF(I415&lt;&gt;"",IF(ISERROR(VLOOKUP(I415,$C$3:$L$6,10,0)),"",VLOOKUP(I415,$C$3:$L$6,10,0)+J415+IF(OR(VLOOKUP(I415,$C$3:$L$6,5,0)=Variables!$B$5,B415&gt;VLOOKUP(I415,$C$3:$L$6,8,0)),IF(VLOOKUP(I415,$C$3:$L$6,5,0)=Variables!$B$5,((YEAR(B415)-YEAR($B$12))*12+MONTH(B415)-MONTH($B$12)),((YEAR(B415)-YEAR(VLOOKUP(I415,$C$3:$L$6,8,0)))*12+MONTH(B415)-MONTH(VLOOKUP(I415,$C$3:$L$6,8,0))))*VLOOKUP(I415,$C$3:$L$6,7,0),0)),""),"")</f>
        <v/>
      </c>
      <c r="L415" s="29" t="str">
        <f t="shared" ca="1" si="44"/>
        <v/>
      </c>
      <c r="M415" s="10"/>
      <c r="N415" s="10"/>
    </row>
    <row r="416" spans="1:14" x14ac:dyDescent="0.25">
      <c r="A416" s="10"/>
      <c r="B416" s="14" t="str">
        <f t="shared" ca="1" si="45"/>
        <v/>
      </c>
      <c r="C416" s="14" t="str">
        <f ca="1">IF(I415&lt;&gt;Variables!$B$1,IF(H415&lt;&gt;0,C415,I415),"")</f>
        <v/>
      </c>
      <c r="D416" s="29" t="str">
        <f t="shared" ca="1" si="42"/>
        <v/>
      </c>
      <c r="E416" s="29" t="str">
        <f t="shared" ca="1" si="43"/>
        <v/>
      </c>
      <c r="F416" s="29" t="str">
        <f ca="1">IF(C416&lt;&gt;"",IF(OR(VLOOKUP(C416,$C$3:$L$6,5,0)=Variables!$B$5,B416&gt;VLOOKUP(C416,$C$3:$L$6,8,0)),-D416*VLOOKUP(C416,$C$3:$L$6,6,0)/12,0),"")</f>
        <v/>
      </c>
      <c r="G416" s="29" t="str">
        <f ca="1">IF(I416&lt;&gt;Variables!$B$1,IF(C416&lt;&gt;"",$I$9-E416-F416,""),-D416)</f>
        <v/>
      </c>
      <c r="H416" s="29" t="str">
        <f t="shared" ca="1" si="46"/>
        <v/>
      </c>
      <c r="I416" s="31" t="str">
        <f ca="1">IF(C416&lt;&gt;"",IF(D416+$I$9-E416-F416&gt;=0,IF(ISERROR(INDEX($C$3:$C$6,MATCH(C416,$C$3:$C$6,0)+1,0)),Variables!$B$1,INDEX($C$3:$C$6,MATCH(C416,$C$3:$C$6,0)+1,0)),""),"")</f>
        <v/>
      </c>
      <c r="J416" s="29" t="str">
        <f ca="1">IF(ISERROR(VLOOKUP(I416,$C$3:$L$6,5,0)),"",IF(OR(VLOOKUP(I416,$C$3:$L$6,5,0)=Variables!$B$5,B416&gt;VLOOKUP(I416,$C$3:$L$6,8,0)),IF(VLOOKUP(I416,$C$3:$L$6,5,0)=Variables!$B$5,((YEAR(B416)-YEAR($B$12))*12+MONTH(B416)-MONTH($B$12)),((YEAR(B416)-YEAR(VLOOKUP(I416,$C$3:$L$6,8,0)))*12+MONTH(B416)-MONTH(VLOOKUP(I416,$C$3:$L$6,8,0))))*(VLOOKUP(I416,$C$3:$L$6,10,0)*VLOOKUP(I416,$C$3:$L$6,6,0)/12),0))</f>
        <v/>
      </c>
      <c r="K416" s="29" t="str">
        <f ca="1">IF(C416&lt;&gt;"",IF(I416&lt;&gt;"",IF(ISERROR(VLOOKUP(I416,$C$3:$L$6,10,0)),"",VLOOKUP(I416,$C$3:$L$6,10,0)+J416+IF(OR(VLOOKUP(I416,$C$3:$L$6,5,0)=Variables!$B$5,B416&gt;VLOOKUP(I416,$C$3:$L$6,8,0)),IF(VLOOKUP(I416,$C$3:$L$6,5,0)=Variables!$B$5,((YEAR(B416)-YEAR($B$12))*12+MONTH(B416)-MONTH($B$12)),((YEAR(B416)-YEAR(VLOOKUP(I416,$C$3:$L$6,8,0)))*12+MONTH(B416)-MONTH(VLOOKUP(I416,$C$3:$L$6,8,0))))*VLOOKUP(I416,$C$3:$L$6,7,0),0)),""),"")</f>
        <v/>
      </c>
      <c r="L416" s="29" t="str">
        <f t="shared" ca="1" si="44"/>
        <v/>
      </c>
      <c r="M416" s="10"/>
      <c r="N416" s="10"/>
    </row>
    <row r="417" spans="1:14" x14ac:dyDescent="0.25">
      <c r="A417" s="10"/>
      <c r="B417" s="14" t="str">
        <f t="shared" ca="1" si="45"/>
        <v/>
      </c>
      <c r="C417" s="14" t="str">
        <f ca="1">IF(I416&lt;&gt;Variables!$B$1,IF(H416&lt;&gt;0,C416,I416),"")</f>
        <v/>
      </c>
      <c r="D417" s="29" t="str">
        <f t="shared" ca="1" si="42"/>
        <v/>
      </c>
      <c r="E417" s="29" t="str">
        <f t="shared" ca="1" si="43"/>
        <v/>
      </c>
      <c r="F417" s="29" t="str">
        <f ca="1">IF(C417&lt;&gt;"",IF(OR(VLOOKUP(C417,$C$3:$L$6,5,0)=Variables!$B$5,B417&gt;VLOOKUP(C417,$C$3:$L$6,8,0)),-D417*VLOOKUP(C417,$C$3:$L$6,6,0)/12,0),"")</f>
        <v/>
      </c>
      <c r="G417" s="29" t="str">
        <f ca="1">IF(I417&lt;&gt;Variables!$B$1,IF(C417&lt;&gt;"",$I$9-E417-F417,""),-D417)</f>
        <v/>
      </c>
      <c r="H417" s="29" t="str">
        <f t="shared" ca="1" si="46"/>
        <v/>
      </c>
      <c r="I417" s="31" t="str">
        <f ca="1">IF(C417&lt;&gt;"",IF(D417+$I$9-E417-F417&gt;=0,IF(ISERROR(INDEX($C$3:$C$6,MATCH(C417,$C$3:$C$6,0)+1,0)),Variables!$B$1,INDEX($C$3:$C$6,MATCH(C417,$C$3:$C$6,0)+1,0)),""),"")</f>
        <v/>
      </c>
      <c r="J417" s="29" t="str">
        <f ca="1">IF(ISERROR(VLOOKUP(I417,$C$3:$L$6,5,0)),"",IF(OR(VLOOKUP(I417,$C$3:$L$6,5,0)=Variables!$B$5,B417&gt;VLOOKUP(I417,$C$3:$L$6,8,0)),IF(VLOOKUP(I417,$C$3:$L$6,5,0)=Variables!$B$5,((YEAR(B417)-YEAR($B$12))*12+MONTH(B417)-MONTH($B$12)),((YEAR(B417)-YEAR(VLOOKUP(I417,$C$3:$L$6,8,0)))*12+MONTH(B417)-MONTH(VLOOKUP(I417,$C$3:$L$6,8,0))))*(VLOOKUP(I417,$C$3:$L$6,10,0)*VLOOKUP(I417,$C$3:$L$6,6,0)/12),0))</f>
        <v/>
      </c>
      <c r="K417" s="29" t="str">
        <f ca="1">IF(C417&lt;&gt;"",IF(I417&lt;&gt;"",IF(ISERROR(VLOOKUP(I417,$C$3:$L$6,10,0)),"",VLOOKUP(I417,$C$3:$L$6,10,0)+J417+IF(OR(VLOOKUP(I417,$C$3:$L$6,5,0)=Variables!$B$5,B417&gt;VLOOKUP(I417,$C$3:$L$6,8,0)),IF(VLOOKUP(I417,$C$3:$L$6,5,0)=Variables!$B$5,((YEAR(B417)-YEAR($B$12))*12+MONTH(B417)-MONTH($B$12)),((YEAR(B417)-YEAR(VLOOKUP(I417,$C$3:$L$6,8,0)))*12+MONTH(B417)-MONTH(VLOOKUP(I417,$C$3:$L$6,8,0))))*VLOOKUP(I417,$C$3:$L$6,7,0),0)),""),"")</f>
        <v/>
      </c>
      <c r="L417" s="29" t="str">
        <f t="shared" ca="1" si="44"/>
        <v/>
      </c>
      <c r="M417" s="10"/>
      <c r="N417" s="10"/>
    </row>
    <row r="418" spans="1:14" x14ac:dyDescent="0.25">
      <c r="A418" s="10"/>
      <c r="B418" s="14" t="str">
        <f t="shared" ca="1" si="45"/>
        <v/>
      </c>
      <c r="C418" s="14" t="str">
        <f ca="1">IF(I417&lt;&gt;Variables!$B$1,IF(H417&lt;&gt;0,C417,I417),"")</f>
        <v/>
      </c>
      <c r="D418" s="29" t="str">
        <f t="shared" ca="1" si="42"/>
        <v/>
      </c>
      <c r="E418" s="29" t="str">
        <f t="shared" ca="1" si="43"/>
        <v/>
      </c>
      <c r="F418" s="29" t="str">
        <f ca="1">IF(C418&lt;&gt;"",IF(OR(VLOOKUP(C418,$C$3:$L$6,5,0)=Variables!$B$5,B418&gt;VLOOKUP(C418,$C$3:$L$6,8,0)),-D418*VLOOKUP(C418,$C$3:$L$6,6,0)/12,0),"")</f>
        <v/>
      </c>
      <c r="G418" s="29" t="str">
        <f ca="1">IF(I418&lt;&gt;Variables!$B$1,IF(C418&lt;&gt;"",$I$9-E418-F418,""),-D418)</f>
        <v/>
      </c>
      <c r="H418" s="29" t="str">
        <f t="shared" ca="1" si="46"/>
        <v/>
      </c>
      <c r="I418" s="31" t="str">
        <f ca="1">IF(C418&lt;&gt;"",IF(D418+$I$9-E418-F418&gt;=0,IF(ISERROR(INDEX($C$3:$C$6,MATCH(C418,$C$3:$C$6,0)+1,0)),Variables!$B$1,INDEX($C$3:$C$6,MATCH(C418,$C$3:$C$6,0)+1,0)),""),"")</f>
        <v/>
      </c>
      <c r="J418" s="29" t="str">
        <f ca="1">IF(ISERROR(VLOOKUP(I418,$C$3:$L$6,5,0)),"",IF(OR(VLOOKUP(I418,$C$3:$L$6,5,0)=Variables!$B$5,B418&gt;VLOOKUP(I418,$C$3:$L$6,8,0)),IF(VLOOKUP(I418,$C$3:$L$6,5,0)=Variables!$B$5,((YEAR(B418)-YEAR($B$12))*12+MONTH(B418)-MONTH($B$12)),((YEAR(B418)-YEAR(VLOOKUP(I418,$C$3:$L$6,8,0)))*12+MONTH(B418)-MONTH(VLOOKUP(I418,$C$3:$L$6,8,0))))*(VLOOKUP(I418,$C$3:$L$6,10,0)*VLOOKUP(I418,$C$3:$L$6,6,0)/12),0))</f>
        <v/>
      </c>
      <c r="K418" s="29" t="str">
        <f ca="1">IF(C418&lt;&gt;"",IF(I418&lt;&gt;"",IF(ISERROR(VLOOKUP(I418,$C$3:$L$6,10,0)),"",VLOOKUP(I418,$C$3:$L$6,10,0)+J418+IF(OR(VLOOKUP(I418,$C$3:$L$6,5,0)=Variables!$B$5,B418&gt;VLOOKUP(I418,$C$3:$L$6,8,0)),IF(VLOOKUP(I418,$C$3:$L$6,5,0)=Variables!$B$5,((YEAR(B418)-YEAR($B$12))*12+MONTH(B418)-MONTH($B$12)),((YEAR(B418)-YEAR(VLOOKUP(I418,$C$3:$L$6,8,0)))*12+MONTH(B418)-MONTH(VLOOKUP(I418,$C$3:$L$6,8,0))))*VLOOKUP(I418,$C$3:$L$6,7,0),0)),""),"")</f>
        <v/>
      </c>
      <c r="L418" s="29" t="str">
        <f t="shared" ca="1" si="44"/>
        <v/>
      </c>
      <c r="M418" s="10"/>
      <c r="N418" s="10"/>
    </row>
    <row r="419" spans="1:14" x14ac:dyDescent="0.25">
      <c r="A419" s="10"/>
      <c r="B419" s="14" t="str">
        <f t="shared" ca="1" si="45"/>
        <v/>
      </c>
      <c r="C419" s="14" t="str">
        <f ca="1">IF(I418&lt;&gt;Variables!$B$1,IF(H418&lt;&gt;0,C418,I418),"")</f>
        <v/>
      </c>
      <c r="D419" s="29" t="str">
        <f t="shared" ca="1" si="42"/>
        <v/>
      </c>
      <c r="E419" s="29" t="str">
        <f t="shared" ca="1" si="43"/>
        <v/>
      </c>
      <c r="F419" s="29" t="str">
        <f ca="1">IF(C419&lt;&gt;"",IF(OR(VLOOKUP(C419,$C$3:$L$6,5,0)=Variables!$B$5,B419&gt;VLOOKUP(C419,$C$3:$L$6,8,0)),-D419*VLOOKUP(C419,$C$3:$L$6,6,0)/12,0),"")</f>
        <v/>
      </c>
      <c r="G419" s="29" t="str">
        <f ca="1">IF(I419&lt;&gt;Variables!$B$1,IF(C419&lt;&gt;"",$I$9-E419-F419,""),-D419)</f>
        <v/>
      </c>
      <c r="H419" s="29" t="str">
        <f t="shared" ca="1" si="46"/>
        <v/>
      </c>
      <c r="I419" s="31" t="str">
        <f ca="1">IF(C419&lt;&gt;"",IF(D419+$I$9-E419-F419&gt;=0,IF(ISERROR(INDEX($C$3:$C$6,MATCH(C419,$C$3:$C$6,0)+1,0)),Variables!$B$1,INDEX($C$3:$C$6,MATCH(C419,$C$3:$C$6,0)+1,0)),""),"")</f>
        <v/>
      </c>
      <c r="J419" s="29" t="str">
        <f ca="1">IF(ISERROR(VLOOKUP(I419,$C$3:$L$6,5,0)),"",IF(OR(VLOOKUP(I419,$C$3:$L$6,5,0)=Variables!$B$5,B419&gt;VLOOKUP(I419,$C$3:$L$6,8,0)),IF(VLOOKUP(I419,$C$3:$L$6,5,0)=Variables!$B$5,((YEAR(B419)-YEAR($B$12))*12+MONTH(B419)-MONTH($B$12)),((YEAR(B419)-YEAR(VLOOKUP(I419,$C$3:$L$6,8,0)))*12+MONTH(B419)-MONTH(VLOOKUP(I419,$C$3:$L$6,8,0))))*(VLOOKUP(I419,$C$3:$L$6,10,0)*VLOOKUP(I419,$C$3:$L$6,6,0)/12),0))</f>
        <v/>
      </c>
      <c r="K419" s="29" t="str">
        <f ca="1">IF(C419&lt;&gt;"",IF(I419&lt;&gt;"",IF(ISERROR(VLOOKUP(I419,$C$3:$L$6,10,0)),"",VLOOKUP(I419,$C$3:$L$6,10,0)+J419+IF(OR(VLOOKUP(I419,$C$3:$L$6,5,0)=Variables!$B$5,B419&gt;VLOOKUP(I419,$C$3:$L$6,8,0)),IF(VLOOKUP(I419,$C$3:$L$6,5,0)=Variables!$B$5,((YEAR(B419)-YEAR($B$12))*12+MONTH(B419)-MONTH($B$12)),((YEAR(B419)-YEAR(VLOOKUP(I419,$C$3:$L$6,8,0)))*12+MONTH(B419)-MONTH(VLOOKUP(I419,$C$3:$L$6,8,0))))*VLOOKUP(I419,$C$3:$L$6,7,0),0)),""),"")</f>
        <v/>
      </c>
      <c r="L419" s="29" t="str">
        <f t="shared" ca="1" si="44"/>
        <v/>
      </c>
      <c r="M419" s="10"/>
      <c r="N419" s="10"/>
    </row>
    <row r="420" spans="1:14" x14ac:dyDescent="0.25">
      <c r="A420" s="10"/>
      <c r="B420" s="14" t="str">
        <f t="shared" ca="1" si="45"/>
        <v/>
      </c>
      <c r="C420" s="14" t="str">
        <f ca="1">IF(I419&lt;&gt;Variables!$B$1,IF(H419&lt;&gt;0,C419,I419),"")</f>
        <v/>
      </c>
      <c r="D420" s="29" t="str">
        <f t="shared" ca="1" si="42"/>
        <v/>
      </c>
      <c r="E420" s="29" t="str">
        <f t="shared" ca="1" si="43"/>
        <v/>
      </c>
      <c r="F420" s="29" t="str">
        <f ca="1">IF(C420&lt;&gt;"",IF(OR(VLOOKUP(C420,$C$3:$L$6,5,0)=Variables!$B$5,B420&gt;VLOOKUP(C420,$C$3:$L$6,8,0)),-D420*VLOOKUP(C420,$C$3:$L$6,6,0)/12,0),"")</f>
        <v/>
      </c>
      <c r="G420" s="29" t="str">
        <f ca="1">IF(I420&lt;&gt;Variables!$B$1,IF(C420&lt;&gt;"",$I$9-E420-F420,""),-D420)</f>
        <v/>
      </c>
      <c r="H420" s="29" t="str">
        <f t="shared" ca="1" si="46"/>
        <v/>
      </c>
      <c r="I420" s="31" t="str">
        <f ca="1">IF(C420&lt;&gt;"",IF(D420+$I$9-E420-F420&gt;=0,IF(ISERROR(INDEX($C$3:$C$6,MATCH(C420,$C$3:$C$6,0)+1,0)),Variables!$B$1,INDEX($C$3:$C$6,MATCH(C420,$C$3:$C$6,0)+1,0)),""),"")</f>
        <v/>
      </c>
      <c r="J420" s="29" t="str">
        <f ca="1">IF(ISERROR(VLOOKUP(I420,$C$3:$L$6,5,0)),"",IF(OR(VLOOKUP(I420,$C$3:$L$6,5,0)=Variables!$B$5,B420&gt;VLOOKUP(I420,$C$3:$L$6,8,0)),IF(VLOOKUP(I420,$C$3:$L$6,5,0)=Variables!$B$5,((YEAR(B420)-YEAR($B$12))*12+MONTH(B420)-MONTH($B$12)),((YEAR(B420)-YEAR(VLOOKUP(I420,$C$3:$L$6,8,0)))*12+MONTH(B420)-MONTH(VLOOKUP(I420,$C$3:$L$6,8,0))))*(VLOOKUP(I420,$C$3:$L$6,10,0)*VLOOKUP(I420,$C$3:$L$6,6,0)/12),0))</f>
        <v/>
      </c>
      <c r="K420" s="29" t="str">
        <f ca="1">IF(C420&lt;&gt;"",IF(I420&lt;&gt;"",IF(ISERROR(VLOOKUP(I420,$C$3:$L$6,10,0)),"",VLOOKUP(I420,$C$3:$L$6,10,0)+J420+IF(OR(VLOOKUP(I420,$C$3:$L$6,5,0)=Variables!$B$5,B420&gt;VLOOKUP(I420,$C$3:$L$6,8,0)),IF(VLOOKUP(I420,$C$3:$L$6,5,0)=Variables!$B$5,((YEAR(B420)-YEAR($B$12))*12+MONTH(B420)-MONTH($B$12)),((YEAR(B420)-YEAR(VLOOKUP(I420,$C$3:$L$6,8,0)))*12+MONTH(B420)-MONTH(VLOOKUP(I420,$C$3:$L$6,8,0))))*VLOOKUP(I420,$C$3:$L$6,7,0),0)),""),"")</f>
        <v/>
      </c>
      <c r="L420" s="29" t="str">
        <f t="shared" ca="1" si="44"/>
        <v/>
      </c>
      <c r="M420" s="10"/>
      <c r="N420" s="10"/>
    </row>
    <row r="421" spans="1:14" x14ac:dyDescent="0.25">
      <c r="A421" s="10"/>
      <c r="B421" s="14" t="str">
        <f t="shared" ca="1" si="45"/>
        <v/>
      </c>
      <c r="C421" s="14" t="str">
        <f ca="1">IF(I420&lt;&gt;Variables!$B$1,IF(H420&lt;&gt;0,C420,I420),"")</f>
        <v/>
      </c>
      <c r="D421" s="29" t="str">
        <f t="shared" ca="1" si="42"/>
        <v/>
      </c>
      <c r="E421" s="29" t="str">
        <f t="shared" ca="1" si="43"/>
        <v/>
      </c>
      <c r="F421" s="29" t="str">
        <f ca="1">IF(C421&lt;&gt;"",IF(OR(VLOOKUP(C421,$C$3:$L$6,5,0)=Variables!$B$5,B421&gt;VLOOKUP(C421,$C$3:$L$6,8,0)),-D421*VLOOKUP(C421,$C$3:$L$6,6,0)/12,0),"")</f>
        <v/>
      </c>
      <c r="G421" s="29" t="str">
        <f ca="1">IF(I421&lt;&gt;Variables!$B$1,IF(C421&lt;&gt;"",$I$9-E421-F421,""),-D421)</f>
        <v/>
      </c>
      <c r="H421" s="29" t="str">
        <f t="shared" ca="1" si="46"/>
        <v/>
      </c>
      <c r="I421" s="31" t="str">
        <f ca="1">IF(C421&lt;&gt;"",IF(D421+$I$9-E421-F421&gt;=0,IF(ISERROR(INDEX($C$3:$C$6,MATCH(C421,$C$3:$C$6,0)+1,0)),Variables!$B$1,INDEX($C$3:$C$6,MATCH(C421,$C$3:$C$6,0)+1,0)),""),"")</f>
        <v/>
      </c>
      <c r="J421" s="29" t="str">
        <f ca="1">IF(ISERROR(VLOOKUP(I421,$C$3:$L$6,5,0)),"",IF(OR(VLOOKUP(I421,$C$3:$L$6,5,0)=Variables!$B$5,B421&gt;VLOOKUP(I421,$C$3:$L$6,8,0)),IF(VLOOKUP(I421,$C$3:$L$6,5,0)=Variables!$B$5,((YEAR(B421)-YEAR($B$12))*12+MONTH(B421)-MONTH($B$12)),((YEAR(B421)-YEAR(VLOOKUP(I421,$C$3:$L$6,8,0)))*12+MONTH(B421)-MONTH(VLOOKUP(I421,$C$3:$L$6,8,0))))*(VLOOKUP(I421,$C$3:$L$6,10,0)*VLOOKUP(I421,$C$3:$L$6,6,0)/12),0))</f>
        <v/>
      </c>
      <c r="K421" s="29" t="str">
        <f ca="1">IF(C421&lt;&gt;"",IF(I421&lt;&gt;"",IF(ISERROR(VLOOKUP(I421,$C$3:$L$6,10,0)),"",VLOOKUP(I421,$C$3:$L$6,10,0)+J421+IF(OR(VLOOKUP(I421,$C$3:$L$6,5,0)=Variables!$B$5,B421&gt;VLOOKUP(I421,$C$3:$L$6,8,0)),IF(VLOOKUP(I421,$C$3:$L$6,5,0)=Variables!$B$5,((YEAR(B421)-YEAR($B$12))*12+MONTH(B421)-MONTH($B$12)),((YEAR(B421)-YEAR(VLOOKUP(I421,$C$3:$L$6,8,0)))*12+MONTH(B421)-MONTH(VLOOKUP(I421,$C$3:$L$6,8,0))))*VLOOKUP(I421,$C$3:$L$6,7,0),0)),""),"")</f>
        <v/>
      </c>
      <c r="L421" s="29" t="str">
        <f t="shared" ca="1" si="44"/>
        <v/>
      </c>
      <c r="M421" s="10"/>
      <c r="N421" s="10"/>
    </row>
    <row r="422" spans="1:14" x14ac:dyDescent="0.25">
      <c r="A422" s="10"/>
      <c r="B422" s="14" t="str">
        <f t="shared" ca="1" si="45"/>
        <v/>
      </c>
      <c r="C422" s="14" t="str">
        <f ca="1">IF(I421&lt;&gt;Variables!$B$1,IF(H421&lt;&gt;0,C421,I421),"")</f>
        <v/>
      </c>
      <c r="D422" s="29" t="str">
        <f t="shared" ca="1" si="42"/>
        <v/>
      </c>
      <c r="E422" s="29" t="str">
        <f t="shared" ca="1" si="43"/>
        <v/>
      </c>
      <c r="F422" s="29" t="str">
        <f ca="1">IF(C422&lt;&gt;"",IF(OR(VLOOKUP(C422,$C$3:$L$6,5,0)=Variables!$B$5,B422&gt;VLOOKUP(C422,$C$3:$L$6,8,0)),-D422*VLOOKUP(C422,$C$3:$L$6,6,0)/12,0),"")</f>
        <v/>
      </c>
      <c r="G422" s="29" t="str">
        <f ca="1">IF(I422&lt;&gt;Variables!$B$1,IF(C422&lt;&gt;"",$I$9-E422-F422,""),-D422)</f>
        <v/>
      </c>
      <c r="H422" s="29" t="str">
        <f t="shared" ca="1" si="46"/>
        <v/>
      </c>
      <c r="I422" s="31" t="str">
        <f ca="1">IF(C422&lt;&gt;"",IF(D422+$I$9-E422-F422&gt;=0,IF(ISERROR(INDEX($C$3:$C$6,MATCH(C422,$C$3:$C$6,0)+1,0)),Variables!$B$1,INDEX($C$3:$C$6,MATCH(C422,$C$3:$C$6,0)+1,0)),""),"")</f>
        <v/>
      </c>
      <c r="J422" s="29" t="str">
        <f ca="1">IF(ISERROR(VLOOKUP(I422,$C$3:$L$6,5,0)),"",IF(OR(VLOOKUP(I422,$C$3:$L$6,5,0)=Variables!$B$5,B422&gt;VLOOKUP(I422,$C$3:$L$6,8,0)),IF(VLOOKUP(I422,$C$3:$L$6,5,0)=Variables!$B$5,((YEAR(B422)-YEAR($B$12))*12+MONTH(B422)-MONTH($B$12)),((YEAR(B422)-YEAR(VLOOKUP(I422,$C$3:$L$6,8,0)))*12+MONTH(B422)-MONTH(VLOOKUP(I422,$C$3:$L$6,8,0))))*(VLOOKUP(I422,$C$3:$L$6,10,0)*VLOOKUP(I422,$C$3:$L$6,6,0)/12),0))</f>
        <v/>
      </c>
      <c r="K422" s="29" t="str">
        <f ca="1">IF(C422&lt;&gt;"",IF(I422&lt;&gt;"",IF(ISERROR(VLOOKUP(I422,$C$3:$L$6,10,0)),"",VLOOKUP(I422,$C$3:$L$6,10,0)+J422+IF(OR(VLOOKUP(I422,$C$3:$L$6,5,0)=Variables!$B$5,B422&gt;VLOOKUP(I422,$C$3:$L$6,8,0)),IF(VLOOKUP(I422,$C$3:$L$6,5,0)=Variables!$B$5,((YEAR(B422)-YEAR($B$12))*12+MONTH(B422)-MONTH($B$12)),((YEAR(B422)-YEAR(VLOOKUP(I422,$C$3:$L$6,8,0)))*12+MONTH(B422)-MONTH(VLOOKUP(I422,$C$3:$L$6,8,0))))*VLOOKUP(I422,$C$3:$L$6,7,0),0)),""),"")</f>
        <v/>
      </c>
      <c r="L422" s="29" t="str">
        <f t="shared" ca="1" si="44"/>
        <v/>
      </c>
      <c r="M422" s="10"/>
      <c r="N422" s="10"/>
    </row>
    <row r="423" spans="1:14" x14ac:dyDescent="0.25">
      <c r="A423" s="10"/>
      <c r="B423" s="14" t="str">
        <f t="shared" ca="1" si="45"/>
        <v/>
      </c>
      <c r="C423" s="14" t="str">
        <f ca="1">IF(I422&lt;&gt;Variables!$B$1,IF(H422&lt;&gt;0,C422,I422),"")</f>
        <v/>
      </c>
      <c r="D423" s="29" t="str">
        <f t="shared" ca="1" si="42"/>
        <v/>
      </c>
      <c r="E423" s="29" t="str">
        <f t="shared" ca="1" si="43"/>
        <v/>
      </c>
      <c r="F423" s="29" t="str">
        <f ca="1">IF(C423&lt;&gt;"",IF(OR(VLOOKUP(C423,$C$3:$L$6,5,0)=Variables!$B$5,B423&gt;VLOOKUP(C423,$C$3:$L$6,8,0)),-D423*VLOOKUP(C423,$C$3:$L$6,6,0)/12,0),"")</f>
        <v/>
      </c>
      <c r="G423" s="29" t="str">
        <f ca="1">IF(I423&lt;&gt;Variables!$B$1,IF(C423&lt;&gt;"",$I$9-E423-F423,""),-D423)</f>
        <v/>
      </c>
      <c r="H423" s="29" t="str">
        <f t="shared" ca="1" si="46"/>
        <v/>
      </c>
      <c r="I423" s="31" t="str">
        <f ca="1">IF(C423&lt;&gt;"",IF(D423+$I$9-E423-F423&gt;=0,IF(ISERROR(INDEX($C$3:$C$6,MATCH(C423,$C$3:$C$6,0)+1,0)),Variables!$B$1,INDEX($C$3:$C$6,MATCH(C423,$C$3:$C$6,0)+1,0)),""),"")</f>
        <v/>
      </c>
      <c r="J423" s="29" t="str">
        <f ca="1">IF(ISERROR(VLOOKUP(I423,$C$3:$L$6,5,0)),"",IF(OR(VLOOKUP(I423,$C$3:$L$6,5,0)=Variables!$B$5,B423&gt;VLOOKUP(I423,$C$3:$L$6,8,0)),IF(VLOOKUP(I423,$C$3:$L$6,5,0)=Variables!$B$5,((YEAR(B423)-YEAR($B$12))*12+MONTH(B423)-MONTH($B$12)),((YEAR(B423)-YEAR(VLOOKUP(I423,$C$3:$L$6,8,0)))*12+MONTH(B423)-MONTH(VLOOKUP(I423,$C$3:$L$6,8,0))))*(VLOOKUP(I423,$C$3:$L$6,10,0)*VLOOKUP(I423,$C$3:$L$6,6,0)/12),0))</f>
        <v/>
      </c>
      <c r="K423" s="29" t="str">
        <f ca="1">IF(C423&lt;&gt;"",IF(I423&lt;&gt;"",IF(ISERROR(VLOOKUP(I423,$C$3:$L$6,10,0)),"",VLOOKUP(I423,$C$3:$L$6,10,0)+J423+IF(OR(VLOOKUP(I423,$C$3:$L$6,5,0)=Variables!$B$5,B423&gt;VLOOKUP(I423,$C$3:$L$6,8,0)),IF(VLOOKUP(I423,$C$3:$L$6,5,0)=Variables!$B$5,((YEAR(B423)-YEAR($B$12))*12+MONTH(B423)-MONTH($B$12)),((YEAR(B423)-YEAR(VLOOKUP(I423,$C$3:$L$6,8,0)))*12+MONTH(B423)-MONTH(VLOOKUP(I423,$C$3:$L$6,8,0))))*VLOOKUP(I423,$C$3:$L$6,7,0),0)),""),"")</f>
        <v/>
      </c>
      <c r="L423" s="29" t="str">
        <f t="shared" ca="1" si="44"/>
        <v/>
      </c>
      <c r="M423" s="10"/>
      <c r="N423" s="10"/>
    </row>
    <row r="424" spans="1:14" x14ac:dyDescent="0.25">
      <c r="A424" s="10"/>
      <c r="B424" s="14" t="str">
        <f t="shared" ca="1" si="45"/>
        <v/>
      </c>
      <c r="C424" s="14" t="str">
        <f ca="1">IF(I423&lt;&gt;Variables!$B$1,IF(H423&lt;&gt;0,C423,I423),"")</f>
        <v/>
      </c>
      <c r="D424" s="29" t="str">
        <f t="shared" ca="1" si="42"/>
        <v/>
      </c>
      <c r="E424" s="29" t="str">
        <f t="shared" ca="1" si="43"/>
        <v/>
      </c>
      <c r="F424" s="29" t="str">
        <f ca="1">IF(C424&lt;&gt;"",IF(OR(VLOOKUP(C424,$C$3:$L$6,5,0)=Variables!$B$5,B424&gt;VLOOKUP(C424,$C$3:$L$6,8,0)),-D424*VLOOKUP(C424,$C$3:$L$6,6,0)/12,0),"")</f>
        <v/>
      </c>
      <c r="G424" s="29" t="str">
        <f ca="1">IF(I424&lt;&gt;Variables!$B$1,IF(C424&lt;&gt;"",$I$9-E424-F424,""),-D424)</f>
        <v/>
      </c>
      <c r="H424" s="29" t="str">
        <f t="shared" ca="1" si="46"/>
        <v/>
      </c>
      <c r="I424" s="31" t="str">
        <f ca="1">IF(C424&lt;&gt;"",IF(D424+$I$9-E424-F424&gt;=0,IF(ISERROR(INDEX($C$3:$C$6,MATCH(C424,$C$3:$C$6,0)+1,0)),Variables!$B$1,INDEX($C$3:$C$6,MATCH(C424,$C$3:$C$6,0)+1,0)),""),"")</f>
        <v/>
      </c>
      <c r="J424" s="29" t="str">
        <f ca="1">IF(ISERROR(VLOOKUP(I424,$C$3:$L$6,5,0)),"",IF(OR(VLOOKUP(I424,$C$3:$L$6,5,0)=Variables!$B$5,B424&gt;VLOOKUP(I424,$C$3:$L$6,8,0)),IF(VLOOKUP(I424,$C$3:$L$6,5,0)=Variables!$B$5,((YEAR(B424)-YEAR($B$12))*12+MONTH(B424)-MONTH($B$12)),((YEAR(B424)-YEAR(VLOOKUP(I424,$C$3:$L$6,8,0)))*12+MONTH(B424)-MONTH(VLOOKUP(I424,$C$3:$L$6,8,0))))*(VLOOKUP(I424,$C$3:$L$6,10,0)*VLOOKUP(I424,$C$3:$L$6,6,0)/12),0))</f>
        <v/>
      </c>
      <c r="K424" s="29" t="str">
        <f ca="1">IF(C424&lt;&gt;"",IF(I424&lt;&gt;"",IF(ISERROR(VLOOKUP(I424,$C$3:$L$6,10,0)),"",VLOOKUP(I424,$C$3:$L$6,10,0)+J424+IF(OR(VLOOKUP(I424,$C$3:$L$6,5,0)=Variables!$B$5,B424&gt;VLOOKUP(I424,$C$3:$L$6,8,0)),IF(VLOOKUP(I424,$C$3:$L$6,5,0)=Variables!$B$5,((YEAR(B424)-YEAR($B$12))*12+MONTH(B424)-MONTH($B$12)),((YEAR(B424)-YEAR(VLOOKUP(I424,$C$3:$L$6,8,0)))*12+MONTH(B424)-MONTH(VLOOKUP(I424,$C$3:$L$6,8,0))))*VLOOKUP(I424,$C$3:$L$6,7,0),0)),""),"")</f>
        <v/>
      </c>
      <c r="L424" s="29" t="str">
        <f t="shared" ca="1" si="44"/>
        <v/>
      </c>
      <c r="M424" s="10"/>
      <c r="N424" s="10"/>
    </row>
    <row r="425" spans="1:14" x14ac:dyDescent="0.25">
      <c r="A425" s="10"/>
      <c r="B425" s="14" t="str">
        <f t="shared" ca="1" si="45"/>
        <v/>
      </c>
      <c r="C425" s="14" t="str">
        <f ca="1">IF(I424&lt;&gt;Variables!$B$1,IF(H424&lt;&gt;0,C424,I424),"")</f>
        <v/>
      </c>
      <c r="D425" s="29" t="str">
        <f t="shared" ca="1" si="42"/>
        <v/>
      </c>
      <c r="E425" s="29" t="str">
        <f t="shared" ca="1" si="43"/>
        <v/>
      </c>
      <c r="F425" s="29" t="str">
        <f ca="1">IF(C425&lt;&gt;"",IF(OR(VLOOKUP(C425,$C$3:$L$6,5,0)=Variables!$B$5,B425&gt;VLOOKUP(C425,$C$3:$L$6,8,0)),-D425*VLOOKUP(C425,$C$3:$L$6,6,0)/12,0),"")</f>
        <v/>
      </c>
      <c r="G425" s="29" t="str">
        <f ca="1">IF(I425&lt;&gt;Variables!$B$1,IF(C425&lt;&gt;"",$I$9-E425-F425,""),-D425)</f>
        <v/>
      </c>
      <c r="H425" s="29" t="str">
        <f t="shared" ca="1" si="46"/>
        <v/>
      </c>
      <c r="I425" s="31" t="str">
        <f ca="1">IF(C425&lt;&gt;"",IF(D425+$I$9-E425-F425&gt;=0,IF(ISERROR(INDEX($C$3:$C$6,MATCH(C425,$C$3:$C$6,0)+1,0)),Variables!$B$1,INDEX($C$3:$C$6,MATCH(C425,$C$3:$C$6,0)+1,0)),""),"")</f>
        <v/>
      </c>
      <c r="J425" s="29" t="str">
        <f ca="1">IF(ISERROR(VLOOKUP(I425,$C$3:$L$6,5,0)),"",IF(OR(VLOOKUP(I425,$C$3:$L$6,5,0)=Variables!$B$5,B425&gt;VLOOKUP(I425,$C$3:$L$6,8,0)),IF(VLOOKUP(I425,$C$3:$L$6,5,0)=Variables!$B$5,((YEAR(B425)-YEAR($B$12))*12+MONTH(B425)-MONTH($B$12)),((YEAR(B425)-YEAR(VLOOKUP(I425,$C$3:$L$6,8,0)))*12+MONTH(B425)-MONTH(VLOOKUP(I425,$C$3:$L$6,8,0))))*(VLOOKUP(I425,$C$3:$L$6,10,0)*VLOOKUP(I425,$C$3:$L$6,6,0)/12),0))</f>
        <v/>
      </c>
      <c r="K425" s="29" t="str">
        <f ca="1">IF(C425&lt;&gt;"",IF(I425&lt;&gt;"",IF(ISERROR(VLOOKUP(I425,$C$3:$L$6,10,0)),"",VLOOKUP(I425,$C$3:$L$6,10,0)+J425+IF(OR(VLOOKUP(I425,$C$3:$L$6,5,0)=Variables!$B$5,B425&gt;VLOOKUP(I425,$C$3:$L$6,8,0)),IF(VLOOKUP(I425,$C$3:$L$6,5,0)=Variables!$B$5,((YEAR(B425)-YEAR($B$12))*12+MONTH(B425)-MONTH($B$12)),((YEAR(B425)-YEAR(VLOOKUP(I425,$C$3:$L$6,8,0)))*12+MONTH(B425)-MONTH(VLOOKUP(I425,$C$3:$L$6,8,0))))*VLOOKUP(I425,$C$3:$L$6,7,0),0)),""),"")</f>
        <v/>
      </c>
      <c r="L425" s="29" t="str">
        <f t="shared" ca="1" si="44"/>
        <v/>
      </c>
      <c r="M425" s="10"/>
      <c r="N425" s="10"/>
    </row>
    <row r="426" spans="1:14" x14ac:dyDescent="0.25">
      <c r="A426" s="10"/>
      <c r="B426" s="14" t="str">
        <f t="shared" ca="1" si="45"/>
        <v/>
      </c>
      <c r="C426" s="14" t="str">
        <f ca="1">IF(I425&lt;&gt;Variables!$B$1,IF(H425&lt;&gt;0,C425,I425),"")</f>
        <v/>
      </c>
      <c r="D426" s="29" t="str">
        <f t="shared" ca="1" si="42"/>
        <v/>
      </c>
      <c r="E426" s="29" t="str">
        <f t="shared" ca="1" si="43"/>
        <v/>
      </c>
      <c r="F426" s="29" t="str">
        <f ca="1">IF(C426&lt;&gt;"",IF(OR(VLOOKUP(C426,$C$3:$L$6,5,0)=Variables!$B$5,B426&gt;VLOOKUP(C426,$C$3:$L$6,8,0)),-D426*VLOOKUP(C426,$C$3:$L$6,6,0)/12,0),"")</f>
        <v/>
      </c>
      <c r="G426" s="29" t="str">
        <f ca="1">IF(I426&lt;&gt;Variables!$B$1,IF(C426&lt;&gt;"",$I$9-E426-F426,""),-D426)</f>
        <v/>
      </c>
      <c r="H426" s="29" t="str">
        <f t="shared" ca="1" si="46"/>
        <v/>
      </c>
      <c r="I426" s="31" t="str">
        <f ca="1">IF(C426&lt;&gt;"",IF(D426+$I$9-E426-F426&gt;=0,IF(ISERROR(INDEX($C$3:$C$6,MATCH(C426,$C$3:$C$6,0)+1,0)),Variables!$B$1,INDEX($C$3:$C$6,MATCH(C426,$C$3:$C$6,0)+1,0)),""),"")</f>
        <v/>
      </c>
      <c r="J426" s="29" t="str">
        <f ca="1">IF(ISERROR(VLOOKUP(I426,$C$3:$L$6,5,0)),"",IF(OR(VLOOKUP(I426,$C$3:$L$6,5,0)=Variables!$B$5,B426&gt;VLOOKUP(I426,$C$3:$L$6,8,0)),IF(VLOOKUP(I426,$C$3:$L$6,5,0)=Variables!$B$5,((YEAR(B426)-YEAR($B$12))*12+MONTH(B426)-MONTH($B$12)),((YEAR(B426)-YEAR(VLOOKUP(I426,$C$3:$L$6,8,0)))*12+MONTH(B426)-MONTH(VLOOKUP(I426,$C$3:$L$6,8,0))))*(VLOOKUP(I426,$C$3:$L$6,10,0)*VLOOKUP(I426,$C$3:$L$6,6,0)/12),0))</f>
        <v/>
      </c>
      <c r="K426" s="29" t="str">
        <f ca="1">IF(C426&lt;&gt;"",IF(I426&lt;&gt;"",IF(ISERROR(VLOOKUP(I426,$C$3:$L$6,10,0)),"",VLOOKUP(I426,$C$3:$L$6,10,0)+J426+IF(OR(VLOOKUP(I426,$C$3:$L$6,5,0)=Variables!$B$5,B426&gt;VLOOKUP(I426,$C$3:$L$6,8,0)),IF(VLOOKUP(I426,$C$3:$L$6,5,0)=Variables!$B$5,((YEAR(B426)-YEAR($B$12))*12+MONTH(B426)-MONTH($B$12)),((YEAR(B426)-YEAR(VLOOKUP(I426,$C$3:$L$6,8,0)))*12+MONTH(B426)-MONTH(VLOOKUP(I426,$C$3:$L$6,8,0))))*VLOOKUP(I426,$C$3:$L$6,7,0),0)),""),"")</f>
        <v/>
      </c>
      <c r="L426" s="29" t="str">
        <f t="shared" ca="1" si="44"/>
        <v/>
      </c>
      <c r="M426" s="10"/>
      <c r="N426" s="10"/>
    </row>
    <row r="427" spans="1:14" x14ac:dyDescent="0.25">
      <c r="A427" s="10"/>
      <c r="B427" s="14" t="str">
        <f t="shared" ca="1" si="45"/>
        <v/>
      </c>
      <c r="C427" s="14" t="str">
        <f ca="1">IF(I426&lt;&gt;Variables!$B$1,IF(H426&lt;&gt;0,C426,I426),"")</f>
        <v/>
      </c>
      <c r="D427" s="29" t="str">
        <f t="shared" ca="1" si="42"/>
        <v/>
      </c>
      <c r="E427" s="29" t="str">
        <f t="shared" ca="1" si="43"/>
        <v/>
      </c>
      <c r="F427" s="29" t="str">
        <f ca="1">IF(C427&lt;&gt;"",IF(OR(VLOOKUP(C427,$C$3:$L$6,5,0)=Variables!$B$5,B427&gt;VLOOKUP(C427,$C$3:$L$6,8,0)),-D427*VLOOKUP(C427,$C$3:$L$6,6,0)/12,0),"")</f>
        <v/>
      </c>
      <c r="G427" s="29" t="str">
        <f ca="1">IF(I427&lt;&gt;Variables!$B$1,IF(C427&lt;&gt;"",$I$9-E427-F427,""),-D427)</f>
        <v/>
      </c>
      <c r="H427" s="29" t="str">
        <f t="shared" ca="1" si="46"/>
        <v/>
      </c>
      <c r="I427" s="31" t="str">
        <f ca="1">IF(C427&lt;&gt;"",IF(D427+$I$9-E427-F427&gt;=0,IF(ISERROR(INDEX($C$3:$C$6,MATCH(C427,$C$3:$C$6,0)+1,0)),Variables!$B$1,INDEX($C$3:$C$6,MATCH(C427,$C$3:$C$6,0)+1,0)),""),"")</f>
        <v/>
      </c>
      <c r="J427" s="29" t="str">
        <f ca="1">IF(ISERROR(VLOOKUP(I427,$C$3:$L$6,5,0)),"",IF(OR(VLOOKUP(I427,$C$3:$L$6,5,0)=Variables!$B$5,B427&gt;VLOOKUP(I427,$C$3:$L$6,8,0)),IF(VLOOKUP(I427,$C$3:$L$6,5,0)=Variables!$B$5,((YEAR(B427)-YEAR($B$12))*12+MONTH(B427)-MONTH($B$12)),((YEAR(B427)-YEAR(VLOOKUP(I427,$C$3:$L$6,8,0)))*12+MONTH(B427)-MONTH(VLOOKUP(I427,$C$3:$L$6,8,0))))*(VLOOKUP(I427,$C$3:$L$6,10,0)*VLOOKUP(I427,$C$3:$L$6,6,0)/12),0))</f>
        <v/>
      </c>
      <c r="K427" s="29" t="str">
        <f ca="1">IF(C427&lt;&gt;"",IF(I427&lt;&gt;"",IF(ISERROR(VLOOKUP(I427,$C$3:$L$6,10,0)),"",VLOOKUP(I427,$C$3:$L$6,10,0)+J427+IF(OR(VLOOKUP(I427,$C$3:$L$6,5,0)=Variables!$B$5,B427&gt;VLOOKUP(I427,$C$3:$L$6,8,0)),IF(VLOOKUP(I427,$C$3:$L$6,5,0)=Variables!$B$5,((YEAR(B427)-YEAR($B$12))*12+MONTH(B427)-MONTH($B$12)),((YEAR(B427)-YEAR(VLOOKUP(I427,$C$3:$L$6,8,0)))*12+MONTH(B427)-MONTH(VLOOKUP(I427,$C$3:$L$6,8,0))))*VLOOKUP(I427,$C$3:$L$6,7,0),0)),""),"")</f>
        <v/>
      </c>
      <c r="L427" s="29" t="str">
        <f t="shared" ca="1" si="44"/>
        <v/>
      </c>
      <c r="M427" s="10"/>
      <c r="N427" s="10"/>
    </row>
    <row r="428" spans="1:14" x14ac:dyDescent="0.25">
      <c r="A428" s="10"/>
      <c r="B428" s="14" t="str">
        <f t="shared" ca="1" si="45"/>
        <v/>
      </c>
      <c r="C428" s="14" t="str">
        <f ca="1">IF(I427&lt;&gt;Variables!$B$1,IF(H427&lt;&gt;0,C427,I427),"")</f>
        <v/>
      </c>
      <c r="D428" s="29" t="str">
        <f t="shared" ca="1" si="42"/>
        <v/>
      </c>
      <c r="E428" s="29" t="str">
        <f t="shared" ca="1" si="43"/>
        <v/>
      </c>
      <c r="F428" s="29" t="str">
        <f ca="1">IF(C428&lt;&gt;"",IF(OR(VLOOKUP(C428,$C$3:$L$6,5,0)=Variables!$B$5,B428&gt;VLOOKUP(C428,$C$3:$L$6,8,0)),-D428*VLOOKUP(C428,$C$3:$L$6,6,0)/12,0),"")</f>
        <v/>
      </c>
      <c r="G428" s="29" t="str">
        <f ca="1">IF(I428&lt;&gt;Variables!$B$1,IF(C428&lt;&gt;"",$I$9-E428-F428,""),-D428)</f>
        <v/>
      </c>
      <c r="H428" s="29" t="str">
        <f t="shared" ca="1" si="46"/>
        <v/>
      </c>
      <c r="I428" s="31" t="str">
        <f ca="1">IF(C428&lt;&gt;"",IF(D428+$I$9-E428-F428&gt;=0,IF(ISERROR(INDEX($C$3:$C$6,MATCH(C428,$C$3:$C$6,0)+1,0)),Variables!$B$1,INDEX($C$3:$C$6,MATCH(C428,$C$3:$C$6,0)+1,0)),""),"")</f>
        <v/>
      </c>
      <c r="J428" s="29" t="str">
        <f ca="1">IF(ISERROR(VLOOKUP(I428,$C$3:$L$6,5,0)),"",IF(OR(VLOOKUP(I428,$C$3:$L$6,5,0)=Variables!$B$5,B428&gt;VLOOKUP(I428,$C$3:$L$6,8,0)),IF(VLOOKUP(I428,$C$3:$L$6,5,0)=Variables!$B$5,((YEAR(B428)-YEAR($B$12))*12+MONTH(B428)-MONTH($B$12)),((YEAR(B428)-YEAR(VLOOKUP(I428,$C$3:$L$6,8,0)))*12+MONTH(B428)-MONTH(VLOOKUP(I428,$C$3:$L$6,8,0))))*(VLOOKUP(I428,$C$3:$L$6,10,0)*VLOOKUP(I428,$C$3:$L$6,6,0)/12),0))</f>
        <v/>
      </c>
      <c r="K428" s="29" t="str">
        <f ca="1">IF(C428&lt;&gt;"",IF(I428&lt;&gt;"",IF(ISERROR(VLOOKUP(I428,$C$3:$L$6,10,0)),"",VLOOKUP(I428,$C$3:$L$6,10,0)+J428+IF(OR(VLOOKUP(I428,$C$3:$L$6,5,0)=Variables!$B$5,B428&gt;VLOOKUP(I428,$C$3:$L$6,8,0)),IF(VLOOKUP(I428,$C$3:$L$6,5,0)=Variables!$B$5,((YEAR(B428)-YEAR($B$12))*12+MONTH(B428)-MONTH($B$12)),((YEAR(B428)-YEAR(VLOOKUP(I428,$C$3:$L$6,8,0)))*12+MONTH(B428)-MONTH(VLOOKUP(I428,$C$3:$L$6,8,0))))*VLOOKUP(I428,$C$3:$L$6,7,0),0)),""),"")</f>
        <v/>
      </c>
      <c r="L428" s="29" t="str">
        <f t="shared" ca="1" si="44"/>
        <v/>
      </c>
      <c r="M428" s="10"/>
      <c r="N428" s="10"/>
    </row>
    <row r="429" spans="1:14" x14ac:dyDescent="0.25">
      <c r="A429" s="10"/>
      <c r="B429" s="14" t="str">
        <f t="shared" ca="1" si="45"/>
        <v/>
      </c>
      <c r="C429" s="14" t="str">
        <f ca="1">IF(I428&lt;&gt;Variables!$B$1,IF(H428&lt;&gt;0,C428,I428),"")</f>
        <v/>
      </c>
      <c r="D429" s="29" t="str">
        <f t="shared" ca="1" si="42"/>
        <v/>
      </c>
      <c r="E429" s="29" t="str">
        <f t="shared" ca="1" si="43"/>
        <v/>
      </c>
      <c r="F429" s="29" t="str">
        <f ca="1">IF(C429&lt;&gt;"",IF(OR(VLOOKUP(C429,$C$3:$L$6,5,0)=Variables!$B$5,B429&gt;VLOOKUP(C429,$C$3:$L$6,8,0)),-D429*VLOOKUP(C429,$C$3:$L$6,6,0)/12,0),"")</f>
        <v/>
      </c>
      <c r="G429" s="29" t="str">
        <f ca="1">IF(I429&lt;&gt;Variables!$B$1,IF(C429&lt;&gt;"",$I$9-E429-F429,""),-D429)</f>
        <v/>
      </c>
      <c r="H429" s="29" t="str">
        <f t="shared" ca="1" si="46"/>
        <v/>
      </c>
      <c r="I429" s="31" t="str">
        <f ca="1">IF(C429&lt;&gt;"",IF(D429+$I$9-E429-F429&gt;=0,IF(ISERROR(INDEX($C$3:$C$6,MATCH(C429,$C$3:$C$6,0)+1,0)),Variables!$B$1,INDEX($C$3:$C$6,MATCH(C429,$C$3:$C$6,0)+1,0)),""),"")</f>
        <v/>
      </c>
      <c r="J429" s="29" t="str">
        <f ca="1">IF(ISERROR(VLOOKUP(I429,$C$3:$L$6,5,0)),"",IF(OR(VLOOKUP(I429,$C$3:$L$6,5,0)=Variables!$B$5,B429&gt;VLOOKUP(I429,$C$3:$L$6,8,0)),IF(VLOOKUP(I429,$C$3:$L$6,5,0)=Variables!$B$5,((YEAR(B429)-YEAR($B$12))*12+MONTH(B429)-MONTH($B$12)),((YEAR(B429)-YEAR(VLOOKUP(I429,$C$3:$L$6,8,0)))*12+MONTH(B429)-MONTH(VLOOKUP(I429,$C$3:$L$6,8,0))))*(VLOOKUP(I429,$C$3:$L$6,10,0)*VLOOKUP(I429,$C$3:$L$6,6,0)/12),0))</f>
        <v/>
      </c>
      <c r="K429" s="29" t="str">
        <f ca="1">IF(C429&lt;&gt;"",IF(I429&lt;&gt;"",IF(ISERROR(VLOOKUP(I429,$C$3:$L$6,10,0)),"",VLOOKUP(I429,$C$3:$L$6,10,0)+J429+IF(OR(VLOOKUP(I429,$C$3:$L$6,5,0)=Variables!$B$5,B429&gt;VLOOKUP(I429,$C$3:$L$6,8,0)),IF(VLOOKUP(I429,$C$3:$L$6,5,0)=Variables!$B$5,((YEAR(B429)-YEAR($B$12))*12+MONTH(B429)-MONTH($B$12)),((YEAR(B429)-YEAR(VLOOKUP(I429,$C$3:$L$6,8,0)))*12+MONTH(B429)-MONTH(VLOOKUP(I429,$C$3:$L$6,8,0))))*VLOOKUP(I429,$C$3:$L$6,7,0),0)),""),"")</f>
        <v/>
      </c>
      <c r="L429" s="29" t="str">
        <f t="shared" ca="1" si="44"/>
        <v/>
      </c>
      <c r="M429" s="10"/>
      <c r="N429" s="10"/>
    </row>
    <row r="430" spans="1:14" x14ac:dyDescent="0.25">
      <c r="A430" s="10"/>
      <c r="B430" s="14" t="str">
        <f t="shared" ca="1" si="45"/>
        <v/>
      </c>
      <c r="C430" s="14" t="str">
        <f ca="1">IF(I429&lt;&gt;Variables!$B$1,IF(H429&lt;&gt;0,C429,I429),"")</f>
        <v/>
      </c>
      <c r="D430" s="29" t="str">
        <f t="shared" ca="1" si="42"/>
        <v/>
      </c>
      <c r="E430" s="29" t="str">
        <f t="shared" ca="1" si="43"/>
        <v/>
      </c>
      <c r="F430" s="29" t="str">
        <f ca="1">IF(C430&lt;&gt;"",IF(OR(VLOOKUP(C430,$C$3:$L$6,5,0)=Variables!$B$5,B430&gt;VLOOKUP(C430,$C$3:$L$6,8,0)),-D430*VLOOKUP(C430,$C$3:$L$6,6,0)/12,0),"")</f>
        <v/>
      </c>
      <c r="G430" s="29" t="str">
        <f ca="1">IF(I430&lt;&gt;Variables!$B$1,IF(C430&lt;&gt;"",$I$9-E430-F430,""),-D430)</f>
        <v/>
      </c>
      <c r="H430" s="29" t="str">
        <f t="shared" ca="1" si="46"/>
        <v/>
      </c>
      <c r="I430" s="31" t="str">
        <f ca="1">IF(C430&lt;&gt;"",IF(D430+$I$9-E430-F430&gt;=0,IF(ISERROR(INDEX($C$3:$C$6,MATCH(C430,$C$3:$C$6,0)+1,0)),Variables!$B$1,INDEX($C$3:$C$6,MATCH(C430,$C$3:$C$6,0)+1,0)),""),"")</f>
        <v/>
      </c>
      <c r="J430" s="29" t="str">
        <f ca="1">IF(ISERROR(VLOOKUP(I430,$C$3:$L$6,5,0)),"",IF(OR(VLOOKUP(I430,$C$3:$L$6,5,0)=Variables!$B$5,B430&gt;VLOOKUP(I430,$C$3:$L$6,8,0)),IF(VLOOKUP(I430,$C$3:$L$6,5,0)=Variables!$B$5,((YEAR(B430)-YEAR($B$12))*12+MONTH(B430)-MONTH($B$12)),((YEAR(B430)-YEAR(VLOOKUP(I430,$C$3:$L$6,8,0)))*12+MONTH(B430)-MONTH(VLOOKUP(I430,$C$3:$L$6,8,0))))*(VLOOKUP(I430,$C$3:$L$6,10,0)*VLOOKUP(I430,$C$3:$L$6,6,0)/12),0))</f>
        <v/>
      </c>
      <c r="K430" s="29" t="str">
        <f ca="1">IF(C430&lt;&gt;"",IF(I430&lt;&gt;"",IF(ISERROR(VLOOKUP(I430,$C$3:$L$6,10,0)),"",VLOOKUP(I430,$C$3:$L$6,10,0)+J430+IF(OR(VLOOKUP(I430,$C$3:$L$6,5,0)=Variables!$B$5,B430&gt;VLOOKUP(I430,$C$3:$L$6,8,0)),IF(VLOOKUP(I430,$C$3:$L$6,5,0)=Variables!$B$5,((YEAR(B430)-YEAR($B$12))*12+MONTH(B430)-MONTH($B$12)),((YEAR(B430)-YEAR(VLOOKUP(I430,$C$3:$L$6,8,0)))*12+MONTH(B430)-MONTH(VLOOKUP(I430,$C$3:$L$6,8,0))))*VLOOKUP(I430,$C$3:$L$6,7,0),0)),""),"")</f>
        <v/>
      </c>
      <c r="L430" s="29" t="str">
        <f t="shared" ca="1" si="44"/>
        <v/>
      </c>
      <c r="M430" s="10"/>
      <c r="N430" s="10"/>
    </row>
    <row r="431" spans="1:14" x14ac:dyDescent="0.25">
      <c r="A431" s="10"/>
      <c r="B431" s="14" t="str">
        <f t="shared" ca="1" si="45"/>
        <v/>
      </c>
      <c r="C431" s="14" t="str">
        <f ca="1">IF(I430&lt;&gt;Variables!$B$1,IF(H430&lt;&gt;0,C430,I430),"")</f>
        <v/>
      </c>
      <c r="D431" s="29" t="str">
        <f t="shared" ca="1" si="42"/>
        <v/>
      </c>
      <c r="E431" s="29" t="str">
        <f t="shared" ca="1" si="43"/>
        <v/>
      </c>
      <c r="F431" s="29" t="str">
        <f ca="1">IF(C431&lt;&gt;"",IF(OR(VLOOKUP(C431,$C$3:$L$6,5,0)=Variables!$B$5,B431&gt;VLOOKUP(C431,$C$3:$L$6,8,0)),-D431*VLOOKUP(C431,$C$3:$L$6,6,0)/12,0),"")</f>
        <v/>
      </c>
      <c r="G431" s="29" t="str">
        <f ca="1">IF(I431&lt;&gt;Variables!$B$1,IF(C431&lt;&gt;"",$I$9-E431-F431,""),-D431)</f>
        <v/>
      </c>
      <c r="H431" s="29" t="str">
        <f t="shared" ca="1" si="46"/>
        <v/>
      </c>
      <c r="I431" s="31" t="str">
        <f ca="1">IF(C431&lt;&gt;"",IF(D431+$I$9-E431-F431&gt;=0,IF(ISERROR(INDEX($C$3:$C$6,MATCH(C431,$C$3:$C$6,0)+1,0)),Variables!$B$1,INDEX($C$3:$C$6,MATCH(C431,$C$3:$C$6,0)+1,0)),""),"")</f>
        <v/>
      </c>
      <c r="J431" s="29" t="str">
        <f ca="1">IF(ISERROR(VLOOKUP(I431,$C$3:$L$6,5,0)),"",IF(OR(VLOOKUP(I431,$C$3:$L$6,5,0)=Variables!$B$5,B431&gt;VLOOKUP(I431,$C$3:$L$6,8,0)),IF(VLOOKUP(I431,$C$3:$L$6,5,0)=Variables!$B$5,((YEAR(B431)-YEAR($B$12))*12+MONTH(B431)-MONTH($B$12)),((YEAR(B431)-YEAR(VLOOKUP(I431,$C$3:$L$6,8,0)))*12+MONTH(B431)-MONTH(VLOOKUP(I431,$C$3:$L$6,8,0))))*(VLOOKUP(I431,$C$3:$L$6,10,0)*VLOOKUP(I431,$C$3:$L$6,6,0)/12),0))</f>
        <v/>
      </c>
      <c r="K431" s="29" t="str">
        <f ca="1">IF(C431&lt;&gt;"",IF(I431&lt;&gt;"",IF(ISERROR(VLOOKUP(I431,$C$3:$L$6,10,0)),"",VLOOKUP(I431,$C$3:$L$6,10,0)+J431+IF(OR(VLOOKUP(I431,$C$3:$L$6,5,0)=Variables!$B$5,B431&gt;VLOOKUP(I431,$C$3:$L$6,8,0)),IF(VLOOKUP(I431,$C$3:$L$6,5,0)=Variables!$B$5,((YEAR(B431)-YEAR($B$12))*12+MONTH(B431)-MONTH($B$12)),((YEAR(B431)-YEAR(VLOOKUP(I431,$C$3:$L$6,8,0)))*12+MONTH(B431)-MONTH(VLOOKUP(I431,$C$3:$L$6,8,0))))*VLOOKUP(I431,$C$3:$L$6,7,0),0)),""),"")</f>
        <v/>
      </c>
      <c r="L431" s="29" t="str">
        <f t="shared" ca="1" si="44"/>
        <v/>
      </c>
      <c r="M431" s="10"/>
      <c r="N431" s="10"/>
    </row>
    <row r="432" spans="1:14" x14ac:dyDescent="0.25">
      <c r="A432" s="10"/>
      <c r="B432" s="14" t="str">
        <f t="shared" ca="1" si="45"/>
        <v/>
      </c>
      <c r="C432" s="14" t="str">
        <f ca="1">IF(I431&lt;&gt;Variables!$B$1,IF(H431&lt;&gt;0,C431,I431),"")</f>
        <v/>
      </c>
      <c r="D432" s="29" t="str">
        <f t="shared" ca="1" si="42"/>
        <v/>
      </c>
      <c r="E432" s="29" t="str">
        <f t="shared" ca="1" si="43"/>
        <v/>
      </c>
      <c r="F432" s="29" t="str">
        <f ca="1">IF(C432&lt;&gt;"",IF(OR(VLOOKUP(C432,$C$3:$L$6,5,0)=Variables!$B$5,B432&gt;VLOOKUP(C432,$C$3:$L$6,8,0)),-D432*VLOOKUP(C432,$C$3:$L$6,6,0)/12,0),"")</f>
        <v/>
      </c>
      <c r="G432" s="29" t="str">
        <f ca="1">IF(I432&lt;&gt;Variables!$B$1,IF(C432&lt;&gt;"",$I$9-E432-F432,""),-D432)</f>
        <v/>
      </c>
      <c r="H432" s="29" t="str">
        <f t="shared" ca="1" si="46"/>
        <v/>
      </c>
      <c r="I432" s="31" t="str">
        <f ca="1">IF(C432&lt;&gt;"",IF(D432+$I$9-E432-F432&gt;=0,IF(ISERROR(INDEX($C$3:$C$6,MATCH(C432,$C$3:$C$6,0)+1,0)),Variables!$B$1,INDEX($C$3:$C$6,MATCH(C432,$C$3:$C$6,0)+1,0)),""),"")</f>
        <v/>
      </c>
      <c r="J432" s="29" t="str">
        <f ca="1">IF(ISERROR(VLOOKUP(I432,$C$3:$L$6,5,0)),"",IF(OR(VLOOKUP(I432,$C$3:$L$6,5,0)=Variables!$B$5,B432&gt;VLOOKUP(I432,$C$3:$L$6,8,0)),IF(VLOOKUP(I432,$C$3:$L$6,5,0)=Variables!$B$5,((YEAR(B432)-YEAR($B$12))*12+MONTH(B432)-MONTH($B$12)),((YEAR(B432)-YEAR(VLOOKUP(I432,$C$3:$L$6,8,0)))*12+MONTH(B432)-MONTH(VLOOKUP(I432,$C$3:$L$6,8,0))))*(VLOOKUP(I432,$C$3:$L$6,10,0)*VLOOKUP(I432,$C$3:$L$6,6,0)/12),0))</f>
        <v/>
      </c>
      <c r="K432" s="29" t="str">
        <f ca="1">IF(C432&lt;&gt;"",IF(I432&lt;&gt;"",IF(ISERROR(VLOOKUP(I432,$C$3:$L$6,10,0)),"",VLOOKUP(I432,$C$3:$L$6,10,0)+J432+IF(OR(VLOOKUP(I432,$C$3:$L$6,5,0)=Variables!$B$5,B432&gt;VLOOKUP(I432,$C$3:$L$6,8,0)),IF(VLOOKUP(I432,$C$3:$L$6,5,0)=Variables!$B$5,((YEAR(B432)-YEAR($B$12))*12+MONTH(B432)-MONTH($B$12)),((YEAR(B432)-YEAR(VLOOKUP(I432,$C$3:$L$6,8,0)))*12+MONTH(B432)-MONTH(VLOOKUP(I432,$C$3:$L$6,8,0))))*VLOOKUP(I432,$C$3:$L$6,7,0),0)),""),"")</f>
        <v/>
      </c>
      <c r="L432" s="29" t="str">
        <f t="shared" ca="1" si="44"/>
        <v/>
      </c>
      <c r="M432" s="10"/>
      <c r="N432" s="10"/>
    </row>
    <row r="433" spans="1:14" x14ac:dyDescent="0.25">
      <c r="A433" s="10"/>
      <c r="B433" s="14" t="str">
        <f t="shared" ca="1" si="45"/>
        <v/>
      </c>
      <c r="C433" s="14" t="str">
        <f ca="1">IF(I432&lt;&gt;Variables!$B$1,IF(H432&lt;&gt;0,C432,I432),"")</f>
        <v/>
      </c>
      <c r="D433" s="29" t="str">
        <f t="shared" ca="1" si="42"/>
        <v/>
      </c>
      <c r="E433" s="29" t="str">
        <f t="shared" ca="1" si="43"/>
        <v/>
      </c>
      <c r="F433" s="29" t="str">
        <f ca="1">IF(C433&lt;&gt;"",IF(OR(VLOOKUP(C433,$C$3:$L$6,5,0)=Variables!$B$5,B433&gt;VLOOKUP(C433,$C$3:$L$6,8,0)),-D433*VLOOKUP(C433,$C$3:$L$6,6,0)/12,0),"")</f>
        <v/>
      </c>
      <c r="G433" s="29" t="str">
        <f ca="1">IF(I433&lt;&gt;Variables!$B$1,IF(C433&lt;&gt;"",$I$9-E433-F433,""),-D433)</f>
        <v/>
      </c>
      <c r="H433" s="29" t="str">
        <f t="shared" ca="1" si="46"/>
        <v/>
      </c>
      <c r="I433" s="31" t="str">
        <f ca="1">IF(C433&lt;&gt;"",IF(D433+$I$9-E433-F433&gt;=0,IF(ISERROR(INDEX($C$3:$C$6,MATCH(C433,$C$3:$C$6,0)+1,0)),Variables!$B$1,INDEX($C$3:$C$6,MATCH(C433,$C$3:$C$6,0)+1,0)),""),"")</f>
        <v/>
      </c>
      <c r="J433" s="29" t="str">
        <f ca="1">IF(ISERROR(VLOOKUP(I433,$C$3:$L$6,5,0)),"",IF(OR(VLOOKUP(I433,$C$3:$L$6,5,0)=Variables!$B$5,B433&gt;VLOOKUP(I433,$C$3:$L$6,8,0)),IF(VLOOKUP(I433,$C$3:$L$6,5,0)=Variables!$B$5,((YEAR(B433)-YEAR($B$12))*12+MONTH(B433)-MONTH($B$12)),((YEAR(B433)-YEAR(VLOOKUP(I433,$C$3:$L$6,8,0)))*12+MONTH(B433)-MONTH(VLOOKUP(I433,$C$3:$L$6,8,0))))*(VLOOKUP(I433,$C$3:$L$6,10,0)*VLOOKUP(I433,$C$3:$L$6,6,0)/12),0))</f>
        <v/>
      </c>
      <c r="K433" s="29" t="str">
        <f ca="1">IF(C433&lt;&gt;"",IF(I433&lt;&gt;"",IF(ISERROR(VLOOKUP(I433,$C$3:$L$6,10,0)),"",VLOOKUP(I433,$C$3:$L$6,10,0)+J433+IF(OR(VLOOKUP(I433,$C$3:$L$6,5,0)=Variables!$B$5,B433&gt;VLOOKUP(I433,$C$3:$L$6,8,0)),IF(VLOOKUP(I433,$C$3:$L$6,5,0)=Variables!$B$5,((YEAR(B433)-YEAR($B$12))*12+MONTH(B433)-MONTH($B$12)),((YEAR(B433)-YEAR(VLOOKUP(I433,$C$3:$L$6,8,0)))*12+MONTH(B433)-MONTH(VLOOKUP(I433,$C$3:$L$6,8,0))))*VLOOKUP(I433,$C$3:$L$6,7,0),0)),""),"")</f>
        <v/>
      </c>
      <c r="L433" s="29" t="str">
        <f t="shared" ca="1" si="44"/>
        <v/>
      </c>
      <c r="M433" s="10"/>
      <c r="N433" s="10"/>
    </row>
    <row r="434" spans="1:14" x14ac:dyDescent="0.25">
      <c r="A434" s="10"/>
      <c r="B434" s="14" t="str">
        <f t="shared" ca="1" si="45"/>
        <v/>
      </c>
      <c r="C434" s="14" t="str">
        <f ca="1">IF(I433&lt;&gt;Variables!$B$1,IF(H433&lt;&gt;0,C433,I433),"")</f>
        <v/>
      </c>
      <c r="D434" s="29" t="str">
        <f t="shared" ca="1" si="42"/>
        <v/>
      </c>
      <c r="E434" s="29" t="str">
        <f t="shared" ca="1" si="43"/>
        <v/>
      </c>
      <c r="F434" s="29" t="str">
        <f ca="1">IF(C434&lt;&gt;"",IF(OR(VLOOKUP(C434,$C$3:$L$6,5,0)=Variables!$B$5,B434&gt;VLOOKUP(C434,$C$3:$L$6,8,0)),-D434*VLOOKUP(C434,$C$3:$L$6,6,0)/12,0),"")</f>
        <v/>
      </c>
      <c r="G434" s="29" t="str">
        <f ca="1">IF(I434&lt;&gt;Variables!$B$1,IF(C434&lt;&gt;"",$I$9-E434-F434,""),-D434)</f>
        <v/>
      </c>
      <c r="H434" s="29" t="str">
        <f t="shared" ca="1" si="46"/>
        <v/>
      </c>
      <c r="I434" s="31" t="str">
        <f ca="1">IF(C434&lt;&gt;"",IF(D434+$I$9-E434-F434&gt;=0,IF(ISERROR(INDEX($C$3:$C$6,MATCH(C434,$C$3:$C$6,0)+1,0)),Variables!$B$1,INDEX($C$3:$C$6,MATCH(C434,$C$3:$C$6,0)+1,0)),""),"")</f>
        <v/>
      </c>
      <c r="J434" s="29" t="str">
        <f ca="1">IF(ISERROR(VLOOKUP(I434,$C$3:$L$6,5,0)),"",IF(OR(VLOOKUP(I434,$C$3:$L$6,5,0)=Variables!$B$5,B434&gt;VLOOKUP(I434,$C$3:$L$6,8,0)),IF(VLOOKUP(I434,$C$3:$L$6,5,0)=Variables!$B$5,((YEAR(B434)-YEAR($B$12))*12+MONTH(B434)-MONTH($B$12)),((YEAR(B434)-YEAR(VLOOKUP(I434,$C$3:$L$6,8,0)))*12+MONTH(B434)-MONTH(VLOOKUP(I434,$C$3:$L$6,8,0))))*(VLOOKUP(I434,$C$3:$L$6,10,0)*VLOOKUP(I434,$C$3:$L$6,6,0)/12),0))</f>
        <v/>
      </c>
      <c r="K434" s="29" t="str">
        <f ca="1">IF(C434&lt;&gt;"",IF(I434&lt;&gt;"",IF(ISERROR(VLOOKUP(I434,$C$3:$L$6,10,0)),"",VLOOKUP(I434,$C$3:$L$6,10,0)+J434+IF(OR(VLOOKUP(I434,$C$3:$L$6,5,0)=Variables!$B$5,B434&gt;VLOOKUP(I434,$C$3:$L$6,8,0)),IF(VLOOKUP(I434,$C$3:$L$6,5,0)=Variables!$B$5,((YEAR(B434)-YEAR($B$12))*12+MONTH(B434)-MONTH($B$12)),((YEAR(B434)-YEAR(VLOOKUP(I434,$C$3:$L$6,8,0)))*12+MONTH(B434)-MONTH(VLOOKUP(I434,$C$3:$L$6,8,0))))*VLOOKUP(I434,$C$3:$L$6,7,0),0)),""),"")</f>
        <v/>
      </c>
      <c r="L434" s="29" t="str">
        <f t="shared" ca="1" si="44"/>
        <v/>
      </c>
      <c r="M434" s="10"/>
      <c r="N434" s="10"/>
    </row>
    <row r="435" spans="1:14" x14ac:dyDescent="0.25">
      <c r="A435" s="10"/>
      <c r="B435" s="14" t="str">
        <f t="shared" ca="1" si="45"/>
        <v/>
      </c>
      <c r="C435" s="14" t="str">
        <f ca="1">IF(I434&lt;&gt;Variables!$B$1,IF(H434&lt;&gt;0,C434,I434),"")</f>
        <v/>
      </c>
      <c r="D435" s="29" t="str">
        <f t="shared" ca="1" si="42"/>
        <v/>
      </c>
      <c r="E435" s="29" t="str">
        <f t="shared" ca="1" si="43"/>
        <v/>
      </c>
      <c r="F435" s="29" t="str">
        <f ca="1">IF(C435&lt;&gt;"",IF(OR(VLOOKUP(C435,$C$3:$L$6,5,0)=Variables!$B$5,B435&gt;VLOOKUP(C435,$C$3:$L$6,8,0)),-D435*VLOOKUP(C435,$C$3:$L$6,6,0)/12,0),"")</f>
        <v/>
      </c>
      <c r="G435" s="29" t="str">
        <f ca="1">IF(I435&lt;&gt;Variables!$B$1,IF(C435&lt;&gt;"",$I$9-E435-F435,""),-D435)</f>
        <v/>
      </c>
      <c r="H435" s="29" t="str">
        <f t="shared" ca="1" si="46"/>
        <v/>
      </c>
      <c r="I435" s="31" t="str">
        <f ca="1">IF(C435&lt;&gt;"",IF(D435+$I$9-E435-F435&gt;=0,IF(ISERROR(INDEX($C$3:$C$6,MATCH(C435,$C$3:$C$6,0)+1,0)),Variables!$B$1,INDEX($C$3:$C$6,MATCH(C435,$C$3:$C$6,0)+1,0)),""),"")</f>
        <v/>
      </c>
      <c r="J435" s="29" t="str">
        <f ca="1">IF(ISERROR(VLOOKUP(I435,$C$3:$L$6,5,0)),"",IF(OR(VLOOKUP(I435,$C$3:$L$6,5,0)=Variables!$B$5,B435&gt;VLOOKUP(I435,$C$3:$L$6,8,0)),IF(VLOOKUP(I435,$C$3:$L$6,5,0)=Variables!$B$5,((YEAR(B435)-YEAR($B$12))*12+MONTH(B435)-MONTH($B$12)),((YEAR(B435)-YEAR(VLOOKUP(I435,$C$3:$L$6,8,0)))*12+MONTH(B435)-MONTH(VLOOKUP(I435,$C$3:$L$6,8,0))))*(VLOOKUP(I435,$C$3:$L$6,10,0)*VLOOKUP(I435,$C$3:$L$6,6,0)/12),0))</f>
        <v/>
      </c>
      <c r="K435" s="29" t="str">
        <f ca="1">IF(C435&lt;&gt;"",IF(I435&lt;&gt;"",IF(ISERROR(VLOOKUP(I435,$C$3:$L$6,10,0)),"",VLOOKUP(I435,$C$3:$L$6,10,0)+J435+IF(OR(VLOOKUP(I435,$C$3:$L$6,5,0)=Variables!$B$5,B435&gt;VLOOKUP(I435,$C$3:$L$6,8,0)),IF(VLOOKUP(I435,$C$3:$L$6,5,0)=Variables!$B$5,((YEAR(B435)-YEAR($B$12))*12+MONTH(B435)-MONTH($B$12)),((YEAR(B435)-YEAR(VLOOKUP(I435,$C$3:$L$6,8,0)))*12+MONTH(B435)-MONTH(VLOOKUP(I435,$C$3:$L$6,8,0))))*VLOOKUP(I435,$C$3:$L$6,7,0),0)),""),"")</f>
        <v/>
      </c>
      <c r="L435" s="29" t="str">
        <f t="shared" ca="1" si="44"/>
        <v/>
      </c>
      <c r="M435" s="10"/>
      <c r="N435" s="10"/>
    </row>
    <row r="436" spans="1:14" x14ac:dyDescent="0.25">
      <c r="A436" s="10"/>
      <c r="B436" s="14" t="str">
        <f t="shared" ca="1" si="45"/>
        <v/>
      </c>
      <c r="C436" s="14" t="str">
        <f ca="1">IF(I435&lt;&gt;Variables!$B$1,IF(H435&lt;&gt;0,C435,I435),"")</f>
        <v/>
      </c>
      <c r="D436" s="29" t="str">
        <f t="shared" ca="1" si="42"/>
        <v/>
      </c>
      <c r="E436" s="29" t="str">
        <f t="shared" ca="1" si="43"/>
        <v/>
      </c>
      <c r="F436" s="29" t="str">
        <f ca="1">IF(C436&lt;&gt;"",IF(OR(VLOOKUP(C436,$C$3:$L$6,5,0)=Variables!$B$5,B436&gt;VLOOKUP(C436,$C$3:$L$6,8,0)),-D436*VLOOKUP(C436,$C$3:$L$6,6,0)/12,0),"")</f>
        <v/>
      </c>
      <c r="G436" s="29" t="str">
        <f ca="1">IF(I436&lt;&gt;Variables!$B$1,IF(C436&lt;&gt;"",$I$9-E436-F436,""),-D436)</f>
        <v/>
      </c>
      <c r="H436" s="29" t="str">
        <f t="shared" ca="1" si="46"/>
        <v/>
      </c>
      <c r="I436" s="31" t="str">
        <f ca="1">IF(C436&lt;&gt;"",IF(D436+$I$9-E436-F436&gt;=0,IF(ISERROR(INDEX($C$3:$C$6,MATCH(C436,$C$3:$C$6,0)+1,0)),Variables!$B$1,INDEX($C$3:$C$6,MATCH(C436,$C$3:$C$6,0)+1,0)),""),"")</f>
        <v/>
      </c>
      <c r="J436" s="29" t="str">
        <f ca="1">IF(ISERROR(VLOOKUP(I436,$C$3:$L$6,5,0)),"",IF(OR(VLOOKUP(I436,$C$3:$L$6,5,0)=Variables!$B$5,B436&gt;VLOOKUP(I436,$C$3:$L$6,8,0)),IF(VLOOKUP(I436,$C$3:$L$6,5,0)=Variables!$B$5,((YEAR(B436)-YEAR($B$12))*12+MONTH(B436)-MONTH($B$12)),((YEAR(B436)-YEAR(VLOOKUP(I436,$C$3:$L$6,8,0)))*12+MONTH(B436)-MONTH(VLOOKUP(I436,$C$3:$L$6,8,0))))*(VLOOKUP(I436,$C$3:$L$6,10,0)*VLOOKUP(I436,$C$3:$L$6,6,0)/12),0))</f>
        <v/>
      </c>
      <c r="K436" s="29" t="str">
        <f ca="1">IF(C436&lt;&gt;"",IF(I436&lt;&gt;"",IF(ISERROR(VLOOKUP(I436,$C$3:$L$6,10,0)),"",VLOOKUP(I436,$C$3:$L$6,10,0)+J436+IF(OR(VLOOKUP(I436,$C$3:$L$6,5,0)=Variables!$B$5,B436&gt;VLOOKUP(I436,$C$3:$L$6,8,0)),IF(VLOOKUP(I436,$C$3:$L$6,5,0)=Variables!$B$5,((YEAR(B436)-YEAR($B$12))*12+MONTH(B436)-MONTH($B$12)),((YEAR(B436)-YEAR(VLOOKUP(I436,$C$3:$L$6,8,0)))*12+MONTH(B436)-MONTH(VLOOKUP(I436,$C$3:$L$6,8,0))))*VLOOKUP(I436,$C$3:$L$6,7,0),0)),""),"")</f>
        <v/>
      </c>
      <c r="L436" s="29" t="str">
        <f t="shared" ca="1" si="44"/>
        <v/>
      </c>
      <c r="M436" s="10"/>
      <c r="N436" s="10"/>
    </row>
    <row r="437" spans="1:14" x14ac:dyDescent="0.25">
      <c r="A437" s="10"/>
      <c r="B437" s="14" t="str">
        <f t="shared" ca="1" si="45"/>
        <v/>
      </c>
      <c r="C437" s="14" t="str">
        <f ca="1">IF(I436&lt;&gt;Variables!$B$1,IF(H436&lt;&gt;0,C436,I436),"")</f>
        <v/>
      </c>
      <c r="D437" s="29" t="str">
        <f t="shared" ca="1" si="42"/>
        <v/>
      </c>
      <c r="E437" s="29" t="str">
        <f t="shared" ca="1" si="43"/>
        <v/>
      </c>
      <c r="F437" s="29" t="str">
        <f ca="1">IF(C437&lt;&gt;"",IF(OR(VLOOKUP(C437,$C$3:$L$6,5,0)=Variables!$B$5,B437&gt;VLOOKUP(C437,$C$3:$L$6,8,0)),-D437*VLOOKUP(C437,$C$3:$L$6,6,0)/12,0),"")</f>
        <v/>
      </c>
      <c r="G437" s="29" t="str">
        <f ca="1">IF(I437&lt;&gt;Variables!$B$1,IF(C437&lt;&gt;"",$I$9-E437-F437,""),-D437)</f>
        <v/>
      </c>
      <c r="H437" s="29" t="str">
        <f t="shared" ca="1" si="46"/>
        <v/>
      </c>
      <c r="I437" s="31" t="str">
        <f ca="1">IF(C437&lt;&gt;"",IF(D437+$I$9-E437-F437&gt;=0,IF(ISERROR(INDEX($C$3:$C$6,MATCH(C437,$C$3:$C$6,0)+1,0)),Variables!$B$1,INDEX($C$3:$C$6,MATCH(C437,$C$3:$C$6,0)+1,0)),""),"")</f>
        <v/>
      </c>
      <c r="J437" s="29" t="str">
        <f ca="1">IF(ISERROR(VLOOKUP(I437,$C$3:$L$6,5,0)),"",IF(OR(VLOOKUP(I437,$C$3:$L$6,5,0)=Variables!$B$5,B437&gt;VLOOKUP(I437,$C$3:$L$6,8,0)),IF(VLOOKUP(I437,$C$3:$L$6,5,0)=Variables!$B$5,((YEAR(B437)-YEAR($B$12))*12+MONTH(B437)-MONTH($B$12)),((YEAR(B437)-YEAR(VLOOKUP(I437,$C$3:$L$6,8,0)))*12+MONTH(B437)-MONTH(VLOOKUP(I437,$C$3:$L$6,8,0))))*(VLOOKUP(I437,$C$3:$L$6,10,0)*VLOOKUP(I437,$C$3:$L$6,6,0)/12),0))</f>
        <v/>
      </c>
      <c r="K437" s="29" t="str">
        <f ca="1">IF(C437&lt;&gt;"",IF(I437&lt;&gt;"",IF(ISERROR(VLOOKUP(I437,$C$3:$L$6,10,0)),"",VLOOKUP(I437,$C$3:$L$6,10,0)+J437+IF(OR(VLOOKUP(I437,$C$3:$L$6,5,0)=Variables!$B$5,B437&gt;VLOOKUP(I437,$C$3:$L$6,8,0)),IF(VLOOKUP(I437,$C$3:$L$6,5,0)=Variables!$B$5,((YEAR(B437)-YEAR($B$12))*12+MONTH(B437)-MONTH($B$12)),((YEAR(B437)-YEAR(VLOOKUP(I437,$C$3:$L$6,8,0)))*12+MONTH(B437)-MONTH(VLOOKUP(I437,$C$3:$L$6,8,0))))*VLOOKUP(I437,$C$3:$L$6,7,0),0)),""),"")</f>
        <v/>
      </c>
      <c r="L437" s="29" t="str">
        <f t="shared" ca="1" si="44"/>
        <v/>
      </c>
      <c r="M437" s="10"/>
      <c r="N437" s="10"/>
    </row>
    <row r="438" spans="1:14" x14ac:dyDescent="0.25">
      <c r="A438" s="10"/>
      <c r="B438" s="14" t="str">
        <f t="shared" ca="1" si="45"/>
        <v/>
      </c>
      <c r="C438" s="14" t="str">
        <f ca="1">IF(I437&lt;&gt;Variables!$B$1,IF(H437&lt;&gt;0,C437,I437),"")</f>
        <v/>
      </c>
      <c r="D438" s="29" t="str">
        <f t="shared" ca="1" si="42"/>
        <v/>
      </c>
      <c r="E438" s="29" t="str">
        <f t="shared" ca="1" si="43"/>
        <v/>
      </c>
      <c r="F438" s="29" t="str">
        <f ca="1">IF(C438&lt;&gt;"",IF(OR(VLOOKUP(C438,$C$3:$L$6,5,0)=Variables!$B$5,B438&gt;VLOOKUP(C438,$C$3:$L$6,8,0)),-D438*VLOOKUP(C438,$C$3:$L$6,6,0)/12,0),"")</f>
        <v/>
      </c>
      <c r="G438" s="29" t="str">
        <f ca="1">IF(I438&lt;&gt;Variables!$B$1,IF(C438&lt;&gt;"",$I$9-E438-F438,""),-D438)</f>
        <v/>
      </c>
      <c r="H438" s="29" t="str">
        <f t="shared" ca="1" si="46"/>
        <v/>
      </c>
      <c r="I438" s="31" t="str">
        <f ca="1">IF(C438&lt;&gt;"",IF(D438+$I$9-E438-F438&gt;=0,IF(ISERROR(INDEX($C$3:$C$6,MATCH(C438,$C$3:$C$6,0)+1,0)),Variables!$B$1,INDEX($C$3:$C$6,MATCH(C438,$C$3:$C$6,0)+1,0)),""),"")</f>
        <v/>
      </c>
      <c r="J438" s="29" t="str">
        <f ca="1">IF(ISERROR(VLOOKUP(I438,$C$3:$L$6,5,0)),"",IF(OR(VLOOKUP(I438,$C$3:$L$6,5,0)=Variables!$B$5,B438&gt;VLOOKUP(I438,$C$3:$L$6,8,0)),IF(VLOOKUP(I438,$C$3:$L$6,5,0)=Variables!$B$5,((YEAR(B438)-YEAR($B$12))*12+MONTH(B438)-MONTH($B$12)),((YEAR(B438)-YEAR(VLOOKUP(I438,$C$3:$L$6,8,0)))*12+MONTH(B438)-MONTH(VLOOKUP(I438,$C$3:$L$6,8,0))))*(VLOOKUP(I438,$C$3:$L$6,10,0)*VLOOKUP(I438,$C$3:$L$6,6,0)/12),0))</f>
        <v/>
      </c>
      <c r="K438" s="29" t="str">
        <f ca="1">IF(C438&lt;&gt;"",IF(I438&lt;&gt;"",IF(ISERROR(VLOOKUP(I438,$C$3:$L$6,10,0)),"",VLOOKUP(I438,$C$3:$L$6,10,0)+J438+IF(OR(VLOOKUP(I438,$C$3:$L$6,5,0)=Variables!$B$5,B438&gt;VLOOKUP(I438,$C$3:$L$6,8,0)),IF(VLOOKUP(I438,$C$3:$L$6,5,0)=Variables!$B$5,((YEAR(B438)-YEAR($B$12))*12+MONTH(B438)-MONTH($B$12)),((YEAR(B438)-YEAR(VLOOKUP(I438,$C$3:$L$6,8,0)))*12+MONTH(B438)-MONTH(VLOOKUP(I438,$C$3:$L$6,8,0))))*VLOOKUP(I438,$C$3:$L$6,7,0),0)),""),"")</f>
        <v/>
      </c>
      <c r="L438" s="29" t="str">
        <f t="shared" ca="1" si="44"/>
        <v/>
      </c>
      <c r="M438" s="10"/>
      <c r="N438" s="10"/>
    </row>
    <row r="439" spans="1:14" x14ac:dyDescent="0.25">
      <c r="A439" s="10"/>
      <c r="B439" s="14" t="str">
        <f t="shared" ca="1" si="45"/>
        <v/>
      </c>
      <c r="C439" s="14" t="str">
        <f ca="1">IF(I438&lt;&gt;Variables!$B$1,IF(H438&lt;&gt;0,C438,I438),"")</f>
        <v/>
      </c>
      <c r="D439" s="29" t="str">
        <f t="shared" ca="1" si="42"/>
        <v/>
      </c>
      <c r="E439" s="29" t="str">
        <f t="shared" ca="1" si="43"/>
        <v/>
      </c>
      <c r="F439" s="29" t="str">
        <f ca="1">IF(C439&lt;&gt;"",IF(OR(VLOOKUP(C439,$C$3:$L$6,5,0)=Variables!$B$5,B439&gt;VLOOKUP(C439,$C$3:$L$6,8,0)),-D439*VLOOKUP(C439,$C$3:$L$6,6,0)/12,0),"")</f>
        <v/>
      </c>
      <c r="G439" s="29" t="str">
        <f ca="1">IF(I439&lt;&gt;Variables!$B$1,IF(C439&lt;&gt;"",$I$9-E439-F439,""),-D439)</f>
        <v/>
      </c>
      <c r="H439" s="29" t="str">
        <f t="shared" ca="1" si="46"/>
        <v/>
      </c>
      <c r="I439" s="31" t="str">
        <f ca="1">IF(C439&lt;&gt;"",IF(D439+$I$9-E439-F439&gt;=0,IF(ISERROR(INDEX($C$3:$C$6,MATCH(C439,$C$3:$C$6,0)+1,0)),Variables!$B$1,INDEX($C$3:$C$6,MATCH(C439,$C$3:$C$6,0)+1,0)),""),"")</f>
        <v/>
      </c>
      <c r="J439" s="29" t="str">
        <f ca="1">IF(ISERROR(VLOOKUP(I439,$C$3:$L$6,5,0)),"",IF(OR(VLOOKUP(I439,$C$3:$L$6,5,0)=Variables!$B$5,B439&gt;VLOOKUP(I439,$C$3:$L$6,8,0)),IF(VLOOKUP(I439,$C$3:$L$6,5,0)=Variables!$B$5,((YEAR(B439)-YEAR($B$12))*12+MONTH(B439)-MONTH($B$12)),((YEAR(B439)-YEAR(VLOOKUP(I439,$C$3:$L$6,8,0)))*12+MONTH(B439)-MONTH(VLOOKUP(I439,$C$3:$L$6,8,0))))*(VLOOKUP(I439,$C$3:$L$6,10,0)*VLOOKUP(I439,$C$3:$L$6,6,0)/12),0))</f>
        <v/>
      </c>
      <c r="K439" s="29" t="str">
        <f ca="1">IF(C439&lt;&gt;"",IF(I439&lt;&gt;"",IF(ISERROR(VLOOKUP(I439,$C$3:$L$6,10,0)),"",VLOOKUP(I439,$C$3:$L$6,10,0)+J439+IF(OR(VLOOKUP(I439,$C$3:$L$6,5,0)=Variables!$B$5,B439&gt;VLOOKUP(I439,$C$3:$L$6,8,0)),IF(VLOOKUP(I439,$C$3:$L$6,5,0)=Variables!$B$5,((YEAR(B439)-YEAR($B$12))*12+MONTH(B439)-MONTH($B$12)),((YEAR(B439)-YEAR(VLOOKUP(I439,$C$3:$L$6,8,0)))*12+MONTH(B439)-MONTH(VLOOKUP(I439,$C$3:$L$6,8,0))))*VLOOKUP(I439,$C$3:$L$6,7,0),0)),""),"")</f>
        <v/>
      </c>
      <c r="L439" s="29" t="str">
        <f t="shared" ca="1" si="44"/>
        <v/>
      </c>
      <c r="M439" s="10"/>
      <c r="N439" s="10"/>
    </row>
    <row r="440" spans="1:14" x14ac:dyDescent="0.25">
      <c r="A440" s="10"/>
      <c r="B440" s="14" t="str">
        <f t="shared" ca="1" si="45"/>
        <v/>
      </c>
      <c r="C440" s="14" t="str">
        <f ca="1">IF(I439&lt;&gt;Variables!$B$1,IF(H439&lt;&gt;0,C439,I439),"")</f>
        <v/>
      </c>
      <c r="D440" s="29" t="str">
        <f t="shared" ca="1" si="42"/>
        <v/>
      </c>
      <c r="E440" s="29" t="str">
        <f t="shared" ca="1" si="43"/>
        <v/>
      </c>
      <c r="F440" s="29" t="str">
        <f ca="1">IF(C440&lt;&gt;"",IF(OR(VLOOKUP(C440,$C$3:$L$6,5,0)=Variables!$B$5,B440&gt;VLOOKUP(C440,$C$3:$L$6,8,0)),-D440*VLOOKUP(C440,$C$3:$L$6,6,0)/12,0),"")</f>
        <v/>
      </c>
      <c r="G440" s="29" t="str">
        <f ca="1">IF(I440&lt;&gt;Variables!$B$1,IF(C440&lt;&gt;"",$I$9-E440-F440,""),-D440)</f>
        <v/>
      </c>
      <c r="H440" s="29" t="str">
        <f t="shared" ca="1" si="46"/>
        <v/>
      </c>
      <c r="I440" s="31" t="str">
        <f ca="1">IF(C440&lt;&gt;"",IF(D440+$I$9-E440-F440&gt;=0,IF(ISERROR(INDEX($C$3:$C$6,MATCH(C440,$C$3:$C$6,0)+1,0)),Variables!$B$1,INDEX($C$3:$C$6,MATCH(C440,$C$3:$C$6,0)+1,0)),""),"")</f>
        <v/>
      </c>
      <c r="J440" s="29" t="str">
        <f ca="1">IF(ISERROR(VLOOKUP(I440,$C$3:$L$6,5,0)),"",IF(OR(VLOOKUP(I440,$C$3:$L$6,5,0)=Variables!$B$5,B440&gt;VLOOKUP(I440,$C$3:$L$6,8,0)),IF(VLOOKUP(I440,$C$3:$L$6,5,0)=Variables!$B$5,((YEAR(B440)-YEAR($B$12))*12+MONTH(B440)-MONTH($B$12)),((YEAR(B440)-YEAR(VLOOKUP(I440,$C$3:$L$6,8,0)))*12+MONTH(B440)-MONTH(VLOOKUP(I440,$C$3:$L$6,8,0))))*(VLOOKUP(I440,$C$3:$L$6,10,0)*VLOOKUP(I440,$C$3:$L$6,6,0)/12),0))</f>
        <v/>
      </c>
      <c r="K440" s="29" t="str">
        <f ca="1">IF(C440&lt;&gt;"",IF(I440&lt;&gt;"",IF(ISERROR(VLOOKUP(I440,$C$3:$L$6,10,0)),"",VLOOKUP(I440,$C$3:$L$6,10,0)+J440+IF(OR(VLOOKUP(I440,$C$3:$L$6,5,0)=Variables!$B$5,B440&gt;VLOOKUP(I440,$C$3:$L$6,8,0)),IF(VLOOKUP(I440,$C$3:$L$6,5,0)=Variables!$B$5,((YEAR(B440)-YEAR($B$12))*12+MONTH(B440)-MONTH($B$12)),((YEAR(B440)-YEAR(VLOOKUP(I440,$C$3:$L$6,8,0)))*12+MONTH(B440)-MONTH(VLOOKUP(I440,$C$3:$L$6,8,0))))*VLOOKUP(I440,$C$3:$L$6,7,0),0)),""),"")</f>
        <v/>
      </c>
      <c r="L440" s="29" t="str">
        <f t="shared" ca="1" si="44"/>
        <v/>
      </c>
      <c r="M440" s="10"/>
      <c r="N440" s="10"/>
    </row>
    <row r="441" spans="1:14" x14ac:dyDescent="0.25">
      <c r="A441" s="10"/>
      <c r="B441" s="14" t="str">
        <f t="shared" ca="1" si="45"/>
        <v/>
      </c>
      <c r="C441" s="14" t="str">
        <f ca="1">IF(I440&lt;&gt;Variables!$B$1,IF(H440&lt;&gt;0,C440,I440),"")</f>
        <v/>
      </c>
      <c r="D441" s="29" t="str">
        <f t="shared" ca="1" si="42"/>
        <v/>
      </c>
      <c r="E441" s="29" t="str">
        <f t="shared" ca="1" si="43"/>
        <v/>
      </c>
      <c r="F441" s="29" t="str">
        <f ca="1">IF(C441&lt;&gt;"",IF(OR(VLOOKUP(C441,$C$3:$L$6,5,0)=Variables!$B$5,B441&gt;VLOOKUP(C441,$C$3:$L$6,8,0)),-D441*VLOOKUP(C441,$C$3:$L$6,6,0)/12,0),"")</f>
        <v/>
      </c>
      <c r="G441" s="29" t="str">
        <f ca="1">IF(I441&lt;&gt;Variables!$B$1,IF(C441&lt;&gt;"",$I$9-E441-F441,""),-D441)</f>
        <v/>
      </c>
      <c r="H441" s="29" t="str">
        <f t="shared" ca="1" si="46"/>
        <v/>
      </c>
      <c r="I441" s="31" t="str">
        <f ca="1">IF(C441&lt;&gt;"",IF(D441+$I$9-E441-F441&gt;=0,IF(ISERROR(INDEX($C$3:$C$6,MATCH(C441,$C$3:$C$6,0)+1,0)),Variables!$B$1,INDEX($C$3:$C$6,MATCH(C441,$C$3:$C$6,0)+1,0)),""),"")</f>
        <v/>
      </c>
      <c r="J441" s="29" t="str">
        <f ca="1">IF(ISERROR(VLOOKUP(I441,$C$3:$L$6,5,0)),"",IF(OR(VLOOKUP(I441,$C$3:$L$6,5,0)=Variables!$B$5,B441&gt;VLOOKUP(I441,$C$3:$L$6,8,0)),IF(VLOOKUP(I441,$C$3:$L$6,5,0)=Variables!$B$5,((YEAR(B441)-YEAR($B$12))*12+MONTH(B441)-MONTH($B$12)),((YEAR(B441)-YEAR(VLOOKUP(I441,$C$3:$L$6,8,0)))*12+MONTH(B441)-MONTH(VLOOKUP(I441,$C$3:$L$6,8,0))))*(VLOOKUP(I441,$C$3:$L$6,10,0)*VLOOKUP(I441,$C$3:$L$6,6,0)/12),0))</f>
        <v/>
      </c>
      <c r="K441" s="29" t="str">
        <f ca="1">IF(C441&lt;&gt;"",IF(I441&lt;&gt;"",IF(ISERROR(VLOOKUP(I441,$C$3:$L$6,10,0)),"",VLOOKUP(I441,$C$3:$L$6,10,0)+J441+IF(OR(VLOOKUP(I441,$C$3:$L$6,5,0)=Variables!$B$5,B441&gt;VLOOKUP(I441,$C$3:$L$6,8,0)),IF(VLOOKUP(I441,$C$3:$L$6,5,0)=Variables!$B$5,((YEAR(B441)-YEAR($B$12))*12+MONTH(B441)-MONTH($B$12)),((YEAR(B441)-YEAR(VLOOKUP(I441,$C$3:$L$6,8,0)))*12+MONTH(B441)-MONTH(VLOOKUP(I441,$C$3:$L$6,8,0))))*VLOOKUP(I441,$C$3:$L$6,7,0),0)),""),"")</f>
        <v/>
      </c>
      <c r="L441" s="29" t="str">
        <f t="shared" ca="1" si="44"/>
        <v/>
      </c>
      <c r="M441" s="10"/>
      <c r="N441" s="10"/>
    </row>
    <row r="442" spans="1:14" x14ac:dyDescent="0.25">
      <c r="A442" s="10"/>
      <c r="B442" s="14" t="str">
        <f t="shared" ca="1" si="45"/>
        <v/>
      </c>
      <c r="C442" s="14" t="str">
        <f ca="1">IF(I441&lt;&gt;Variables!$B$1,IF(H441&lt;&gt;0,C441,I441),"")</f>
        <v/>
      </c>
      <c r="D442" s="29" t="str">
        <f t="shared" ca="1" si="42"/>
        <v/>
      </c>
      <c r="E442" s="29" t="str">
        <f t="shared" ca="1" si="43"/>
        <v/>
      </c>
      <c r="F442" s="29" t="str">
        <f ca="1">IF(C442&lt;&gt;"",IF(OR(VLOOKUP(C442,$C$3:$L$6,5,0)=Variables!$B$5,B442&gt;VLOOKUP(C442,$C$3:$L$6,8,0)),-D442*VLOOKUP(C442,$C$3:$L$6,6,0)/12,0),"")</f>
        <v/>
      </c>
      <c r="G442" s="29" t="str">
        <f ca="1">IF(I442&lt;&gt;Variables!$B$1,IF(C442&lt;&gt;"",$I$9-E442-F442,""),-D442)</f>
        <v/>
      </c>
      <c r="H442" s="29" t="str">
        <f t="shared" ca="1" si="46"/>
        <v/>
      </c>
      <c r="I442" s="31" t="str">
        <f ca="1">IF(C442&lt;&gt;"",IF(D442+$I$9-E442-F442&gt;=0,IF(ISERROR(INDEX($C$3:$C$6,MATCH(C442,$C$3:$C$6,0)+1,0)),Variables!$B$1,INDEX($C$3:$C$6,MATCH(C442,$C$3:$C$6,0)+1,0)),""),"")</f>
        <v/>
      </c>
      <c r="J442" s="29" t="str">
        <f ca="1">IF(ISERROR(VLOOKUP(I442,$C$3:$L$6,5,0)),"",IF(OR(VLOOKUP(I442,$C$3:$L$6,5,0)=Variables!$B$5,B442&gt;VLOOKUP(I442,$C$3:$L$6,8,0)),IF(VLOOKUP(I442,$C$3:$L$6,5,0)=Variables!$B$5,((YEAR(B442)-YEAR($B$12))*12+MONTH(B442)-MONTH($B$12)),((YEAR(B442)-YEAR(VLOOKUP(I442,$C$3:$L$6,8,0)))*12+MONTH(B442)-MONTH(VLOOKUP(I442,$C$3:$L$6,8,0))))*(VLOOKUP(I442,$C$3:$L$6,10,0)*VLOOKUP(I442,$C$3:$L$6,6,0)/12),0))</f>
        <v/>
      </c>
      <c r="K442" s="29" t="str">
        <f ca="1">IF(C442&lt;&gt;"",IF(I442&lt;&gt;"",IF(ISERROR(VLOOKUP(I442,$C$3:$L$6,10,0)),"",VLOOKUP(I442,$C$3:$L$6,10,0)+J442+IF(OR(VLOOKUP(I442,$C$3:$L$6,5,0)=Variables!$B$5,B442&gt;VLOOKUP(I442,$C$3:$L$6,8,0)),IF(VLOOKUP(I442,$C$3:$L$6,5,0)=Variables!$B$5,((YEAR(B442)-YEAR($B$12))*12+MONTH(B442)-MONTH($B$12)),((YEAR(B442)-YEAR(VLOOKUP(I442,$C$3:$L$6,8,0)))*12+MONTH(B442)-MONTH(VLOOKUP(I442,$C$3:$L$6,8,0))))*VLOOKUP(I442,$C$3:$L$6,7,0),0)),""),"")</f>
        <v/>
      </c>
      <c r="L442" s="29" t="str">
        <f t="shared" ca="1" si="44"/>
        <v/>
      </c>
      <c r="M442" s="10"/>
      <c r="N442" s="10"/>
    </row>
    <row r="443" spans="1:14" x14ac:dyDescent="0.25">
      <c r="A443" s="10"/>
      <c r="B443" s="14" t="str">
        <f t="shared" ca="1" si="45"/>
        <v/>
      </c>
      <c r="C443" s="14" t="str">
        <f ca="1">IF(I442&lt;&gt;Variables!$B$1,IF(H442&lt;&gt;0,C442,I442),"")</f>
        <v/>
      </c>
      <c r="D443" s="29" t="str">
        <f t="shared" ca="1" si="42"/>
        <v/>
      </c>
      <c r="E443" s="29" t="str">
        <f t="shared" ca="1" si="43"/>
        <v/>
      </c>
      <c r="F443" s="29" t="str">
        <f ca="1">IF(C443&lt;&gt;"",IF(OR(VLOOKUP(C443,$C$3:$L$6,5,0)=Variables!$B$5,B443&gt;VLOOKUP(C443,$C$3:$L$6,8,0)),-D443*VLOOKUP(C443,$C$3:$L$6,6,0)/12,0),"")</f>
        <v/>
      </c>
      <c r="G443" s="29" t="str">
        <f ca="1">IF(I443&lt;&gt;Variables!$B$1,IF(C443&lt;&gt;"",$I$9-E443-F443,""),-D443)</f>
        <v/>
      </c>
      <c r="H443" s="29" t="str">
        <f t="shared" ca="1" si="46"/>
        <v/>
      </c>
      <c r="I443" s="31" t="str">
        <f ca="1">IF(C443&lt;&gt;"",IF(D443+$I$9-E443-F443&gt;=0,IF(ISERROR(INDEX($C$3:$C$6,MATCH(C443,$C$3:$C$6,0)+1,0)),Variables!$B$1,INDEX($C$3:$C$6,MATCH(C443,$C$3:$C$6,0)+1,0)),""),"")</f>
        <v/>
      </c>
      <c r="J443" s="29" t="str">
        <f ca="1">IF(ISERROR(VLOOKUP(I443,$C$3:$L$6,5,0)),"",IF(OR(VLOOKUP(I443,$C$3:$L$6,5,0)=Variables!$B$5,B443&gt;VLOOKUP(I443,$C$3:$L$6,8,0)),IF(VLOOKUP(I443,$C$3:$L$6,5,0)=Variables!$B$5,((YEAR(B443)-YEAR($B$12))*12+MONTH(B443)-MONTH($B$12)),((YEAR(B443)-YEAR(VLOOKUP(I443,$C$3:$L$6,8,0)))*12+MONTH(B443)-MONTH(VLOOKUP(I443,$C$3:$L$6,8,0))))*(VLOOKUP(I443,$C$3:$L$6,10,0)*VLOOKUP(I443,$C$3:$L$6,6,0)/12),0))</f>
        <v/>
      </c>
      <c r="K443" s="29" t="str">
        <f ca="1">IF(C443&lt;&gt;"",IF(I443&lt;&gt;"",IF(ISERROR(VLOOKUP(I443,$C$3:$L$6,10,0)),"",VLOOKUP(I443,$C$3:$L$6,10,0)+J443+IF(OR(VLOOKUP(I443,$C$3:$L$6,5,0)=Variables!$B$5,B443&gt;VLOOKUP(I443,$C$3:$L$6,8,0)),IF(VLOOKUP(I443,$C$3:$L$6,5,0)=Variables!$B$5,((YEAR(B443)-YEAR($B$12))*12+MONTH(B443)-MONTH($B$12)),((YEAR(B443)-YEAR(VLOOKUP(I443,$C$3:$L$6,8,0)))*12+MONTH(B443)-MONTH(VLOOKUP(I443,$C$3:$L$6,8,0))))*VLOOKUP(I443,$C$3:$L$6,7,0),0)),""),"")</f>
        <v/>
      </c>
      <c r="L443" s="29" t="str">
        <f t="shared" ca="1" si="44"/>
        <v/>
      </c>
      <c r="M443" s="10"/>
      <c r="N443" s="10"/>
    </row>
    <row r="444" spans="1:14" x14ac:dyDescent="0.25">
      <c r="A444" s="10"/>
      <c r="B444" s="14" t="str">
        <f t="shared" ca="1" si="45"/>
        <v/>
      </c>
      <c r="C444" s="14" t="str">
        <f ca="1">IF(I443&lt;&gt;Variables!$B$1,IF(H443&lt;&gt;0,C443,I443),"")</f>
        <v/>
      </c>
      <c r="D444" s="29" t="str">
        <f t="shared" ca="1" si="42"/>
        <v/>
      </c>
      <c r="E444" s="29" t="str">
        <f t="shared" ca="1" si="43"/>
        <v/>
      </c>
      <c r="F444" s="29" t="str">
        <f ca="1">IF(C444&lt;&gt;"",IF(OR(VLOOKUP(C444,$C$3:$L$6,5,0)=Variables!$B$5,B444&gt;VLOOKUP(C444,$C$3:$L$6,8,0)),-D444*VLOOKUP(C444,$C$3:$L$6,6,0)/12,0),"")</f>
        <v/>
      </c>
      <c r="G444" s="29" t="str">
        <f ca="1">IF(I444&lt;&gt;Variables!$B$1,IF(C444&lt;&gt;"",$I$9-E444-F444,""),-D444)</f>
        <v/>
      </c>
      <c r="H444" s="29" t="str">
        <f t="shared" ca="1" si="46"/>
        <v/>
      </c>
      <c r="I444" s="31" t="str">
        <f ca="1">IF(C444&lt;&gt;"",IF(D444+$I$9-E444-F444&gt;=0,IF(ISERROR(INDEX($C$3:$C$6,MATCH(C444,$C$3:$C$6,0)+1,0)),Variables!$B$1,INDEX($C$3:$C$6,MATCH(C444,$C$3:$C$6,0)+1,0)),""),"")</f>
        <v/>
      </c>
      <c r="J444" s="29" t="str">
        <f ca="1">IF(ISERROR(VLOOKUP(I444,$C$3:$L$6,5,0)),"",IF(OR(VLOOKUP(I444,$C$3:$L$6,5,0)=Variables!$B$5,B444&gt;VLOOKUP(I444,$C$3:$L$6,8,0)),IF(VLOOKUP(I444,$C$3:$L$6,5,0)=Variables!$B$5,((YEAR(B444)-YEAR($B$12))*12+MONTH(B444)-MONTH($B$12)),((YEAR(B444)-YEAR(VLOOKUP(I444,$C$3:$L$6,8,0)))*12+MONTH(B444)-MONTH(VLOOKUP(I444,$C$3:$L$6,8,0))))*(VLOOKUP(I444,$C$3:$L$6,10,0)*VLOOKUP(I444,$C$3:$L$6,6,0)/12),0))</f>
        <v/>
      </c>
      <c r="K444" s="29" t="str">
        <f ca="1">IF(C444&lt;&gt;"",IF(I444&lt;&gt;"",IF(ISERROR(VLOOKUP(I444,$C$3:$L$6,10,0)),"",VLOOKUP(I444,$C$3:$L$6,10,0)+J444+IF(OR(VLOOKUP(I444,$C$3:$L$6,5,0)=Variables!$B$5,B444&gt;VLOOKUP(I444,$C$3:$L$6,8,0)),IF(VLOOKUP(I444,$C$3:$L$6,5,0)=Variables!$B$5,((YEAR(B444)-YEAR($B$12))*12+MONTH(B444)-MONTH($B$12)),((YEAR(B444)-YEAR(VLOOKUP(I444,$C$3:$L$6,8,0)))*12+MONTH(B444)-MONTH(VLOOKUP(I444,$C$3:$L$6,8,0))))*VLOOKUP(I444,$C$3:$L$6,7,0),0)),""),"")</f>
        <v/>
      </c>
      <c r="L444" s="29" t="str">
        <f t="shared" ca="1" si="44"/>
        <v/>
      </c>
      <c r="M444" s="10"/>
      <c r="N444" s="10"/>
    </row>
    <row r="445" spans="1:14" x14ac:dyDescent="0.25">
      <c r="A445" s="10"/>
      <c r="B445" s="14" t="str">
        <f t="shared" ca="1" si="45"/>
        <v/>
      </c>
      <c r="C445" s="14" t="str">
        <f ca="1">IF(I444&lt;&gt;Variables!$B$1,IF(H444&lt;&gt;0,C444,I444),"")</f>
        <v/>
      </c>
      <c r="D445" s="29" t="str">
        <f t="shared" ca="1" si="42"/>
        <v/>
      </c>
      <c r="E445" s="29" t="str">
        <f t="shared" ca="1" si="43"/>
        <v/>
      </c>
      <c r="F445" s="29" t="str">
        <f ca="1">IF(C445&lt;&gt;"",IF(OR(VLOOKUP(C445,$C$3:$L$6,5,0)=Variables!$B$5,B445&gt;VLOOKUP(C445,$C$3:$L$6,8,0)),-D445*VLOOKUP(C445,$C$3:$L$6,6,0)/12,0),"")</f>
        <v/>
      </c>
      <c r="G445" s="29" t="str">
        <f ca="1">IF(I445&lt;&gt;Variables!$B$1,IF(C445&lt;&gt;"",$I$9-E445-F445,""),-D445)</f>
        <v/>
      </c>
      <c r="H445" s="29" t="str">
        <f t="shared" ca="1" si="46"/>
        <v/>
      </c>
      <c r="I445" s="31" t="str">
        <f ca="1">IF(C445&lt;&gt;"",IF(D445+$I$9-E445-F445&gt;=0,IF(ISERROR(INDEX($C$3:$C$6,MATCH(C445,$C$3:$C$6,0)+1,0)),Variables!$B$1,INDEX($C$3:$C$6,MATCH(C445,$C$3:$C$6,0)+1,0)),""),"")</f>
        <v/>
      </c>
      <c r="J445" s="29" t="str">
        <f ca="1">IF(ISERROR(VLOOKUP(I445,$C$3:$L$6,5,0)),"",IF(OR(VLOOKUP(I445,$C$3:$L$6,5,0)=Variables!$B$5,B445&gt;VLOOKUP(I445,$C$3:$L$6,8,0)),IF(VLOOKUP(I445,$C$3:$L$6,5,0)=Variables!$B$5,((YEAR(B445)-YEAR($B$12))*12+MONTH(B445)-MONTH($B$12)),((YEAR(B445)-YEAR(VLOOKUP(I445,$C$3:$L$6,8,0)))*12+MONTH(B445)-MONTH(VLOOKUP(I445,$C$3:$L$6,8,0))))*(VLOOKUP(I445,$C$3:$L$6,10,0)*VLOOKUP(I445,$C$3:$L$6,6,0)/12),0))</f>
        <v/>
      </c>
      <c r="K445" s="29" t="str">
        <f ca="1">IF(C445&lt;&gt;"",IF(I445&lt;&gt;"",IF(ISERROR(VLOOKUP(I445,$C$3:$L$6,10,0)),"",VLOOKUP(I445,$C$3:$L$6,10,0)+J445+IF(OR(VLOOKUP(I445,$C$3:$L$6,5,0)=Variables!$B$5,B445&gt;VLOOKUP(I445,$C$3:$L$6,8,0)),IF(VLOOKUP(I445,$C$3:$L$6,5,0)=Variables!$B$5,((YEAR(B445)-YEAR($B$12))*12+MONTH(B445)-MONTH($B$12)),((YEAR(B445)-YEAR(VLOOKUP(I445,$C$3:$L$6,8,0)))*12+MONTH(B445)-MONTH(VLOOKUP(I445,$C$3:$L$6,8,0))))*VLOOKUP(I445,$C$3:$L$6,7,0),0)),""),"")</f>
        <v/>
      </c>
      <c r="L445" s="29" t="str">
        <f t="shared" ca="1" si="44"/>
        <v/>
      </c>
      <c r="M445" s="10"/>
      <c r="N445" s="10"/>
    </row>
    <row r="446" spans="1:14" x14ac:dyDescent="0.25">
      <c r="A446" s="10"/>
      <c r="B446" s="14" t="str">
        <f t="shared" ca="1" si="45"/>
        <v/>
      </c>
      <c r="C446" s="14" t="str">
        <f ca="1">IF(I445&lt;&gt;Variables!$B$1,IF(H445&lt;&gt;0,C445,I445),"")</f>
        <v/>
      </c>
      <c r="D446" s="29" t="str">
        <f t="shared" ca="1" si="42"/>
        <v/>
      </c>
      <c r="E446" s="29" t="str">
        <f t="shared" ca="1" si="43"/>
        <v/>
      </c>
      <c r="F446" s="29" t="str">
        <f ca="1">IF(C446&lt;&gt;"",IF(OR(VLOOKUP(C446,$C$3:$L$6,5,0)=Variables!$B$5,B446&gt;VLOOKUP(C446,$C$3:$L$6,8,0)),-D446*VLOOKUP(C446,$C$3:$L$6,6,0)/12,0),"")</f>
        <v/>
      </c>
      <c r="G446" s="29" t="str">
        <f ca="1">IF(I446&lt;&gt;Variables!$B$1,IF(C446&lt;&gt;"",$I$9-E446-F446,""),-D446)</f>
        <v/>
      </c>
      <c r="H446" s="29" t="str">
        <f t="shared" ca="1" si="46"/>
        <v/>
      </c>
      <c r="I446" s="31" t="str">
        <f ca="1">IF(C446&lt;&gt;"",IF(D446+$I$9-E446-F446&gt;=0,IF(ISERROR(INDEX($C$3:$C$6,MATCH(C446,$C$3:$C$6,0)+1,0)),Variables!$B$1,INDEX($C$3:$C$6,MATCH(C446,$C$3:$C$6,0)+1,0)),""),"")</f>
        <v/>
      </c>
      <c r="J446" s="29" t="str">
        <f ca="1">IF(ISERROR(VLOOKUP(I446,$C$3:$L$6,5,0)),"",IF(OR(VLOOKUP(I446,$C$3:$L$6,5,0)=Variables!$B$5,B446&gt;VLOOKUP(I446,$C$3:$L$6,8,0)),IF(VLOOKUP(I446,$C$3:$L$6,5,0)=Variables!$B$5,((YEAR(B446)-YEAR($B$12))*12+MONTH(B446)-MONTH($B$12)),((YEAR(B446)-YEAR(VLOOKUP(I446,$C$3:$L$6,8,0)))*12+MONTH(B446)-MONTH(VLOOKUP(I446,$C$3:$L$6,8,0))))*(VLOOKUP(I446,$C$3:$L$6,10,0)*VLOOKUP(I446,$C$3:$L$6,6,0)/12),0))</f>
        <v/>
      </c>
      <c r="K446" s="29" t="str">
        <f ca="1">IF(C446&lt;&gt;"",IF(I446&lt;&gt;"",IF(ISERROR(VLOOKUP(I446,$C$3:$L$6,10,0)),"",VLOOKUP(I446,$C$3:$L$6,10,0)+J446+IF(OR(VLOOKUP(I446,$C$3:$L$6,5,0)=Variables!$B$5,B446&gt;VLOOKUP(I446,$C$3:$L$6,8,0)),IF(VLOOKUP(I446,$C$3:$L$6,5,0)=Variables!$B$5,((YEAR(B446)-YEAR($B$12))*12+MONTH(B446)-MONTH($B$12)),((YEAR(B446)-YEAR(VLOOKUP(I446,$C$3:$L$6,8,0)))*12+MONTH(B446)-MONTH(VLOOKUP(I446,$C$3:$L$6,8,0))))*VLOOKUP(I446,$C$3:$L$6,7,0),0)),""),"")</f>
        <v/>
      </c>
      <c r="L446" s="29" t="str">
        <f t="shared" ca="1" si="44"/>
        <v/>
      </c>
      <c r="M446" s="10"/>
      <c r="N446" s="10"/>
    </row>
    <row r="447" spans="1:14" x14ac:dyDescent="0.25">
      <c r="A447" s="10"/>
      <c r="B447" s="14" t="str">
        <f t="shared" ca="1" si="45"/>
        <v/>
      </c>
      <c r="C447" s="14" t="str">
        <f ca="1">IF(I446&lt;&gt;Variables!$B$1,IF(H446&lt;&gt;0,C446,I446),"")</f>
        <v/>
      </c>
      <c r="D447" s="29" t="str">
        <f t="shared" ca="1" si="42"/>
        <v/>
      </c>
      <c r="E447" s="29" t="str">
        <f t="shared" ca="1" si="43"/>
        <v/>
      </c>
      <c r="F447" s="29" t="str">
        <f ca="1">IF(C447&lt;&gt;"",IF(OR(VLOOKUP(C447,$C$3:$L$6,5,0)=Variables!$B$5,B447&gt;VLOOKUP(C447,$C$3:$L$6,8,0)),-D447*VLOOKUP(C447,$C$3:$L$6,6,0)/12,0),"")</f>
        <v/>
      </c>
      <c r="G447" s="29" t="str">
        <f ca="1">IF(I447&lt;&gt;Variables!$B$1,IF(C447&lt;&gt;"",$I$9-E447-F447,""),-D447)</f>
        <v/>
      </c>
      <c r="H447" s="29" t="str">
        <f t="shared" ca="1" si="46"/>
        <v/>
      </c>
      <c r="I447" s="31" t="str">
        <f ca="1">IF(C447&lt;&gt;"",IF(D447+$I$9-E447-F447&gt;=0,IF(ISERROR(INDEX($C$3:$C$6,MATCH(C447,$C$3:$C$6,0)+1,0)),Variables!$B$1,INDEX($C$3:$C$6,MATCH(C447,$C$3:$C$6,0)+1,0)),""),"")</f>
        <v/>
      </c>
      <c r="J447" s="29" t="str">
        <f ca="1">IF(ISERROR(VLOOKUP(I447,$C$3:$L$6,5,0)),"",IF(OR(VLOOKUP(I447,$C$3:$L$6,5,0)=Variables!$B$5,B447&gt;VLOOKUP(I447,$C$3:$L$6,8,0)),IF(VLOOKUP(I447,$C$3:$L$6,5,0)=Variables!$B$5,((YEAR(B447)-YEAR($B$12))*12+MONTH(B447)-MONTH($B$12)),((YEAR(B447)-YEAR(VLOOKUP(I447,$C$3:$L$6,8,0)))*12+MONTH(B447)-MONTH(VLOOKUP(I447,$C$3:$L$6,8,0))))*(VLOOKUP(I447,$C$3:$L$6,10,0)*VLOOKUP(I447,$C$3:$L$6,6,0)/12),0))</f>
        <v/>
      </c>
      <c r="K447" s="29" t="str">
        <f ca="1">IF(C447&lt;&gt;"",IF(I447&lt;&gt;"",IF(ISERROR(VLOOKUP(I447,$C$3:$L$6,10,0)),"",VLOOKUP(I447,$C$3:$L$6,10,0)+J447+IF(OR(VLOOKUP(I447,$C$3:$L$6,5,0)=Variables!$B$5,B447&gt;VLOOKUP(I447,$C$3:$L$6,8,0)),IF(VLOOKUP(I447,$C$3:$L$6,5,0)=Variables!$B$5,((YEAR(B447)-YEAR($B$12))*12+MONTH(B447)-MONTH($B$12)),((YEAR(B447)-YEAR(VLOOKUP(I447,$C$3:$L$6,8,0)))*12+MONTH(B447)-MONTH(VLOOKUP(I447,$C$3:$L$6,8,0))))*VLOOKUP(I447,$C$3:$L$6,7,0),0)),""),"")</f>
        <v/>
      </c>
      <c r="L447" s="29" t="str">
        <f t="shared" ca="1" si="44"/>
        <v/>
      </c>
      <c r="M447" s="10"/>
      <c r="N447" s="10"/>
    </row>
    <row r="448" spans="1:14" x14ac:dyDescent="0.25">
      <c r="A448" s="10"/>
      <c r="B448" s="14" t="str">
        <f t="shared" ca="1" si="45"/>
        <v/>
      </c>
      <c r="C448" s="14" t="str">
        <f ca="1">IF(I447&lt;&gt;Variables!$B$1,IF(H447&lt;&gt;0,C447,I447),"")</f>
        <v/>
      </c>
      <c r="D448" s="29" t="str">
        <f t="shared" ca="1" si="42"/>
        <v/>
      </c>
      <c r="E448" s="29" t="str">
        <f t="shared" ca="1" si="43"/>
        <v/>
      </c>
      <c r="F448" s="29" t="str">
        <f ca="1">IF(C448&lt;&gt;"",IF(OR(VLOOKUP(C448,$C$3:$L$6,5,0)=Variables!$B$5,B448&gt;VLOOKUP(C448,$C$3:$L$6,8,0)),-D448*VLOOKUP(C448,$C$3:$L$6,6,0)/12,0),"")</f>
        <v/>
      </c>
      <c r="G448" s="29" t="str">
        <f ca="1">IF(I448&lt;&gt;Variables!$B$1,IF(C448&lt;&gt;"",$I$9-E448-F448,""),-D448)</f>
        <v/>
      </c>
      <c r="H448" s="29" t="str">
        <f t="shared" ca="1" si="46"/>
        <v/>
      </c>
      <c r="I448" s="31" t="str">
        <f ca="1">IF(C448&lt;&gt;"",IF(D448+$I$9-E448-F448&gt;=0,IF(ISERROR(INDEX($C$3:$C$6,MATCH(C448,$C$3:$C$6,0)+1,0)),Variables!$B$1,INDEX($C$3:$C$6,MATCH(C448,$C$3:$C$6,0)+1,0)),""),"")</f>
        <v/>
      </c>
      <c r="J448" s="29" t="str">
        <f ca="1">IF(ISERROR(VLOOKUP(I448,$C$3:$L$6,5,0)),"",IF(OR(VLOOKUP(I448,$C$3:$L$6,5,0)=Variables!$B$5,B448&gt;VLOOKUP(I448,$C$3:$L$6,8,0)),IF(VLOOKUP(I448,$C$3:$L$6,5,0)=Variables!$B$5,((YEAR(B448)-YEAR($B$12))*12+MONTH(B448)-MONTH($B$12)),((YEAR(B448)-YEAR(VLOOKUP(I448,$C$3:$L$6,8,0)))*12+MONTH(B448)-MONTH(VLOOKUP(I448,$C$3:$L$6,8,0))))*(VLOOKUP(I448,$C$3:$L$6,10,0)*VLOOKUP(I448,$C$3:$L$6,6,0)/12),0))</f>
        <v/>
      </c>
      <c r="K448" s="29" t="str">
        <f ca="1">IF(C448&lt;&gt;"",IF(I448&lt;&gt;"",IF(ISERROR(VLOOKUP(I448,$C$3:$L$6,10,0)),"",VLOOKUP(I448,$C$3:$L$6,10,0)+J448+IF(OR(VLOOKUP(I448,$C$3:$L$6,5,0)=Variables!$B$5,B448&gt;VLOOKUP(I448,$C$3:$L$6,8,0)),IF(VLOOKUP(I448,$C$3:$L$6,5,0)=Variables!$B$5,((YEAR(B448)-YEAR($B$12))*12+MONTH(B448)-MONTH($B$12)),((YEAR(B448)-YEAR(VLOOKUP(I448,$C$3:$L$6,8,0)))*12+MONTH(B448)-MONTH(VLOOKUP(I448,$C$3:$L$6,8,0))))*VLOOKUP(I448,$C$3:$L$6,7,0),0)),""),"")</f>
        <v/>
      </c>
      <c r="L448" s="29" t="str">
        <f t="shared" ca="1" si="44"/>
        <v/>
      </c>
      <c r="M448" s="10"/>
      <c r="N448" s="10"/>
    </row>
    <row r="449" spans="1:14" x14ac:dyDescent="0.25">
      <c r="A449" s="10"/>
      <c r="B449" s="14" t="str">
        <f t="shared" ca="1" si="45"/>
        <v/>
      </c>
      <c r="C449" s="14" t="str">
        <f ca="1">IF(I448&lt;&gt;Variables!$B$1,IF(H448&lt;&gt;0,C448,I448),"")</f>
        <v/>
      </c>
      <c r="D449" s="29" t="str">
        <f t="shared" ca="1" si="42"/>
        <v/>
      </c>
      <c r="E449" s="29" t="str">
        <f t="shared" ca="1" si="43"/>
        <v/>
      </c>
      <c r="F449" s="29" t="str">
        <f ca="1">IF(C449&lt;&gt;"",IF(OR(VLOOKUP(C449,$C$3:$L$6,5,0)=Variables!$B$5,B449&gt;VLOOKUP(C449,$C$3:$L$6,8,0)),-D449*VLOOKUP(C449,$C$3:$L$6,6,0)/12,0),"")</f>
        <v/>
      </c>
      <c r="G449" s="29" t="str">
        <f ca="1">IF(I449&lt;&gt;Variables!$B$1,IF(C449&lt;&gt;"",$I$9-E449-F449,""),-D449)</f>
        <v/>
      </c>
      <c r="H449" s="29" t="str">
        <f t="shared" ca="1" si="46"/>
        <v/>
      </c>
      <c r="I449" s="31" t="str">
        <f ca="1">IF(C449&lt;&gt;"",IF(D449+$I$9-E449-F449&gt;=0,IF(ISERROR(INDEX($C$3:$C$6,MATCH(C449,$C$3:$C$6,0)+1,0)),Variables!$B$1,INDEX($C$3:$C$6,MATCH(C449,$C$3:$C$6,0)+1,0)),""),"")</f>
        <v/>
      </c>
      <c r="J449" s="29" t="str">
        <f ca="1">IF(ISERROR(VLOOKUP(I449,$C$3:$L$6,5,0)),"",IF(OR(VLOOKUP(I449,$C$3:$L$6,5,0)=Variables!$B$5,B449&gt;VLOOKUP(I449,$C$3:$L$6,8,0)),IF(VLOOKUP(I449,$C$3:$L$6,5,0)=Variables!$B$5,((YEAR(B449)-YEAR($B$12))*12+MONTH(B449)-MONTH($B$12)),((YEAR(B449)-YEAR(VLOOKUP(I449,$C$3:$L$6,8,0)))*12+MONTH(B449)-MONTH(VLOOKUP(I449,$C$3:$L$6,8,0))))*(VLOOKUP(I449,$C$3:$L$6,10,0)*VLOOKUP(I449,$C$3:$L$6,6,0)/12),0))</f>
        <v/>
      </c>
      <c r="K449" s="29" t="str">
        <f ca="1">IF(C449&lt;&gt;"",IF(I449&lt;&gt;"",IF(ISERROR(VLOOKUP(I449,$C$3:$L$6,10,0)),"",VLOOKUP(I449,$C$3:$L$6,10,0)+J449+IF(OR(VLOOKUP(I449,$C$3:$L$6,5,0)=Variables!$B$5,B449&gt;VLOOKUP(I449,$C$3:$L$6,8,0)),IF(VLOOKUP(I449,$C$3:$L$6,5,0)=Variables!$B$5,((YEAR(B449)-YEAR($B$12))*12+MONTH(B449)-MONTH($B$12)),((YEAR(B449)-YEAR(VLOOKUP(I449,$C$3:$L$6,8,0)))*12+MONTH(B449)-MONTH(VLOOKUP(I449,$C$3:$L$6,8,0))))*VLOOKUP(I449,$C$3:$L$6,7,0),0)),""),"")</f>
        <v/>
      </c>
      <c r="L449" s="29" t="str">
        <f t="shared" ca="1" si="44"/>
        <v/>
      </c>
      <c r="M449" s="10"/>
      <c r="N449" s="10"/>
    </row>
    <row r="450" spans="1:14" x14ac:dyDescent="0.25">
      <c r="A450" s="10"/>
      <c r="B450" s="14" t="str">
        <f t="shared" ca="1" si="45"/>
        <v/>
      </c>
      <c r="C450" s="14" t="str">
        <f ca="1">IF(I449&lt;&gt;Variables!$B$1,IF(H449&lt;&gt;0,C449,I449),"")</f>
        <v/>
      </c>
      <c r="D450" s="29" t="str">
        <f t="shared" ca="1" si="42"/>
        <v/>
      </c>
      <c r="E450" s="29" t="str">
        <f t="shared" ca="1" si="43"/>
        <v/>
      </c>
      <c r="F450" s="29" t="str">
        <f ca="1">IF(C450&lt;&gt;"",IF(OR(VLOOKUP(C450,$C$3:$L$6,5,0)=Variables!$B$5,B450&gt;VLOOKUP(C450,$C$3:$L$6,8,0)),-D450*VLOOKUP(C450,$C$3:$L$6,6,0)/12,0),"")</f>
        <v/>
      </c>
      <c r="G450" s="29" t="str">
        <f ca="1">IF(I450&lt;&gt;Variables!$B$1,IF(C450&lt;&gt;"",$I$9-E450-F450,""),-D450)</f>
        <v/>
      </c>
      <c r="H450" s="29" t="str">
        <f t="shared" ca="1" si="46"/>
        <v/>
      </c>
      <c r="I450" s="31" t="str">
        <f ca="1">IF(C450&lt;&gt;"",IF(D450+$I$9-E450-F450&gt;=0,IF(ISERROR(INDEX($C$3:$C$6,MATCH(C450,$C$3:$C$6,0)+1,0)),Variables!$B$1,INDEX($C$3:$C$6,MATCH(C450,$C$3:$C$6,0)+1,0)),""),"")</f>
        <v/>
      </c>
      <c r="J450" s="29" t="str">
        <f ca="1">IF(ISERROR(VLOOKUP(I450,$C$3:$L$6,5,0)),"",IF(OR(VLOOKUP(I450,$C$3:$L$6,5,0)=Variables!$B$5,B450&gt;VLOOKUP(I450,$C$3:$L$6,8,0)),IF(VLOOKUP(I450,$C$3:$L$6,5,0)=Variables!$B$5,((YEAR(B450)-YEAR($B$12))*12+MONTH(B450)-MONTH($B$12)),((YEAR(B450)-YEAR(VLOOKUP(I450,$C$3:$L$6,8,0)))*12+MONTH(B450)-MONTH(VLOOKUP(I450,$C$3:$L$6,8,0))))*(VLOOKUP(I450,$C$3:$L$6,10,0)*VLOOKUP(I450,$C$3:$L$6,6,0)/12),0))</f>
        <v/>
      </c>
      <c r="K450" s="29" t="str">
        <f ca="1">IF(C450&lt;&gt;"",IF(I450&lt;&gt;"",IF(ISERROR(VLOOKUP(I450,$C$3:$L$6,10,0)),"",VLOOKUP(I450,$C$3:$L$6,10,0)+J450+IF(OR(VLOOKUP(I450,$C$3:$L$6,5,0)=Variables!$B$5,B450&gt;VLOOKUP(I450,$C$3:$L$6,8,0)),IF(VLOOKUP(I450,$C$3:$L$6,5,0)=Variables!$B$5,((YEAR(B450)-YEAR($B$12))*12+MONTH(B450)-MONTH($B$12)),((YEAR(B450)-YEAR(VLOOKUP(I450,$C$3:$L$6,8,0)))*12+MONTH(B450)-MONTH(VLOOKUP(I450,$C$3:$L$6,8,0))))*VLOOKUP(I450,$C$3:$L$6,7,0),0)),""),"")</f>
        <v/>
      </c>
      <c r="L450" s="29" t="str">
        <f t="shared" ca="1" si="44"/>
        <v/>
      </c>
      <c r="M450" s="10"/>
      <c r="N450" s="10"/>
    </row>
    <row r="451" spans="1:14" x14ac:dyDescent="0.25">
      <c r="A451" s="10"/>
      <c r="B451" s="14" t="str">
        <f t="shared" ca="1" si="45"/>
        <v/>
      </c>
      <c r="C451" s="14" t="str">
        <f ca="1">IF(I450&lt;&gt;Variables!$B$1,IF(H450&lt;&gt;0,C450,I450),"")</f>
        <v/>
      </c>
      <c r="D451" s="29" t="str">
        <f t="shared" ca="1" si="42"/>
        <v/>
      </c>
      <c r="E451" s="29" t="str">
        <f t="shared" ca="1" si="43"/>
        <v/>
      </c>
      <c r="F451" s="29" t="str">
        <f ca="1">IF(C451&lt;&gt;"",IF(OR(VLOOKUP(C451,$C$3:$L$6,5,0)=Variables!$B$5,B451&gt;VLOOKUP(C451,$C$3:$L$6,8,0)),-D451*VLOOKUP(C451,$C$3:$L$6,6,0)/12,0),"")</f>
        <v/>
      </c>
      <c r="G451" s="29" t="str">
        <f ca="1">IF(I451&lt;&gt;Variables!$B$1,IF(C451&lt;&gt;"",$I$9-E451-F451,""),-D451)</f>
        <v/>
      </c>
      <c r="H451" s="29" t="str">
        <f t="shared" ca="1" si="46"/>
        <v/>
      </c>
      <c r="I451" s="31" t="str">
        <f ca="1">IF(C451&lt;&gt;"",IF(D451+$I$9-E451-F451&gt;=0,IF(ISERROR(INDEX($C$3:$C$6,MATCH(C451,$C$3:$C$6,0)+1,0)),Variables!$B$1,INDEX($C$3:$C$6,MATCH(C451,$C$3:$C$6,0)+1,0)),""),"")</f>
        <v/>
      </c>
      <c r="J451" s="29" t="str">
        <f ca="1">IF(ISERROR(VLOOKUP(I451,$C$3:$L$6,5,0)),"",IF(OR(VLOOKUP(I451,$C$3:$L$6,5,0)=Variables!$B$5,B451&gt;VLOOKUP(I451,$C$3:$L$6,8,0)),IF(VLOOKUP(I451,$C$3:$L$6,5,0)=Variables!$B$5,((YEAR(B451)-YEAR($B$12))*12+MONTH(B451)-MONTH($B$12)),((YEAR(B451)-YEAR(VLOOKUP(I451,$C$3:$L$6,8,0)))*12+MONTH(B451)-MONTH(VLOOKUP(I451,$C$3:$L$6,8,0))))*(VLOOKUP(I451,$C$3:$L$6,10,0)*VLOOKUP(I451,$C$3:$L$6,6,0)/12),0))</f>
        <v/>
      </c>
      <c r="K451" s="29" t="str">
        <f ca="1">IF(C451&lt;&gt;"",IF(I451&lt;&gt;"",IF(ISERROR(VLOOKUP(I451,$C$3:$L$6,10,0)),"",VLOOKUP(I451,$C$3:$L$6,10,0)+J451+IF(OR(VLOOKUP(I451,$C$3:$L$6,5,0)=Variables!$B$5,B451&gt;VLOOKUP(I451,$C$3:$L$6,8,0)),IF(VLOOKUP(I451,$C$3:$L$6,5,0)=Variables!$B$5,((YEAR(B451)-YEAR($B$12))*12+MONTH(B451)-MONTH($B$12)),((YEAR(B451)-YEAR(VLOOKUP(I451,$C$3:$L$6,8,0)))*12+MONTH(B451)-MONTH(VLOOKUP(I451,$C$3:$L$6,8,0))))*VLOOKUP(I451,$C$3:$L$6,7,0),0)),""),"")</f>
        <v/>
      </c>
      <c r="L451" s="29" t="str">
        <f t="shared" ca="1" si="44"/>
        <v/>
      </c>
      <c r="M451" s="10"/>
      <c r="N451" s="10"/>
    </row>
    <row r="452" spans="1:14" x14ac:dyDescent="0.25">
      <c r="A452" s="10"/>
      <c r="B452" s="14" t="str">
        <f t="shared" ca="1" si="45"/>
        <v/>
      </c>
      <c r="C452" s="14" t="str">
        <f ca="1">IF(I451&lt;&gt;Variables!$B$1,IF(H451&lt;&gt;0,C451,I451),"")</f>
        <v/>
      </c>
      <c r="D452" s="29" t="str">
        <f t="shared" ca="1" si="42"/>
        <v/>
      </c>
      <c r="E452" s="29" t="str">
        <f t="shared" ca="1" si="43"/>
        <v/>
      </c>
      <c r="F452" s="29" t="str">
        <f ca="1">IF(C452&lt;&gt;"",IF(OR(VLOOKUP(C452,$C$3:$L$6,5,0)=Variables!$B$5,B452&gt;VLOOKUP(C452,$C$3:$L$6,8,0)),-D452*VLOOKUP(C452,$C$3:$L$6,6,0)/12,0),"")</f>
        <v/>
      </c>
      <c r="G452" s="29" t="str">
        <f ca="1">IF(I452&lt;&gt;Variables!$B$1,IF(C452&lt;&gt;"",$I$9-E452-F452,""),-D452)</f>
        <v/>
      </c>
      <c r="H452" s="29" t="str">
        <f t="shared" ca="1" si="46"/>
        <v/>
      </c>
      <c r="I452" s="31" t="str">
        <f ca="1">IF(C452&lt;&gt;"",IF(D452+$I$9-E452-F452&gt;=0,IF(ISERROR(INDEX($C$3:$C$6,MATCH(C452,$C$3:$C$6,0)+1,0)),Variables!$B$1,INDEX($C$3:$C$6,MATCH(C452,$C$3:$C$6,0)+1,0)),""),"")</f>
        <v/>
      </c>
      <c r="J452" s="29" t="str">
        <f ca="1">IF(ISERROR(VLOOKUP(I452,$C$3:$L$6,5,0)),"",IF(OR(VLOOKUP(I452,$C$3:$L$6,5,0)=Variables!$B$5,B452&gt;VLOOKUP(I452,$C$3:$L$6,8,0)),IF(VLOOKUP(I452,$C$3:$L$6,5,0)=Variables!$B$5,((YEAR(B452)-YEAR($B$12))*12+MONTH(B452)-MONTH($B$12)),((YEAR(B452)-YEAR(VLOOKUP(I452,$C$3:$L$6,8,0)))*12+MONTH(B452)-MONTH(VLOOKUP(I452,$C$3:$L$6,8,0))))*(VLOOKUP(I452,$C$3:$L$6,10,0)*VLOOKUP(I452,$C$3:$L$6,6,0)/12),0))</f>
        <v/>
      </c>
      <c r="K452" s="29" t="str">
        <f ca="1">IF(C452&lt;&gt;"",IF(I452&lt;&gt;"",IF(ISERROR(VLOOKUP(I452,$C$3:$L$6,10,0)),"",VLOOKUP(I452,$C$3:$L$6,10,0)+J452+IF(OR(VLOOKUP(I452,$C$3:$L$6,5,0)=Variables!$B$5,B452&gt;VLOOKUP(I452,$C$3:$L$6,8,0)),IF(VLOOKUP(I452,$C$3:$L$6,5,0)=Variables!$B$5,((YEAR(B452)-YEAR($B$12))*12+MONTH(B452)-MONTH($B$12)),((YEAR(B452)-YEAR(VLOOKUP(I452,$C$3:$L$6,8,0)))*12+MONTH(B452)-MONTH(VLOOKUP(I452,$C$3:$L$6,8,0))))*VLOOKUP(I452,$C$3:$L$6,7,0),0)),""),"")</f>
        <v/>
      </c>
      <c r="L452" s="29" t="str">
        <f t="shared" ca="1" si="44"/>
        <v/>
      </c>
      <c r="M452" s="10"/>
      <c r="N452" s="10"/>
    </row>
    <row r="453" spans="1:14" x14ac:dyDescent="0.25">
      <c r="A453" s="10"/>
      <c r="B453" s="14" t="str">
        <f t="shared" ca="1" si="45"/>
        <v/>
      </c>
      <c r="C453" s="14" t="str">
        <f ca="1">IF(I452&lt;&gt;Variables!$B$1,IF(H452&lt;&gt;0,C452,I452),"")</f>
        <v/>
      </c>
      <c r="D453" s="29" t="str">
        <f t="shared" ca="1" si="42"/>
        <v/>
      </c>
      <c r="E453" s="29" t="str">
        <f t="shared" ca="1" si="43"/>
        <v/>
      </c>
      <c r="F453" s="29" t="str">
        <f ca="1">IF(C453&lt;&gt;"",IF(OR(VLOOKUP(C453,$C$3:$L$6,5,0)=Variables!$B$5,B453&gt;VLOOKUP(C453,$C$3:$L$6,8,0)),-D453*VLOOKUP(C453,$C$3:$L$6,6,0)/12,0),"")</f>
        <v/>
      </c>
      <c r="G453" s="29" t="str">
        <f ca="1">IF(I453&lt;&gt;Variables!$B$1,IF(C453&lt;&gt;"",$I$9-E453-F453,""),-D453)</f>
        <v/>
      </c>
      <c r="H453" s="29" t="str">
        <f t="shared" ca="1" si="46"/>
        <v/>
      </c>
      <c r="I453" s="31" t="str">
        <f ca="1">IF(C453&lt;&gt;"",IF(D453+$I$9-E453-F453&gt;=0,IF(ISERROR(INDEX($C$3:$C$6,MATCH(C453,$C$3:$C$6,0)+1,0)),Variables!$B$1,INDEX($C$3:$C$6,MATCH(C453,$C$3:$C$6,0)+1,0)),""),"")</f>
        <v/>
      </c>
      <c r="J453" s="29" t="str">
        <f ca="1">IF(ISERROR(VLOOKUP(I453,$C$3:$L$6,5,0)),"",IF(OR(VLOOKUP(I453,$C$3:$L$6,5,0)=Variables!$B$5,B453&gt;VLOOKUP(I453,$C$3:$L$6,8,0)),IF(VLOOKUP(I453,$C$3:$L$6,5,0)=Variables!$B$5,((YEAR(B453)-YEAR($B$12))*12+MONTH(B453)-MONTH($B$12)),((YEAR(B453)-YEAR(VLOOKUP(I453,$C$3:$L$6,8,0)))*12+MONTH(B453)-MONTH(VLOOKUP(I453,$C$3:$L$6,8,0))))*(VLOOKUP(I453,$C$3:$L$6,10,0)*VLOOKUP(I453,$C$3:$L$6,6,0)/12),0))</f>
        <v/>
      </c>
      <c r="K453" s="29" t="str">
        <f ca="1">IF(C453&lt;&gt;"",IF(I453&lt;&gt;"",IF(ISERROR(VLOOKUP(I453,$C$3:$L$6,10,0)),"",VLOOKUP(I453,$C$3:$L$6,10,0)+J453+IF(OR(VLOOKUP(I453,$C$3:$L$6,5,0)=Variables!$B$5,B453&gt;VLOOKUP(I453,$C$3:$L$6,8,0)),IF(VLOOKUP(I453,$C$3:$L$6,5,0)=Variables!$B$5,((YEAR(B453)-YEAR($B$12))*12+MONTH(B453)-MONTH($B$12)),((YEAR(B453)-YEAR(VLOOKUP(I453,$C$3:$L$6,8,0)))*12+MONTH(B453)-MONTH(VLOOKUP(I453,$C$3:$L$6,8,0))))*VLOOKUP(I453,$C$3:$L$6,7,0),0)),""),"")</f>
        <v/>
      </c>
      <c r="L453" s="29" t="str">
        <f t="shared" ca="1" si="44"/>
        <v/>
      </c>
      <c r="M453" s="10"/>
      <c r="N453" s="10"/>
    </row>
    <row r="454" spans="1:14" x14ac:dyDescent="0.25">
      <c r="A454" s="10"/>
      <c r="B454" s="14" t="str">
        <f t="shared" ca="1" si="45"/>
        <v/>
      </c>
      <c r="C454" s="14" t="str">
        <f ca="1">IF(I453&lt;&gt;Variables!$B$1,IF(H453&lt;&gt;0,C453,I453),"")</f>
        <v/>
      </c>
      <c r="D454" s="29" t="str">
        <f t="shared" ca="1" si="42"/>
        <v/>
      </c>
      <c r="E454" s="29" t="str">
        <f t="shared" ca="1" si="43"/>
        <v/>
      </c>
      <c r="F454" s="29" t="str">
        <f ca="1">IF(C454&lt;&gt;"",IF(OR(VLOOKUP(C454,$C$3:$L$6,5,0)=Variables!$B$5,B454&gt;VLOOKUP(C454,$C$3:$L$6,8,0)),-D454*VLOOKUP(C454,$C$3:$L$6,6,0)/12,0),"")</f>
        <v/>
      </c>
      <c r="G454" s="29" t="str">
        <f ca="1">IF(I454&lt;&gt;Variables!$B$1,IF(C454&lt;&gt;"",$I$9-E454-F454,""),-D454)</f>
        <v/>
      </c>
      <c r="H454" s="29" t="str">
        <f t="shared" ca="1" si="46"/>
        <v/>
      </c>
      <c r="I454" s="31" t="str">
        <f ca="1">IF(C454&lt;&gt;"",IF(D454+$I$9-E454-F454&gt;=0,IF(ISERROR(INDEX($C$3:$C$6,MATCH(C454,$C$3:$C$6,0)+1,0)),Variables!$B$1,INDEX($C$3:$C$6,MATCH(C454,$C$3:$C$6,0)+1,0)),""),"")</f>
        <v/>
      </c>
      <c r="J454" s="29" t="str">
        <f ca="1">IF(ISERROR(VLOOKUP(I454,$C$3:$L$6,5,0)),"",IF(OR(VLOOKUP(I454,$C$3:$L$6,5,0)=Variables!$B$5,B454&gt;VLOOKUP(I454,$C$3:$L$6,8,0)),IF(VLOOKUP(I454,$C$3:$L$6,5,0)=Variables!$B$5,((YEAR(B454)-YEAR($B$12))*12+MONTH(B454)-MONTH($B$12)),((YEAR(B454)-YEAR(VLOOKUP(I454,$C$3:$L$6,8,0)))*12+MONTH(B454)-MONTH(VLOOKUP(I454,$C$3:$L$6,8,0))))*(VLOOKUP(I454,$C$3:$L$6,10,0)*VLOOKUP(I454,$C$3:$L$6,6,0)/12),0))</f>
        <v/>
      </c>
      <c r="K454" s="29" t="str">
        <f ca="1">IF(C454&lt;&gt;"",IF(I454&lt;&gt;"",IF(ISERROR(VLOOKUP(I454,$C$3:$L$6,10,0)),"",VLOOKUP(I454,$C$3:$L$6,10,0)+J454+IF(OR(VLOOKUP(I454,$C$3:$L$6,5,0)=Variables!$B$5,B454&gt;VLOOKUP(I454,$C$3:$L$6,8,0)),IF(VLOOKUP(I454,$C$3:$L$6,5,0)=Variables!$B$5,((YEAR(B454)-YEAR($B$12))*12+MONTH(B454)-MONTH($B$12)),((YEAR(B454)-YEAR(VLOOKUP(I454,$C$3:$L$6,8,0)))*12+MONTH(B454)-MONTH(VLOOKUP(I454,$C$3:$L$6,8,0))))*VLOOKUP(I454,$C$3:$L$6,7,0),0)),""),"")</f>
        <v/>
      </c>
      <c r="L454" s="29" t="str">
        <f t="shared" ca="1" si="44"/>
        <v/>
      </c>
      <c r="M454" s="10"/>
      <c r="N454" s="10"/>
    </row>
    <row r="455" spans="1:14" x14ac:dyDescent="0.25">
      <c r="A455" s="10"/>
      <c r="B455" s="14" t="str">
        <f t="shared" ca="1" si="45"/>
        <v/>
      </c>
      <c r="C455" s="14" t="str">
        <f ca="1">IF(I454&lt;&gt;Variables!$B$1,IF(H454&lt;&gt;0,C454,I454),"")</f>
        <v/>
      </c>
      <c r="D455" s="29" t="str">
        <f t="shared" ca="1" si="42"/>
        <v/>
      </c>
      <c r="E455" s="29" t="str">
        <f t="shared" ca="1" si="43"/>
        <v/>
      </c>
      <c r="F455" s="29" t="str">
        <f ca="1">IF(C455&lt;&gt;"",IF(OR(VLOOKUP(C455,$C$3:$L$6,5,0)=Variables!$B$5,B455&gt;VLOOKUP(C455,$C$3:$L$6,8,0)),-D455*VLOOKUP(C455,$C$3:$L$6,6,0)/12,0),"")</f>
        <v/>
      </c>
      <c r="G455" s="29" t="str">
        <f ca="1">IF(I455&lt;&gt;Variables!$B$1,IF(C455&lt;&gt;"",$I$9-E455-F455,""),-D455)</f>
        <v/>
      </c>
      <c r="H455" s="29" t="str">
        <f t="shared" ca="1" si="46"/>
        <v/>
      </c>
      <c r="I455" s="31" t="str">
        <f ca="1">IF(C455&lt;&gt;"",IF(D455+$I$9-E455-F455&gt;=0,IF(ISERROR(INDEX($C$3:$C$6,MATCH(C455,$C$3:$C$6,0)+1,0)),Variables!$B$1,INDEX($C$3:$C$6,MATCH(C455,$C$3:$C$6,0)+1,0)),""),"")</f>
        <v/>
      </c>
      <c r="J455" s="29" t="str">
        <f ca="1">IF(ISERROR(VLOOKUP(I455,$C$3:$L$6,5,0)),"",IF(OR(VLOOKUP(I455,$C$3:$L$6,5,0)=Variables!$B$5,B455&gt;VLOOKUP(I455,$C$3:$L$6,8,0)),IF(VLOOKUP(I455,$C$3:$L$6,5,0)=Variables!$B$5,((YEAR(B455)-YEAR($B$12))*12+MONTH(B455)-MONTH($B$12)),((YEAR(B455)-YEAR(VLOOKUP(I455,$C$3:$L$6,8,0)))*12+MONTH(B455)-MONTH(VLOOKUP(I455,$C$3:$L$6,8,0))))*(VLOOKUP(I455,$C$3:$L$6,10,0)*VLOOKUP(I455,$C$3:$L$6,6,0)/12),0))</f>
        <v/>
      </c>
      <c r="K455" s="29" t="str">
        <f ca="1">IF(C455&lt;&gt;"",IF(I455&lt;&gt;"",IF(ISERROR(VLOOKUP(I455,$C$3:$L$6,10,0)),"",VLOOKUP(I455,$C$3:$L$6,10,0)+J455+IF(OR(VLOOKUP(I455,$C$3:$L$6,5,0)=Variables!$B$5,B455&gt;VLOOKUP(I455,$C$3:$L$6,8,0)),IF(VLOOKUP(I455,$C$3:$L$6,5,0)=Variables!$B$5,((YEAR(B455)-YEAR($B$12))*12+MONTH(B455)-MONTH($B$12)),((YEAR(B455)-YEAR(VLOOKUP(I455,$C$3:$L$6,8,0)))*12+MONTH(B455)-MONTH(VLOOKUP(I455,$C$3:$L$6,8,0))))*VLOOKUP(I455,$C$3:$L$6,7,0),0)),""),"")</f>
        <v/>
      </c>
      <c r="L455" s="29" t="str">
        <f t="shared" ca="1" si="44"/>
        <v/>
      </c>
      <c r="M455" s="10"/>
      <c r="N455" s="10"/>
    </row>
    <row r="456" spans="1:14" x14ac:dyDescent="0.25">
      <c r="A456" s="10"/>
      <c r="B456" s="14" t="str">
        <f t="shared" ca="1" si="45"/>
        <v/>
      </c>
      <c r="C456" s="14" t="str">
        <f ca="1">IF(I455&lt;&gt;Variables!$B$1,IF(H455&lt;&gt;0,C455,I455),"")</f>
        <v/>
      </c>
      <c r="D456" s="29" t="str">
        <f t="shared" ca="1" si="42"/>
        <v/>
      </c>
      <c r="E456" s="29" t="str">
        <f t="shared" ca="1" si="43"/>
        <v/>
      </c>
      <c r="F456" s="29" t="str">
        <f ca="1">IF(C456&lt;&gt;"",IF(OR(VLOOKUP(C456,$C$3:$L$6,5,0)=Variables!$B$5,B456&gt;VLOOKUP(C456,$C$3:$L$6,8,0)),-D456*VLOOKUP(C456,$C$3:$L$6,6,0)/12,0),"")</f>
        <v/>
      </c>
      <c r="G456" s="29" t="str">
        <f ca="1">IF(I456&lt;&gt;Variables!$B$1,IF(C456&lt;&gt;"",$I$9-E456-F456,""),-D456)</f>
        <v/>
      </c>
      <c r="H456" s="29" t="str">
        <f t="shared" ca="1" si="46"/>
        <v/>
      </c>
      <c r="I456" s="31" t="str">
        <f ca="1">IF(C456&lt;&gt;"",IF(D456+$I$9-E456-F456&gt;=0,IF(ISERROR(INDEX($C$3:$C$6,MATCH(C456,$C$3:$C$6,0)+1,0)),Variables!$B$1,INDEX($C$3:$C$6,MATCH(C456,$C$3:$C$6,0)+1,0)),""),"")</f>
        <v/>
      </c>
      <c r="J456" s="29" t="str">
        <f ca="1">IF(ISERROR(VLOOKUP(I456,$C$3:$L$6,5,0)),"",IF(OR(VLOOKUP(I456,$C$3:$L$6,5,0)=Variables!$B$5,B456&gt;VLOOKUP(I456,$C$3:$L$6,8,0)),IF(VLOOKUP(I456,$C$3:$L$6,5,0)=Variables!$B$5,((YEAR(B456)-YEAR($B$12))*12+MONTH(B456)-MONTH($B$12)),((YEAR(B456)-YEAR(VLOOKUP(I456,$C$3:$L$6,8,0)))*12+MONTH(B456)-MONTH(VLOOKUP(I456,$C$3:$L$6,8,0))))*(VLOOKUP(I456,$C$3:$L$6,10,0)*VLOOKUP(I456,$C$3:$L$6,6,0)/12),0))</f>
        <v/>
      </c>
      <c r="K456" s="29" t="str">
        <f ca="1">IF(C456&lt;&gt;"",IF(I456&lt;&gt;"",IF(ISERROR(VLOOKUP(I456,$C$3:$L$6,10,0)),"",VLOOKUP(I456,$C$3:$L$6,10,0)+J456+IF(OR(VLOOKUP(I456,$C$3:$L$6,5,0)=Variables!$B$5,B456&gt;VLOOKUP(I456,$C$3:$L$6,8,0)),IF(VLOOKUP(I456,$C$3:$L$6,5,0)=Variables!$B$5,((YEAR(B456)-YEAR($B$12))*12+MONTH(B456)-MONTH($B$12)),((YEAR(B456)-YEAR(VLOOKUP(I456,$C$3:$L$6,8,0)))*12+MONTH(B456)-MONTH(VLOOKUP(I456,$C$3:$L$6,8,0))))*VLOOKUP(I456,$C$3:$L$6,7,0),0)),""),"")</f>
        <v/>
      </c>
      <c r="L456" s="29" t="str">
        <f t="shared" ca="1" si="44"/>
        <v/>
      </c>
      <c r="M456" s="10"/>
      <c r="N456" s="10"/>
    </row>
    <row r="457" spans="1:14" x14ac:dyDescent="0.25">
      <c r="A457" s="10"/>
      <c r="B457" s="14" t="str">
        <f t="shared" ca="1" si="45"/>
        <v/>
      </c>
      <c r="C457" s="14" t="str">
        <f ca="1">IF(I456&lt;&gt;Variables!$B$1,IF(H456&lt;&gt;0,C456,I456),"")</f>
        <v/>
      </c>
      <c r="D457" s="29" t="str">
        <f t="shared" ca="1" si="42"/>
        <v/>
      </c>
      <c r="E457" s="29" t="str">
        <f t="shared" ca="1" si="43"/>
        <v/>
      </c>
      <c r="F457" s="29" t="str">
        <f ca="1">IF(C457&lt;&gt;"",IF(OR(VLOOKUP(C457,$C$3:$L$6,5,0)=Variables!$B$5,B457&gt;VLOOKUP(C457,$C$3:$L$6,8,0)),-D457*VLOOKUP(C457,$C$3:$L$6,6,0)/12,0),"")</f>
        <v/>
      </c>
      <c r="G457" s="29" t="str">
        <f ca="1">IF(I457&lt;&gt;Variables!$B$1,IF(C457&lt;&gt;"",$I$9-E457-F457,""),-D457)</f>
        <v/>
      </c>
      <c r="H457" s="29" t="str">
        <f t="shared" ca="1" si="46"/>
        <v/>
      </c>
      <c r="I457" s="31" t="str">
        <f ca="1">IF(C457&lt;&gt;"",IF(D457+$I$9-E457-F457&gt;=0,IF(ISERROR(INDEX($C$3:$C$6,MATCH(C457,$C$3:$C$6,0)+1,0)),Variables!$B$1,INDEX($C$3:$C$6,MATCH(C457,$C$3:$C$6,0)+1,0)),""),"")</f>
        <v/>
      </c>
      <c r="J457" s="29" t="str">
        <f ca="1">IF(ISERROR(VLOOKUP(I457,$C$3:$L$6,5,0)),"",IF(OR(VLOOKUP(I457,$C$3:$L$6,5,0)=Variables!$B$5,B457&gt;VLOOKUP(I457,$C$3:$L$6,8,0)),IF(VLOOKUP(I457,$C$3:$L$6,5,0)=Variables!$B$5,((YEAR(B457)-YEAR($B$12))*12+MONTH(B457)-MONTH($B$12)),((YEAR(B457)-YEAR(VLOOKUP(I457,$C$3:$L$6,8,0)))*12+MONTH(B457)-MONTH(VLOOKUP(I457,$C$3:$L$6,8,0))))*(VLOOKUP(I457,$C$3:$L$6,10,0)*VLOOKUP(I457,$C$3:$L$6,6,0)/12),0))</f>
        <v/>
      </c>
      <c r="K457" s="29" t="str">
        <f ca="1">IF(C457&lt;&gt;"",IF(I457&lt;&gt;"",IF(ISERROR(VLOOKUP(I457,$C$3:$L$6,10,0)),"",VLOOKUP(I457,$C$3:$L$6,10,0)+J457+IF(OR(VLOOKUP(I457,$C$3:$L$6,5,0)=Variables!$B$5,B457&gt;VLOOKUP(I457,$C$3:$L$6,8,0)),IF(VLOOKUP(I457,$C$3:$L$6,5,0)=Variables!$B$5,((YEAR(B457)-YEAR($B$12))*12+MONTH(B457)-MONTH($B$12)),((YEAR(B457)-YEAR(VLOOKUP(I457,$C$3:$L$6,8,0)))*12+MONTH(B457)-MONTH(VLOOKUP(I457,$C$3:$L$6,8,0))))*VLOOKUP(I457,$C$3:$L$6,7,0),0)),""),"")</f>
        <v/>
      </c>
      <c r="L457" s="29" t="str">
        <f t="shared" ca="1" si="44"/>
        <v/>
      </c>
      <c r="M457" s="10"/>
      <c r="N457" s="10"/>
    </row>
    <row r="458" spans="1:14" x14ac:dyDescent="0.25">
      <c r="A458" s="10"/>
      <c r="B458" s="14" t="str">
        <f t="shared" ca="1" si="45"/>
        <v/>
      </c>
      <c r="C458" s="14" t="str">
        <f ca="1">IF(I457&lt;&gt;Variables!$B$1,IF(H457&lt;&gt;0,C457,I457),"")</f>
        <v/>
      </c>
      <c r="D458" s="29" t="str">
        <f t="shared" ca="1" si="42"/>
        <v/>
      </c>
      <c r="E458" s="29" t="str">
        <f t="shared" ca="1" si="43"/>
        <v/>
      </c>
      <c r="F458" s="29" t="str">
        <f ca="1">IF(C458&lt;&gt;"",IF(OR(VLOOKUP(C458,$C$3:$L$6,5,0)=Variables!$B$5,B458&gt;VLOOKUP(C458,$C$3:$L$6,8,0)),-D458*VLOOKUP(C458,$C$3:$L$6,6,0)/12,0),"")</f>
        <v/>
      </c>
      <c r="G458" s="29" t="str">
        <f ca="1">IF(I458&lt;&gt;Variables!$B$1,IF(C458&lt;&gt;"",$I$9-E458-F458,""),-D458)</f>
        <v/>
      </c>
      <c r="H458" s="29" t="str">
        <f t="shared" ca="1" si="46"/>
        <v/>
      </c>
      <c r="I458" s="31" t="str">
        <f ca="1">IF(C458&lt;&gt;"",IF(D458+$I$9-E458-F458&gt;=0,IF(ISERROR(INDEX($C$3:$C$6,MATCH(C458,$C$3:$C$6,0)+1,0)),Variables!$B$1,INDEX($C$3:$C$6,MATCH(C458,$C$3:$C$6,0)+1,0)),""),"")</f>
        <v/>
      </c>
      <c r="J458" s="29" t="str">
        <f ca="1">IF(ISERROR(VLOOKUP(I458,$C$3:$L$6,5,0)),"",IF(OR(VLOOKUP(I458,$C$3:$L$6,5,0)=Variables!$B$5,B458&gt;VLOOKUP(I458,$C$3:$L$6,8,0)),IF(VLOOKUP(I458,$C$3:$L$6,5,0)=Variables!$B$5,((YEAR(B458)-YEAR($B$12))*12+MONTH(B458)-MONTH($B$12)),((YEAR(B458)-YEAR(VLOOKUP(I458,$C$3:$L$6,8,0)))*12+MONTH(B458)-MONTH(VLOOKUP(I458,$C$3:$L$6,8,0))))*(VLOOKUP(I458,$C$3:$L$6,10,0)*VLOOKUP(I458,$C$3:$L$6,6,0)/12),0))</f>
        <v/>
      </c>
      <c r="K458" s="29" t="str">
        <f ca="1">IF(C458&lt;&gt;"",IF(I458&lt;&gt;"",IF(ISERROR(VLOOKUP(I458,$C$3:$L$6,10,0)),"",VLOOKUP(I458,$C$3:$L$6,10,0)+J458+IF(OR(VLOOKUP(I458,$C$3:$L$6,5,0)=Variables!$B$5,B458&gt;VLOOKUP(I458,$C$3:$L$6,8,0)),IF(VLOOKUP(I458,$C$3:$L$6,5,0)=Variables!$B$5,((YEAR(B458)-YEAR($B$12))*12+MONTH(B458)-MONTH($B$12)),((YEAR(B458)-YEAR(VLOOKUP(I458,$C$3:$L$6,8,0)))*12+MONTH(B458)-MONTH(VLOOKUP(I458,$C$3:$L$6,8,0))))*VLOOKUP(I458,$C$3:$L$6,7,0),0)),""),"")</f>
        <v/>
      </c>
      <c r="L458" s="29" t="str">
        <f t="shared" ca="1" si="44"/>
        <v/>
      </c>
      <c r="M458" s="10"/>
      <c r="N458" s="10"/>
    </row>
    <row r="459" spans="1:14" x14ac:dyDescent="0.25">
      <c r="A459" s="10"/>
      <c r="B459" s="14" t="str">
        <f t="shared" ca="1" si="45"/>
        <v/>
      </c>
      <c r="C459" s="14" t="str">
        <f ca="1">IF(I458&lt;&gt;Variables!$B$1,IF(H458&lt;&gt;0,C458,I458),"")</f>
        <v/>
      </c>
      <c r="D459" s="29" t="str">
        <f t="shared" ca="1" si="42"/>
        <v/>
      </c>
      <c r="E459" s="29" t="str">
        <f t="shared" ca="1" si="43"/>
        <v/>
      </c>
      <c r="F459" s="29" t="str">
        <f ca="1">IF(C459&lt;&gt;"",IF(OR(VLOOKUP(C459,$C$3:$L$6,5,0)=Variables!$B$5,B459&gt;VLOOKUP(C459,$C$3:$L$6,8,0)),-D459*VLOOKUP(C459,$C$3:$L$6,6,0)/12,0),"")</f>
        <v/>
      </c>
      <c r="G459" s="29" t="str">
        <f ca="1">IF(I459&lt;&gt;Variables!$B$1,IF(C459&lt;&gt;"",$I$9-E459-F459,""),-D459)</f>
        <v/>
      </c>
      <c r="H459" s="29" t="str">
        <f t="shared" ca="1" si="46"/>
        <v/>
      </c>
      <c r="I459" s="31" t="str">
        <f ca="1">IF(C459&lt;&gt;"",IF(D459+$I$9-E459-F459&gt;=0,IF(ISERROR(INDEX($C$3:$C$6,MATCH(C459,$C$3:$C$6,0)+1,0)),Variables!$B$1,INDEX($C$3:$C$6,MATCH(C459,$C$3:$C$6,0)+1,0)),""),"")</f>
        <v/>
      </c>
      <c r="J459" s="29" t="str">
        <f ca="1">IF(ISERROR(VLOOKUP(I459,$C$3:$L$6,5,0)),"",IF(OR(VLOOKUP(I459,$C$3:$L$6,5,0)=Variables!$B$5,B459&gt;VLOOKUP(I459,$C$3:$L$6,8,0)),IF(VLOOKUP(I459,$C$3:$L$6,5,0)=Variables!$B$5,((YEAR(B459)-YEAR($B$12))*12+MONTH(B459)-MONTH($B$12)),((YEAR(B459)-YEAR(VLOOKUP(I459,$C$3:$L$6,8,0)))*12+MONTH(B459)-MONTH(VLOOKUP(I459,$C$3:$L$6,8,0))))*(VLOOKUP(I459,$C$3:$L$6,10,0)*VLOOKUP(I459,$C$3:$L$6,6,0)/12),0))</f>
        <v/>
      </c>
      <c r="K459" s="29" t="str">
        <f ca="1">IF(C459&lt;&gt;"",IF(I459&lt;&gt;"",IF(ISERROR(VLOOKUP(I459,$C$3:$L$6,10,0)),"",VLOOKUP(I459,$C$3:$L$6,10,0)+J459+IF(OR(VLOOKUP(I459,$C$3:$L$6,5,0)=Variables!$B$5,B459&gt;VLOOKUP(I459,$C$3:$L$6,8,0)),IF(VLOOKUP(I459,$C$3:$L$6,5,0)=Variables!$B$5,((YEAR(B459)-YEAR($B$12))*12+MONTH(B459)-MONTH($B$12)),((YEAR(B459)-YEAR(VLOOKUP(I459,$C$3:$L$6,8,0)))*12+MONTH(B459)-MONTH(VLOOKUP(I459,$C$3:$L$6,8,0))))*VLOOKUP(I459,$C$3:$L$6,7,0),0)),""),"")</f>
        <v/>
      </c>
      <c r="L459" s="29" t="str">
        <f t="shared" ca="1" si="44"/>
        <v/>
      </c>
      <c r="M459" s="10"/>
      <c r="N459" s="10"/>
    </row>
    <row r="460" spans="1:14" x14ac:dyDescent="0.25">
      <c r="A460" s="10"/>
      <c r="B460" s="14" t="str">
        <f t="shared" ca="1" si="45"/>
        <v/>
      </c>
      <c r="C460" s="14" t="str">
        <f ca="1">IF(I459&lt;&gt;Variables!$B$1,IF(H459&lt;&gt;0,C459,I459),"")</f>
        <v/>
      </c>
      <c r="D460" s="29" t="str">
        <f t="shared" ca="1" si="42"/>
        <v/>
      </c>
      <c r="E460" s="29" t="str">
        <f t="shared" ca="1" si="43"/>
        <v/>
      </c>
      <c r="F460" s="29" t="str">
        <f ca="1">IF(C460&lt;&gt;"",IF(OR(VLOOKUP(C460,$C$3:$L$6,5,0)=Variables!$B$5,B460&gt;VLOOKUP(C460,$C$3:$L$6,8,0)),-D460*VLOOKUP(C460,$C$3:$L$6,6,0)/12,0),"")</f>
        <v/>
      </c>
      <c r="G460" s="29" t="str">
        <f ca="1">IF(I460&lt;&gt;Variables!$B$1,IF(C460&lt;&gt;"",$I$9-E460-F460,""),-D460)</f>
        <v/>
      </c>
      <c r="H460" s="29" t="str">
        <f t="shared" ca="1" si="46"/>
        <v/>
      </c>
      <c r="I460" s="31" t="str">
        <f ca="1">IF(C460&lt;&gt;"",IF(D460+$I$9-E460-F460&gt;=0,IF(ISERROR(INDEX($C$3:$C$6,MATCH(C460,$C$3:$C$6,0)+1,0)),Variables!$B$1,INDEX($C$3:$C$6,MATCH(C460,$C$3:$C$6,0)+1,0)),""),"")</f>
        <v/>
      </c>
      <c r="J460" s="29" t="str">
        <f ca="1">IF(ISERROR(VLOOKUP(I460,$C$3:$L$6,5,0)),"",IF(OR(VLOOKUP(I460,$C$3:$L$6,5,0)=Variables!$B$5,B460&gt;VLOOKUP(I460,$C$3:$L$6,8,0)),IF(VLOOKUP(I460,$C$3:$L$6,5,0)=Variables!$B$5,((YEAR(B460)-YEAR($B$12))*12+MONTH(B460)-MONTH($B$12)),((YEAR(B460)-YEAR(VLOOKUP(I460,$C$3:$L$6,8,0)))*12+MONTH(B460)-MONTH(VLOOKUP(I460,$C$3:$L$6,8,0))))*(VLOOKUP(I460,$C$3:$L$6,10,0)*VLOOKUP(I460,$C$3:$L$6,6,0)/12),0))</f>
        <v/>
      </c>
      <c r="K460" s="29" t="str">
        <f ca="1">IF(C460&lt;&gt;"",IF(I460&lt;&gt;"",IF(ISERROR(VLOOKUP(I460,$C$3:$L$6,10,0)),"",VLOOKUP(I460,$C$3:$L$6,10,0)+J460+IF(OR(VLOOKUP(I460,$C$3:$L$6,5,0)=Variables!$B$5,B460&gt;VLOOKUP(I460,$C$3:$L$6,8,0)),IF(VLOOKUP(I460,$C$3:$L$6,5,0)=Variables!$B$5,((YEAR(B460)-YEAR($B$12))*12+MONTH(B460)-MONTH($B$12)),((YEAR(B460)-YEAR(VLOOKUP(I460,$C$3:$L$6,8,0)))*12+MONTH(B460)-MONTH(VLOOKUP(I460,$C$3:$L$6,8,0))))*VLOOKUP(I460,$C$3:$L$6,7,0),0)),""),"")</f>
        <v/>
      </c>
      <c r="L460" s="29" t="str">
        <f t="shared" ca="1" si="44"/>
        <v/>
      </c>
      <c r="M460" s="10"/>
      <c r="N460" s="10"/>
    </row>
    <row r="461" spans="1:14" x14ac:dyDescent="0.25">
      <c r="A461" s="10"/>
      <c r="B461" s="14" t="str">
        <f t="shared" ca="1" si="45"/>
        <v/>
      </c>
      <c r="C461" s="14" t="str">
        <f ca="1">IF(I460&lt;&gt;Variables!$B$1,IF(H460&lt;&gt;0,C460,I460),"")</f>
        <v/>
      </c>
      <c r="D461" s="29" t="str">
        <f t="shared" ca="1" si="42"/>
        <v/>
      </c>
      <c r="E461" s="29" t="str">
        <f t="shared" ca="1" si="43"/>
        <v/>
      </c>
      <c r="F461" s="29" t="str">
        <f ca="1">IF(C461&lt;&gt;"",IF(OR(VLOOKUP(C461,$C$3:$L$6,5,0)=Variables!$B$5,B461&gt;VLOOKUP(C461,$C$3:$L$6,8,0)),-D461*VLOOKUP(C461,$C$3:$L$6,6,0)/12,0),"")</f>
        <v/>
      </c>
      <c r="G461" s="29" t="str">
        <f ca="1">IF(I461&lt;&gt;Variables!$B$1,IF(C461&lt;&gt;"",$I$9-E461-F461,""),-D461)</f>
        <v/>
      </c>
      <c r="H461" s="29" t="str">
        <f t="shared" ca="1" si="46"/>
        <v/>
      </c>
      <c r="I461" s="31" t="str">
        <f ca="1">IF(C461&lt;&gt;"",IF(D461+$I$9-E461-F461&gt;=0,IF(ISERROR(INDEX($C$3:$C$6,MATCH(C461,$C$3:$C$6,0)+1,0)),Variables!$B$1,INDEX($C$3:$C$6,MATCH(C461,$C$3:$C$6,0)+1,0)),""),"")</f>
        <v/>
      </c>
      <c r="J461" s="29" t="str">
        <f ca="1">IF(ISERROR(VLOOKUP(I461,$C$3:$L$6,5,0)),"",IF(OR(VLOOKUP(I461,$C$3:$L$6,5,0)=Variables!$B$5,B461&gt;VLOOKUP(I461,$C$3:$L$6,8,0)),IF(VLOOKUP(I461,$C$3:$L$6,5,0)=Variables!$B$5,((YEAR(B461)-YEAR($B$12))*12+MONTH(B461)-MONTH($B$12)),((YEAR(B461)-YEAR(VLOOKUP(I461,$C$3:$L$6,8,0)))*12+MONTH(B461)-MONTH(VLOOKUP(I461,$C$3:$L$6,8,0))))*(VLOOKUP(I461,$C$3:$L$6,10,0)*VLOOKUP(I461,$C$3:$L$6,6,0)/12),0))</f>
        <v/>
      </c>
      <c r="K461" s="29" t="str">
        <f ca="1">IF(C461&lt;&gt;"",IF(I461&lt;&gt;"",IF(ISERROR(VLOOKUP(I461,$C$3:$L$6,10,0)),"",VLOOKUP(I461,$C$3:$L$6,10,0)+J461+IF(OR(VLOOKUP(I461,$C$3:$L$6,5,0)=Variables!$B$5,B461&gt;VLOOKUP(I461,$C$3:$L$6,8,0)),IF(VLOOKUP(I461,$C$3:$L$6,5,0)=Variables!$B$5,((YEAR(B461)-YEAR($B$12))*12+MONTH(B461)-MONTH($B$12)),((YEAR(B461)-YEAR(VLOOKUP(I461,$C$3:$L$6,8,0)))*12+MONTH(B461)-MONTH(VLOOKUP(I461,$C$3:$L$6,8,0))))*VLOOKUP(I461,$C$3:$L$6,7,0),0)),""),"")</f>
        <v/>
      </c>
      <c r="L461" s="29" t="str">
        <f t="shared" ca="1" si="44"/>
        <v/>
      </c>
      <c r="M461" s="10"/>
      <c r="N461" s="10"/>
    </row>
    <row r="462" spans="1:14" x14ac:dyDescent="0.25">
      <c r="A462" s="10"/>
      <c r="B462" s="14" t="str">
        <f t="shared" ca="1" si="45"/>
        <v/>
      </c>
      <c r="C462" s="14" t="str">
        <f ca="1">IF(I461&lt;&gt;Variables!$B$1,IF(H461&lt;&gt;0,C461,I461),"")</f>
        <v/>
      </c>
      <c r="D462" s="29" t="str">
        <f t="shared" ca="1" si="42"/>
        <v/>
      </c>
      <c r="E462" s="29" t="str">
        <f t="shared" ca="1" si="43"/>
        <v/>
      </c>
      <c r="F462" s="29" t="str">
        <f ca="1">IF(C462&lt;&gt;"",IF(OR(VLOOKUP(C462,$C$3:$L$6,5,0)=Variables!$B$5,B462&gt;VLOOKUP(C462,$C$3:$L$6,8,0)),-D462*VLOOKUP(C462,$C$3:$L$6,6,0)/12,0),"")</f>
        <v/>
      </c>
      <c r="G462" s="29" t="str">
        <f ca="1">IF(I462&lt;&gt;Variables!$B$1,IF(C462&lt;&gt;"",$I$9-E462-F462,""),-D462)</f>
        <v/>
      </c>
      <c r="H462" s="29" t="str">
        <f t="shared" ca="1" si="46"/>
        <v/>
      </c>
      <c r="I462" s="31" t="str">
        <f ca="1">IF(C462&lt;&gt;"",IF(D462+$I$9-E462-F462&gt;=0,IF(ISERROR(INDEX($C$3:$C$6,MATCH(C462,$C$3:$C$6,0)+1,0)),Variables!$B$1,INDEX($C$3:$C$6,MATCH(C462,$C$3:$C$6,0)+1,0)),""),"")</f>
        <v/>
      </c>
      <c r="J462" s="29" t="str">
        <f ca="1">IF(ISERROR(VLOOKUP(I462,$C$3:$L$6,5,0)),"",IF(OR(VLOOKUP(I462,$C$3:$L$6,5,0)=Variables!$B$5,B462&gt;VLOOKUP(I462,$C$3:$L$6,8,0)),IF(VLOOKUP(I462,$C$3:$L$6,5,0)=Variables!$B$5,((YEAR(B462)-YEAR($B$12))*12+MONTH(B462)-MONTH($B$12)),((YEAR(B462)-YEAR(VLOOKUP(I462,$C$3:$L$6,8,0)))*12+MONTH(B462)-MONTH(VLOOKUP(I462,$C$3:$L$6,8,0))))*(VLOOKUP(I462,$C$3:$L$6,10,0)*VLOOKUP(I462,$C$3:$L$6,6,0)/12),0))</f>
        <v/>
      </c>
      <c r="K462" s="29" t="str">
        <f ca="1">IF(C462&lt;&gt;"",IF(I462&lt;&gt;"",IF(ISERROR(VLOOKUP(I462,$C$3:$L$6,10,0)),"",VLOOKUP(I462,$C$3:$L$6,10,0)+J462+IF(OR(VLOOKUP(I462,$C$3:$L$6,5,0)=Variables!$B$5,B462&gt;VLOOKUP(I462,$C$3:$L$6,8,0)),IF(VLOOKUP(I462,$C$3:$L$6,5,0)=Variables!$B$5,((YEAR(B462)-YEAR($B$12))*12+MONTH(B462)-MONTH($B$12)),((YEAR(B462)-YEAR(VLOOKUP(I462,$C$3:$L$6,8,0)))*12+MONTH(B462)-MONTH(VLOOKUP(I462,$C$3:$L$6,8,0))))*VLOOKUP(I462,$C$3:$L$6,7,0),0)),""),"")</f>
        <v/>
      </c>
      <c r="L462" s="29" t="str">
        <f t="shared" ca="1" si="44"/>
        <v/>
      </c>
      <c r="M462" s="10"/>
      <c r="N462" s="10"/>
    </row>
    <row r="463" spans="1:14" x14ac:dyDescent="0.25">
      <c r="A463" s="10"/>
      <c r="B463" s="14" t="str">
        <f t="shared" ca="1" si="45"/>
        <v/>
      </c>
      <c r="C463" s="14" t="str">
        <f ca="1">IF(I462&lt;&gt;Variables!$B$1,IF(H462&lt;&gt;0,C462,I462),"")</f>
        <v/>
      </c>
      <c r="D463" s="29" t="str">
        <f t="shared" ca="1" si="42"/>
        <v/>
      </c>
      <c r="E463" s="29" t="str">
        <f t="shared" ca="1" si="43"/>
        <v/>
      </c>
      <c r="F463" s="29" t="str">
        <f ca="1">IF(C463&lt;&gt;"",IF(OR(VLOOKUP(C463,$C$3:$L$6,5,0)=Variables!$B$5,B463&gt;VLOOKUP(C463,$C$3:$L$6,8,0)),-D463*VLOOKUP(C463,$C$3:$L$6,6,0)/12,0),"")</f>
        <v/>
      </c>
      <c r="G463" s="29" t="str">
        <f ca="1">IF(I463&lt;&gt;Variables!$B$1,IF(C463&lt;&gt;"",$I$9-E463-F463,""),-D463)</f>
        <v/>
      </c>
      <c r="H463" s="29" t="str">
        <f t="shared" ca="1" si="46"/>
        <v/>
      </c>
      <c r="I463" s="31" t="str">
        <f ca="1">IF(C463&lt;&gt;"",IF(D463+$I$9-E463-F463&gt;=0,IF(ISERROR(INDEX($C$3:$C$6,MATCH(C463,$C$3:$C$6,0)+1,0)),Variables!$B$1,INDEX($C$3:$C$6,MATCH(C463,$C$3:$C$6,0)+1,0)),""),"")</f>
        <v/>
      </c>
      <c r="J463" s="29" t="str">
        <f ca="1">IF(ISERROR(VLOOKUP(I463,$C$3:$L$6,5,0)),"",IF(OR(VLOOKUP(I463,$C$3:$L$6,5,0)=Variables!$B$5,B463&gt;VLOOKUP(I463,$C$3:$L$6,8,0)),IF(VLOOKUP(I463,$C$3:$L$6,5,0)=Variables!$B$5,((YEAR(B463)-YEAR($B$12))*12+MONTH(B463)-MONTH($B$12)),((YEAR(B463)-YEAR(VLOOKUP(I463,$C$3:$L$6,8,0)))*12+MONTH(B463)-MONTH(VLOOKUP(I463,$C$3:$L$6,8,0))))*(VLOOKUP(I463,$C$3:$L$6,10,0)*VLOOKUP(I463,$C$3:$L$6,6,0)/12),0))</f>
        <v/>
      </c>
      <c r="K463" s="29" t="str">
        <f ca="1">IF(C463&lt;&gt;"",IF(I463&lt;&gt;"",IF(ISERROR(VLOOKUP(I463,$C$3:$L$6,10,0)),"",VLOOKUP(I463,$C$3:$L$6,10,0)+J463+IF(OR(VLOOKUP(I463,$C$3:$L$6,5,0)=Variables!$B$5,B463&gt;VLOOKUP(I463,$C$3:$L$6,8,0)),IF(VLOOKUP(I463,$C$3:$L$6,5,0)=Variables!$B$5,((YEAR(B463)-YEAR($B$12))*12+MONTH(B463)-MONTH($B$12)),((YEAR(B463)-YEAR(VLOOKUP(I463,$C$3:$L$6,8,0)))*12+MONTH(B463)-MONTH(VLOOKUP(I463,$C$3:$L$6,8,0))))*VLOOKUP(I463,$C$3:$L$6,7,0),0)),""),"")</f>
        <v/>
      </c>
      <c r="L463" s="29" t="str">
        <f t="shared" ca="1" si="44"/>
        <v/>
      </c>
      <c r="M463" s="10"/>
      <c r="N463" s="10"/>
    </row>
    <row r="464" spans="1:14" x14ac:dyDescent="0.25">
      <c r="A464" s="10"/>
      <c r="B464" s="14" t="str">
        <f t="shared" ca="1" si="45"/>
        <v/>
      </c>
      <c r="C464" s="14" t="str">
        <f ca="1">IF(I463&lt;&gt;Variables!$B$1,IF(H463&lt;&gt;0,C463,I463),"")</f>
        <v/>
      </c>
      <c r="D464" s="29" t="str">
        <f t="shared" ca="1" si="42"/>
        <v/>
      </c>
      <c r="E464" s="29" t="str">
        <f t="shared" ca="1" si="43"/>
        <v/>
      </c>
      <c r="F464" s="29" t="str">
        <f ca="1">IF(C464&lt;&gt;"",IF(OR(VLOOKUP(C464,$C$3:$L$6,5,0)=Variables!$B$5,B464&gt;VLOOKUP(C464,$C$3:$L$6,8,0)),-D464*VLOOKUP(C464,$C$3:$L$6,6,0)/12,0),"")</f>
        <v/>
      </c>
      <c r="G464" s="29" t="str">
        <f ca="1">IF(I464&lt;&gt;Variables!$B$1,IF(C464&lt;&gt;"",$I$9-E464-F464,""),-D464)</f>
        <v/>
      </c>
      <c r="H464" s="29" t="str">
        <f t="shared" ca="1" si="46"/>
        <v/>
      </c>
      <c r="I464" s="31" t="str">
        <f ca="1">IF(C464&lt;&gt;"",IF(D464+$I$9-E464-F464&gt;=0,IF(ISERROR(INDEX($C$3:$C$6,MATCH(C464,$C$3:$C$6,0)+1,0)),Variables!$B$1,INDEX($C$3:$C$6,MATCH(C464,$C$3:$C$6,0)+1,0)),""),"")</f>
        <v/>
      </c>
      <c r="J464" s="29" t="str">
        <f ca="1">IF(ISERROR(VLOOKUP(I464,$C$3:$L$6,5,0)),"",IF(OR(VLOOKUP(I464,$C$3:$L$6,5,0)=Variables!$B$5,B464&gt;VLOOKUP(I464,$C$3:$L$6,8,0)),IF(VLOOKUP(I464,$C$3:$L$6,5,0)=Variables!$B$5,((YEAR(B464)-YEAR($B$12))*12+MONTH(B464)-MONTH($B$12)),((YEAR(B464)-YEAR(VLOOKUP(I464,$C$3:$L$6,8,0)))*12+MONTH(B464)-MONTH(VLOOKUP(I464,$C$3:$L$6,8,0))))*(VLOOKUP(I464,$C$3:$L$6,10,0)*VLOOKUP(I464,$C$3:$L$6,6,0)/12),0))</f>
        <v/>
      </c>
      <c r="K464" s="29" t="str">
        <f ca="1">IF(C464&lt;&gt;"",IF(I464&lt;&gt;"",IF(ISERROR(VLOOKUP(I464,$C$3:$L$6,10,0)),"",VLOOKUP(I464,$C$3:$L$6,10,0)+J464+IF(OR(VLOOKUP(I464,$C$3:$L$6,5,0)=Variables!$B$5,B464&gt;VLOOKUP(I464,$C$3:$L$6,8,0)),IF(VLOOKUP(I464,$C$3:$L$6,5,0)=Variables!$B$5,((YEAR(B464)-YEAR($B$12))*12+MONTH(B464)-MONTH($B$12)),((YEAR(B464)-YEAR(VLOOKUP(I464,$C$3:$L$6,8,0)))*12+MONTH(B464)-MONTH(VLOOKUP(I464,$C$3:$L$6,8,0))))*VLOOKUP(I464,$C$3:$L$6,7,0),0)),""),"")</f>
        <v/>
      </c>
      <c r="L464" s="29" t="str">
        <f t="shared" ca="1" si="44"/>
        <v/>
      </c>
      <c r="M464" s="10"/>
      <c r="N464" s="10"/>
    </row>
    <row r="465" spans="1:14" x14ac:dyDescent="0.25">
      <c r="A465" s="10"/>
      <c r="B465" s="14" t="str">
        <f t="shared" ca="1" si="45"/>
        <v/>
      </c>
      <c r="C465" s="14" t="str">
        <f ca="1">IF(I464&lt;&gt;Variables!$B$1,IF(H464&lt;&gt;0,C464,I464),"")</f>
        <v/>
      </c>
      <c r="D465" s="29" t="str">
        <f t="shared" ca="1" si="42"/>
        <v/>
      </c>
      <c r="E465" s="29" t="str">
        <f t="shared" ca="1" si="43"/>
        <v/>
      </c>
      <c r="F465" s="29" t="str">
        <f ca="1">IF(C465&lt;&gt;"",IF(OR(VLOOKUP(C465,$C$3:$L$6,5,0)=Variables!$B$5,B465&gt;VLOOKUP(C465,$C$3:$L$6,8,0)),-D465*VLOOKUP(C465,$C$3:$L$6,6,0)/12,0),"")</f>
        <v/>
      </c>
      <c r="G465" s="29" t="str">
        <f ca="1">IF(I465&lt;&gt;Variables!$B$1,IF(C465&lt;&gt;"",$I$9-E465-F465,""),-D465)</f>
        <v/>
      </c>
      <c r="H465" s="29" t="str">
        <f t="shared" ca="1" si="46"/>
        <v/>
      </c>
      <c r="I465" s="31" t="str">
        <f ca="1">IF(C465&lt;&gt;"",IF(D465+$I$9-E465-F465&gt;=0,IF(ISERROR(INDEX($C$3:$C$6,MATCH(C465,$C$3:$C$6,0)+1,0)),Variables!$B$1,INDEX($C$3:$C$6,MATCH(C465,$C$3:$C$6,0)+1,0)),""),"")</f>
        <v/>
      </c>
      <c r="J465" s="29" t="str">
        <f ca="1">IF(ISERROR(VLOOKUP(I465,$C$3:$L$6,5,0)),"",IF(OR(VLOOKUP(I465,$C$3:$L$6,5,0)=Variables!$B$5,B465&gt;VLOOKUP(I465,$C$3:$L$6,8,0)),IF(VLOOKUP(I465,$C$3:$L$6,5,0)=Variables!$B$5,((YEAR(B465)-YEAR($B$12))*12+MONTH(B465)-MONTH($B$12)),((YEAR(B465)-YEAR(VLOOKUP(I465,$C$3:$L$6,8,0)))*12+MONTH(B465)-MONTH(VLOOKUP(I465,$C$3:$L$6,8,0))))*(VLOOKUP(I465,$C$3:$L$6,10,0)*VLOOKUP(I465,$C$3:$L$6,6,0)/12),0))</f>
        <v/>
      </c>
      <c r="K465" s="29" t="str">
        <f ca="1">IF(C465&lt;&gt;"",IF(I465&lt;&gt;"",IF(ISERROR(VLOOKUP(I465,$C$3:$L$6,10,0)),"",VLOOKUP(I465,$C$3:$L$6,10,0)+J465+IF(OR(VLOOKUP(I465,$C$3:$L$6,5,0)=Variables!$B$5,B465&gt;VLOOKUP(I465,$C$3:$L$6,8,0)),IF(VLOOKUP(I465,$C$3:$L$6,5,0)=Variables!$B$5,((YEAR(B465)-YEAR($B$12))*12+MONTH(B465)-MONTH($B$12)),((YEAR(B465)-YEAR(VLOOKUP(I465,$C$3:$L$6,8,0)))*12+MONTH(B465)-MONTH(VLOOKUP(I465,$C$3:$L$6,8,0))))*VLOOKUP(I465,$C$3:$L$6,7,0),0)),""),"")</f>
        <v/>
      </c>
      <c r="L465" s="29" t="str">
        <f t="shared" ca="1" si="44"/>
        <v/>
      </c>
      <c r="M465" s="10"/>
      <c r="N465" s="10"/>
    </row>
    <row r="466" spans="1:14" x14ac:dyDescent="0.25">
      <c r="A466" s="10"/>
      <c r="B466" s="14" t="str">
        <f t="shared" ca="1" si="45"/>
        <v/>
      </c>
      <c r="C466" s="14" t="str">
        <f ca="1">IF(I465&lt;&gt;Variables!$B$1,IF(H465&lt;&gt;0,C465,I465),"")</f>
        <v/>
      </c>
      <c r="D466" s="29" t="str">
        <f t="shared" ca="1" si="42"/>
        <v/>
      </c>
      <c r="E466" s="29" t="str">
        <f t="shared" ca="1" si="43"/>
        <v/>
      </c>
      <c r="F466" s="29" t="str">
        <f ca="1">IF(C466&lt;&gt;"",IF(OR(VLOOKUP(C466,$C$3:$L$6,5,0)=Variables!$B$5,B466&gt;VLOOKUP(C466,$C$3:$L$6,8,0)),-D466*VLOOKUP(C466,$C$3:$L$6,6,0)/12,0),"")</f>
        <v/>
      </c>
      <c r="G466" s="29" t="str">
        <f ca="1">IF(I466&lt;&gt;Variables!$B$1,IF(C466&lt;&gt;"",$I$9-E466-F466,""),-D466)</f>
        <v/>
      </c>
      <c r="H466" s="29" t="str">
        <f t="shared" ca="1" si="46"/>
        <v/>
      </c>
      <c r="I466" s="31" t="str">
        <f ca="1">IF(C466&lt;&gt;"",IF(D466+$I$9-E466-F466&gt;=0,IF(ISERROR(INDEX($C$3:$C$6,MATCH(C466,$C$3:$C$6,0)+1,0)),Variables!$B$1,INDEX($C$3:$C$6,MATCH(C466,$C$3:$C$6,0)+1,0)),""),"")</f>
        <v/>
      </c>
      <c r="J466" s="29" t="str">
        <f ca="1">IF(ISERROR(VLOOKUP(I466,$C$3:$L$6,5,0)),"",IF(OR(VLOOKUP(I466,$C$3:$L$6,5,0)=Variables!$B$5,B466&gt;VLOOKUP(I466,$C$3:$L$6,8,0)),IF(VLOOKUP(I466,$C$3:$L$6,5,0)=Variables!$B$5,((YEAR(B466)-YEAR($B$12))*12+MONTH(B466)-MONTH($B$12)),((YEAR(B466)-YEAR(VLOOKUP(I466,$C$3:$L$6,8,0)))*12+MONTH(B466)-MONTH(VLOOKUP(I466,$C$3:$L$6,8,0))))*(VLOOKUP(I466,$C$3:$L$6,10,0)*VLOOKUP(I466,$C$3:$L$6,6,0)/12),0))</f>
        <v/>
      </c>
      <c r="K466" s="29" t="str">
        <f ca="1">IF(C466&lt;&gt;"",IF(I466&lt;&gt;"",IF(ISERROR(VLOOKUP(I466,$C$3:$L$6,10,0)),"",VLOOKUP(I466,$C$3:$L$6,10,0)+J466+IF(OR(VLOOKUP(I466,$C$3:$L$6,5,0)=Variables!$B$5,B466&gt;VLOOKUP(I466,$C$3:$L$6,8,0)),IF(VLOOKUP(I466,$C$3:$L$6,5,0)=Variables!$B$5,((YEAR(B466)-YEAR($B$12))*12+MONTH(B466)-MONTH($B$12)),((YEAR(B466)-YEAR(VLOOKUP(I466,$C$3:$L$6,8,0)))*12+MONTH(B466)-MONTH(VLOOKUP(I466,$C$3:$L$6,8,0))))*VLOOKUP(I466,$C$3:$L$6,7,0),0)),""),"")</f>
        <v/>
      </c>
      <c r="L466" s="29" t="str">
        <f t="shared" ca="1" si="44"/>
        <v/>
      </c>
      <c r="M466" s="10"/>
      <c r="N466" s="10"/>
    </row>
    <row r="467" spans="1:14" x14ac:dyDescent="0.25">
      <c r="A467" s="10"/>
      <c r="B467" s="14" t="str">
        <f t="shared" ca="1" si="45"/>
        <v/>
      </c>
      <c r="C467" s="14" t="str">
        <f ca="1">IF(I466&lt;&gt;Variables!$B$1,IF(H466&lt;&gt;0,C466,I466),"")</f>
        <v/>
      </c>
      <c r="D467" s="29" t="str">
        <f t="shared" ca="1" si="42"/>
        <v/>
      </c>
      <c r="E467" s="29" t="str">
        <f t="shared" ca="1" si="43"/>
        <v/>
      </c>
      <c r="F467" s="29" t="str">
        <f ca="1">IF(C467&lt;&gt;"",IF(OR(VLOOKUP(C467,$C$3:$L$6,5,0)=Variables!$B$5,B467&gt;VLOOKUP(C467,$C$3:$L$6,8,0)),-D467*VLOOKUP(C467,$C$3:$L$6,6,0)/12,0),"")</f>
        <v/>
      </c>
      <c r="G467" s="29" t="str">
        <f ca="1">IF(I467&lt;&gt;Variables!$B$1,IF(C467&lt;&gt;"",$I$9-E467-F467,""),-D467)</f>
        <v/>
      </c>
      <c r="H467" s="29" t="str">
        <f t="shared" ca="1" si="46"/>
        <v/>
      </c>
      <c r="I467" s="31" t="str">
        <f ca="1">IF(C467&lt;&gt;"",IF(D467+$I$9-E467-F467&gt;=0,IF(ISERROR(INDEX($C$3:$C$6,MATCH(C467,$C$3:$C$6,0)+1,0)),Variables!$B$1,INDEX($C$3:$C$6,MATCH(C467,$C$3:$C$6,0)+1,0)),""),"")</f>
        <v/>
      </c>
      <c r="J467" s="29" t="str">
        <f ca="1">IF(ISERROR(VLOOKUP(I467,$C$3:$L$6,5,0)),"",IF(OR(VLOOKUP(I467,$C$3:$L$6,5,0)=Variables!$B$5,B467&gt;VLOOKUP(I467,$C$3:$L$6,8,0)),IF(VLOOKUP(I467,$C$3:$L$6,5,0)=Variables!$B$5,((YEAR(B467)-YEAR($B$12))*12+MONTH(B467)-MONTH($B$12)),((YEAR(B467)-YEAR(VLOOKUP(I467,$C$3:$L$6,8,0)))*12+MONTH(B467)-MONTH(VLOOKUP(I467,$C$3:$L$6,8,0))))*(VLOOKUP(I467,$C$3:$L$6,10,0)*VLOOKUP(I467,$C$3:$L$6,6,0)/12),0))</f>
        <v/>
      </c>
      <c r="K467" s="29" t="str">
        <f ca="1">IF(C467&lt;&gt;"",IF(I467&lt;&gt;"",IF(ISERROR(VLOOKUP(I467,$C$3:$L$6,10,0)),"",VLOOKUP(I467,$C$3:$L$6,10,0)+J467+IF(OR(VLOOKUP(I467,$C$3:$L$6,5,0)=Variables!$B$5,B467&gt;VLOOKUP(I467,$C$3:$L$6,8,0)),IF(VLOOKUP(I467,$C$3:$L$6,5,0)=Variables!$B$5,((YEAR(B467)-YEAR($B$12))*12+MONTH(B467)-MONTH($B$12)),((YEAR(B467)-YEAR(VLOOKUP(I467,$C$3:$L$6,8,0)))*12+MONTH(B467)-MONTH(VLOOKUP(I467,$C$3:$L$6,8,0))))*VLOOKUP(I467,$C$3:$L$6,7,0),0)),""),"")</f>
        <v/>
      </c>
      <c r="L467" s="29" t="str">
        <f t="shared" ca="1" si="44"/>
        <v/>
      </c>
      <c r="M467" s="10"/>
      <c r="N467" s="10"/>
    </row>
    <row r="468" spans="1:14" x14ac:dyDescent="0.25">
      <c r="A468" s="10"/>
      <c r="B468" s="14" t="str">
        <f t="shared" ca="1" si="45"/>
        <v/>
      </c>
      <c r="C468" s="14" t="str">
        <f ca="1">IF(I467&lt;&gt;Variables!$B$1,IF(H467&lt;&gt;0,C467,I467),"")</f>
        <v/>
      </c>
      <c r="D468" s="29" t="str">
        <f t="shared" ca="1" si="42"/>
        <v/>
      </c>
      <c r="E468" s="29" t="str">
        <f t="shared" ca="1" si="43"/>
        <v/>
      </c>
      <c r="F468" s="29" t="str">
        <f ca="1">IF(C468&lt;&gt;"",IF(OR(VLOOKUP(C468,$C$3:$L$6,5,0)=Variables!$B$5,B468&gt;VLOOKUP(C468,$C$3:$L$6,8,0)),-D468*VLOOKUP(C468,$C$3:$L$6,6,0)/12,0),"")</f>
        <v/>
      </c>
      <c r="G468" s="29" t="str">
        <f ca="1">IF(I468&lt;&gt;Variables!$B$1,IF(C468&lt;&gt;"",$I$9-E468-F468,""),-D468)</f>
        <v/>
      </c>
      <c r="H468" s="29" t="str">
        <f t="shared" ca="1" si="46"/>
        <v/>
      </c>
      <c r="I468" s="31" t="str">
        <f ca="1">IF(C468&lt;&gt;"",IF(D468+$I$9-E468-F468&gt;=0,IF(ISERROR(INDEX($C$3:$C$6,MATCH(C468,$C$3:$C$6,0)+1,0)),Variables!$B$1,INDEX($C$3:$C$6,MATCH(C468,$C$3:$C$6,0)+1,0)),""),"")</f>
        <v/>
      </c>
      <c r="J468" s="29" t="str">
        <f ca="1">IF(ISERROR(VLOOKUP(I468,$C$3:$L$6,5,0)),"",IF(OR(VLOOKUP(I468,$C$3:$L$6,5,0)=Variables!$B$5,B468&gt;VLOOKUP(I468,$C$3:$L$6,8,0)),IF(VLOOKUP(I468,$C$3:$L$6,5,0)=Variables!$B$5,((YEAR(B468)-YEAR($B$12))*12+MONTH(B468)-MONTH($B$12)),((YEAR(B468)-YEAR(VLOOKUP(I468,$C$3:$L$6,8,0)))*12+MONTH(B468)-MONTH(VLOOKUP(I468,$C$3:$L$6,8,0))))*(VLOOKUP(I468,$C$3:$L$6,10,0)*VLOOKUP(I468,$C$3:$L$6,6,0)/12),0))</f>
        <v/>
      </c>
      <c r="K468" s="29" t="str">
        <f ca="1">IF(C468&lt;&gt;"",IF(I468&lt;&gt;"",IF(ISERROR(VLOOKUP(I468,$C$3:$L$6,10,0)),"",VLOOKUP(I468,$C$3:$L$6,10,0)+J468+IF(OR(VLOOKUP(I468,$C$3:$L$6,5,0)=Variables!$B$5,B468&gt;VLOOKUP(I468,$C$3:$L$6,8,0)),IF(VLOOKUP(I468,$C$3:$L$6,5,0)=Variables!$B$5,((YEAR(B468)-YEAR($B$12))*12+MONTH(B468)-MONTH($B$12)),((YEAR(B468)-YEAR(VLOOKUP(I468,$C$3:$L$6,8,0)))*12+MONTH(B468)-MONTH(VLOOKUP(I468,$C$3:$L$6,8,0))))*VLOOKUP(I468,$C$3:$L$6,7,0),0)),""),"")</f>
        <v/>
      </c>
      <c r="L468" s="29" t="str">
        <f t="shared" ca="1" si="44"/>
        <v/>
      </c>
      <c r="M468" s="10"/>
      <c r="N468" s="10"/>
    </row>
    <row r="469" spans="1:14" x14ac:dyDescent="0.25">
      <c r="A469" s="10"/>
      <c r="B469" s="14" t="str">
        <f t="shared" ca="1" si="45"/>
        <v/>
      </c>
      <c r="C469" s="14" t="str">
        <f ca="1">IF(I468&lt;&gt;Variables!$B$1,IF(H468&lt;&gt;0,C468,I468),"")</f>
        <v/>
      </c>
      <c r="D469" s="29" t="str">
        <f t="shared" ca="1" si="42"/>
        <v/>
      </c>
      <c r="E469" s="29" t="str">
        <f t="shared" ca="1" si="43"/>
        <v/>
      </c>
      <c r="F469" s="29" t="str">
        <f ca="1">IF(C469&lt;&gt;"",IF(OR(VLOOKUP(C469,$C$3:$L$6,5,0)=Variables!$B$5,B469&gt;VLOOKUP(C469,$C$3:$L$6,8,0)),-D469*VLOOKUP(C469,$C$3:$L$6,6,0)/12,0),"")</f>
        <v/>
      </c>
      <c r="G469" s="29" t="str">
        <f ca="1">IF(I469&lt;&gt;Variables!$B$1,IF(C469&lt;&gt;"",$I$9-E469-F469,""),-D469)</f>
        <v/>
      </c>
      <c r="H469" s="29" t="str">
        <f t="shared" ca="1" si="46"/>
        <v/>
      </c>
      <c r="I469" s="31" t="str">
        <f ca="1">IF(C469&lt;&gt;"",IF(D469+$I$9-E469-F469&gt;=0,IF(ISERROR(INDEX($C$3:$C$6,MATCH(C469,$C$3:$C$6,0)+1,0)),Variables!$B$1,INDEX($C$3:$C$6,MATCH(C469,$C$3:$C$6,0)+1,0)),""),"")</f>
        <v/>
      </c>
      <c r="J469" s="29" t="str">
        <f ca="1">IF(ISERROR(VLOOKUP(I469,$C$3:$L$6,5,0)),"",IF(OR(VLOOKUP(I469,$C$3:$L$6,5,0)=Variables!$B$5,B469&gt;VLOOKUP(I469,$C$3:$L$6,8,0)),IF(VLOOKUP(I469,$C$3:$L$6,5,0)=Variables!$B$5,((YEAR(B469)-YEAR($B$12))*12+MONTH(B469)-MONTH($B$12)),((YEAR(B469)-YEAR(VLOOKUP(I469,$C$3:$L$6,8,0)))*12+MONTH(B469)-MONTH(VLOOKUP(I469,$C$3:$L$6,8,0))))*(VLOOKUP(I469,$C$3:$L$6,10,0)*VLOOKUP(I469,$C$3:$L$6,6,0)/12),0))</f>
        <v/>
      </c>
      <c r="K469" s="29" t="str">
        <f ca="1">IF(C469&lt;&gt;"",IF(I469&lt;&gt;"",IF(ISERROR(VLOOKUP(I469,$C$3:$L$6,10,0)),"",VLOOKUP(I469,$C$3:$L$6,10,0)+J469+IF(OR(VLOOKUP(I469,$C$3:$L$6,5,0)=Variables!$B$5,B469&gt;VLOOKUP(I469,$C$3:$L$6,8,0)),IF(VLOOKUP(I469,$C$3:$L$6,5,0)=Variables!$B$5,((YEAR(B469)-YEAR($B$12))*12+MONTH(B469)-MONTH($B$12)),((YEAR(B469)-YEAR(VLOOKUP(I469,$C$3:$L$6,8,0)))*12+MONTH(B469)-MONTH(VLOOKUP(I469,$C$3:$L$6,8,0))))*VLOOKUP(I469,$C$3:$L$6,7,0),0)),""),"")</f>
        <v/>
      </c>
      <c r="L469" s="29" t="str">
        <f t="shared" ca="1" si="44"/>
        <v/>
      </c>
      <c r="M469" s="10"/>
      <c r="N469" s="10"/>
    </row>
    <row r="470" spans="1:14" x14ac:dyDescent="0.25">
      <c r="A470" s="10"/>
      <c r="B470" s="14" t="str">
        <f t="shared" ca="1" si="45"/>
        <v/>
      </c>
      <c r="C470" s="14" t="str">
        <f ca="1">IF(I469&lt;&gt;Variables!$B$1,IF(H469&lt;&gt;0,C469,I469),"")</f>
        <v/>
      </c>
      <c r="D470" s="29" t="str">
        <f t="shared" ca="1" si="42"/>
        <v/>
      </c>
      <c r="E470" s="29" t="str">
        <f t="shared" ca="1" si="43"/>
        <v/>
      </c>
      <c r="F470" s="29" t="str">
        <f ca="1">IF(C470&lt;&gt;"",IF(OR(VLOOKUP(C470,$C$3:$L$6,5,0)=Variables!$B$5,B470&gt;VLOOKUP(C470,$C$3:$L$6,8,0)),-D470*VLOOKUP(C470,$C$3:$L$6,6,0)/12,0),"")</f>
        <v/>
      </c>
      <c r="G470" s="29" t="str">
        <f ca="1">IF(I470&lt;&gt;Variables!$B$1,IF(C470&lt;&gt;"",$I$9-E470-F470,""),-D470)</f>
        <v/>
      </c>
      <c r="H470" s="29" t="str">
        <f t="shared" ca="1" si="46"/>
        <v/>
      </c>
      <c r="I470" s="31" t="str">
        <f ca="1">IF(C470&lt;&gt;"",IF(D470+$I$9-E470-F470&gt;=0,IF(ISERROR(INDEX($C$3:$C$6,MATCH(C470,$C$3:$C$6,0)+1,0)),Variables!$B$1,INDEX($C$3:$C$6,MATCH(C470,$C$3:$C$6,0)+1,0)),""),"")</f>
        <v/>
      </c>
      <c r="J470" s="29" t="str">
        <f ca="1">IF(ISERROR(VLOOKUP(I470,$C$3:$L$6,5,0)),"",IF(OR(VLOOKUP(I470,$C$3:$L$6,5,0)=Variables!$B$5,B470&gt;VLOOKUP(I470,$C$3:$L$6,8,0)),IF(VLOOKUP(I470,$C$3:$L$6,5,0)=Variables!$B$5,((YEAR(B470)-YEAR($B$12))*12+MONTH(B470)-MONTH($B$12)),((YEAR(B470)-YEAR(VLOOKUP(I470,$C$3:$L$6,8,0)))*12+MONTH(B470)-MONTH(VLOOKUP(I470,$C$3:$L$6,8,0))))*(VLOOKUP(I470,$C$3:$L$6,10,0)*VLOOKUP(I470,$C$3:$L$6,6,0)/12),0))</f>
        <v/>
      </c>
      <c r="K470" s="29" t="str">
        <f ca="1">IF(C470&lt;&gt;"",IF(I470&lt;&gt;"",IF(ISERROR(VLOOKUP(I470,$C$3:$L$6,10,0)),"",VLOOKUP(I470,$C$3:$L$6,10,0)+J470+IF(OR(VLOOKUP(I470,$C$3:$L$6,5,0)=Variables!$B$5,B470&gt;VLOOKUP(I470,$C$3:$L$6,8,0)),IF(VLOOKUP(I470,$C$3:$L$6,5,0)=Variables!$B$5,((YEAR(B470)-YEAR($B$12))*12+MONTH(B470)-MONTH($B$12)),((YEAR(B470)-YEAR(VLOOKUP(I470,$C$3:$L$6,8,0)))*12+MONTH(B470)-MONTH(VLOOKUP(I470,$C$3:$L$6,8,0))))*VLOOKUP(I470,$C$3:$L$6,7,0),0)),""),"")</f>
        <v/>
      </c>
      <c r="L470" s="29" t="str">
        <f t="shared" ca="1" si="44"/>
        <v/>
      </c>
      <c r="M470" s="10"/>
      <c r="N470" s="10"/>
    </row>
    <row r="471" spans="1:14" x14ac:dyDescent="0.25">
      <c r="A471" s="10"/>
      <c r="B471" s="14" t="str">
        <f t="shared" ca="1" si="45"/>
        <v/>
      </c>
      <c r="C471" s="14" t="str">
        <f ca="1">IF(I470&lt;&gt;Variables!$B$1,IF(H470&lt;&gt;0,C470,I470),"")</f>
        <v/>
      </c>
      <c r="D471" s="29" t="str">
        <f t="shared" ca="1" si="42"/>
        <v/>
      </c>
      <c r="E471" s="29" t="str">
        <f t="shared" ca="1" si="43"/>
        <v/>
      </c>
      <c r="F471" s="29" t="str">
        <f ca="1">IF(C471&lt;&gt;"",IF(OR(VLOOKUP(C471,$C$3:$L$6,5,0)=Variables!$B$5,B471&gt;VLOOKUP(C471,$C$3:$L$6,8,0)),-D471*VLOOKUP(C471,$C$3:$L$6,6,0)/12,0),"")</f>
        <v/>
      </c>
      <c r="G471" s="29" t="str">
        <f ca="1">IF(I471&lt;&gt;Variables!$B$1,IF(C471&lt;&gt;"",$I$9-E471-F471,""),-D471)</f>
        <v/>
      </c>
      <c r="H471" s="29" t="str">
        <f t="shared" ca="1" si="46"/>
        <v/>
      </c>
      <c r="I471" s="31" t="str">
        <f ca="1">IF(C471&lt;&gt;"",IF(D471+$I$9-E471-F471&gt;=0,IF(ISERROR(INDEX($C$3:$C$6,MATCH(C471,$C$3:$C$6,0)+1,0)),Variables!$B$1,INDEX($C$3:$C$6,MATCH(C471,$C$3:$C$6,0)+1,0)),""),"")</f>
        <v/>
      </c>
      <c r="J471" s="29" t="str">
        <f ca="1">IF(ISERROR(VLOOKUP(I471,$C$3:$L$6,5,0)),"",IF(OR(VLOOKUP(I471,$C$3:$L$6,5,0)=Variables!$B$5,B471&gt;VLOOKUP(I471,$C$3:$L$6,8,0)),IF(VLOOKUP(I471,$C$3:$L$6,5,0)=Variables!$B$5,((YEAR(B471)-YEAR($B$12))*12+MONTH(B471)-MONTH($B$12)),((YEAR(B471)-YEAR(VLOOKUP(I471,$C$3:$L$6,8,0)))*12+MONTH(B471)-MONTH(VLOOKUP(I471,$C$3:$L$6,8,0))))*(VLOOKUP(I471,$C$3:$L$6,10,0)*VLOOKUP(I471,$C$3:$L$6,6,0)/12),0))</f>
        <v/>
      </c>
      <c r="K471" s="29" t="str">
        <f ca="1">IF(C471&lt;&gt;"",IF(I471&lt;&gt;"",IF(ISERROR(VLOOKUP(I471,$C$3:$L$6,10,0)),"",VLOOKUP(I471,$C$3:$L$6,10,0)+J471+IF(OR(VLOOKUP(I471,$C$3:$L$6,5,0)=Variables!$B$5,B471&gt;VLOOKUP(I471,$C$3:$L$6,8,0)),IF(VLOOKUP(I471,$C$3:$L$6,5,0)=Variables!$B$5,((YEAR(B471)-YEAR($B$12))*12+MONTH(B471)-MONTH($B$12)),((YEAR(B471)-YEAR(VLOOKUP(I471,$C$3:$L$6,8,0)))*12+MONTH(B471)-MONTH(VLOOKUP(I471,$C$3:$L$6,8,0))))*VLOOKUP(I471,$C$3:$L$6,7,0),0)),""),"")</f>
        <v/>
      </c>
      <c r="L471" s="29" t="str">
        <f t="shared" ca="1" si="44"/>
        <v/>
      </c>
      <c r="M471" s="10"/>
      <c r="N471" s="10"/>
    </row>
    <row r="472" spans="1:14" x14ac:dyDescent="0.25">
      <c r="A472" s="10"/>
      <c r="B472" s="14" t="str">
        <f t="shared" ca="1" si="45"/>
        <v/>
      </c>
      <c r="C472" s="14" t="str">
        <f ca="1">IF(I471&lt;&gt;Variables!$B$1,IF(H471&lt;&gt;0,C471,I471),"")</f>
        <v/>
      </c>
      <c r="D472" s="29" t="str">
        <f t="shared" ca="1" si="42"/>
        <v/>
      </c>
      <c r="E472" s="29" t="str">
        <f t="shared" ca="1" si="43"/>
        <v/>
      </c>
      <c r="F472" s="29" t="str">
        <f ca="1">IF(C472&lt;&gt;"",IF(OR(VLOOKUP(C472,$C$3:$L$6,5,0)=Variables!$B$5,B472&gt;VLOOKUP(C472,$C$3:$L$6,8,0)),-D472*VLOOKUP(C472,$C$3:$L$6,6,0)/12,0),"")</f>
        <v/>
      </c>
      <c r="G472" s="29" t="str">
        <f ca="1">IF(I472&lt;&gt;Variables!$B$1,IF(C472&lt;&gt;"",$I$9-E472-F472,""),-D472)</f>
        <v/>
      </c>
      <c r="H472" s="29" t="str">
        <f t="shared" ca="1" si="46"/>
        <v/>
      </c>
      <c r="I472" s="31" t="str">
        <f ca="1">IF(C472&lt;&gt;"",IF(D472+$I$9-E472-F472&gt;=0,IF(ISERROR(INDEX($C$3:$C$6,MATCH(C472,$C$3:$C$6,0)+1,0)),Variables!$B$1,INDEX($C$3:$C$6,MATCH(C472,$C$3:$C$6,0)+1,0)),""),"")</f>
        <v/>
      </c>
      <c r="J472" s="29" t="str">
        <f ca="1">IF(ISERROR(VLOOKUP(I472,$C$3:$L$6,5,0)),"",IF(OR(VLOOKUP(I472,$C$3:$L$6,5,0)=Variables!$B$5,B472&gt;VLOOKUP(I472,$C$3:$L$6,8,0)),IF(VLOOKUP(I472,$C$3:$L$6,5,0)=Variables!$B$5,((YEAR(B472)-YEAR($B$12))*12+MONTH(B472)-MONTH($B$12)),((YEAR(B472)-YEAR(VLOOKUP(I472,$C$3:$L$6,8,0)))*12+MONTH(B472)-MONTH(VLOOKUP(I472,$C$3:$L$6,8,0))))*(VLOOKUP(I472,$C$3:$L$6,10,0)*VLOOKUP(I472,$C$3:$L$6,6,0)/12),0))</f>
        <v/>
      </c>
      <c r="K472" s="29" t="str">
        <f ca="1">IF(C472&lt;&gt;"",IF(I472&lt;&gt;"",IF(ISERROR(VLOOKUP(I472,$C$3:$L$6,10,0)),"",VLOOKUP(I472,$C$3:$L$6,10,0)+J472+IF(OR(VLOOKUP(I472,$C$3:$L$6,5,0)=Variables!$B$5,B472&gt;VLOOKUP(I472,$C$3:$L$6,8,0)),IF(VLOOKUP(I472,$C$3:$L$6,5,0)=Variables!$B$5,((YEAR(B472)-YEAR($B$12))*12+MONTH(B472)-MONTH($B$12)),((YEAR(B472)-YEAR(VLOOKUP(I472,$C$3:$L$6,8,0)))*12+MONTH(B472)-MONTH(VLOOKUP(I472,$C$3:$L$6,8,0))))*VLOOKUP(I472,$C$3:$L$6,7,0),0)),""),"")</f>
        <v/>
      </c>
      <c r="L472" s="29" t="str">
        <f t="shared" ca="1" si="44"/>
        <v/>
      </c>
      <c r="M472" s="10"/>
      <c r="N472" s="10"/>
    </row>
    <row r="473" spans="1:14" x14ac:dyDescent="0.25">
      <c r="A473" s="10"/>
      <c r="B473" s="14" t="str">
        <f t="shared" ca="1" si="45"/>
        <v/>
      </c>
      <c r="C473" s="14" t="str">
        <f ca="1">IF(I472&lt;&gt;Variables!$B$1,IF(H472&lt;&gt;0,C472,I472),"")</f>
        <v/>
      </c>
      <c r="D473" s="29" t="str">
        <f t="shared" ca="1" si="42"/>
        <v/>
      </c>
      <c r="E473" s="29" t="str">
        <f t="shared" ca="1" si="43"/>
        <v/>
      </c>
      <c r="F473" s="29" t="str">
        <f ca="1">IF(C473&lt;&gt;"",IF(OR(VLOOKUP(C473,$C$3:$L$6,5,0)=Variables!$B$5,B473&gt;VLOOKUP(C473,$C$3:$L$6,8,0)),-D473*VLOOKUP(C473,$C$3:$L$6,6,0)/12,0),"")</f>
        <v/>
      </c>
      <c r="G473" s="29" t="str">
        <f ca="1">IF(I473&lt;&gt;Variables!$B$1,IF(C473&lt;&gt;"",$I$9-E473-F473,""),-D473)</f>
        <v/>
      </c>
      <c r="H473" s="29" t="str">
        <f t="shared" ca="1" si="46"/>
        <v/>
      </c>
      <c r="I473" s="31" t="str">
        <f ca="1">IF(C473&lt;&gt;"",IF(D473+$I$9-E473-F473&gt;=0,IF(ISERROR(INDEX($C$3:$C$6,MATCH(C473,$C$3:$C$6,0)+1,0)),Variables!$B$1,INDEX($C$3:$C$6,MATCH(C473,$C$3:$C$6,0)+1,0)),""),"")</f>
        <v/>
      </c>
      <c r="J473" s="29" t="str">
        <f ca="1">IF(ISERROR(VLOOKUP(I473,$C$3:$L$6,5,0)),"",IF(OR(VLOOKUP(I473,$C$3:$L$6,5,0)=Variables!$B$5,B473&gt;VLOOKUP(I473,$C$3:$L$6,8,0)),IF(VLOOKUP(I473,$C$3:$L$6,5,0)=Variables!$B$5,((YEAR(B473)-YEAR($B$12))*12+MONTH(B473)-MONTH($B$12)),((YEAR(B473)-YEAR(VLOOKUP(I473,$C$3:$L$6,8,0)))*12+MONTH(B473)-MONTH(VLOOKUP(I473,$C$3:$L$6,8,0))))*(VLOOKUP(I473,$C$3:$L$6,10,0)*VLOOKUP(I473,$C$3:$L$6,6,0)/12),0))</f>
        <v/>
      </c>
      <c r="K473" s="29" t="str">
        <f ca="1">IF(C473&lt;&gt;"",IF(I473&lt;&gt;"",IF(ISERROR(VLOOKUP(I473,$C$3:$L$6,10,0)),"",VLOOKUP(I473,$C$3:$L$6,10,0)+J473+IF(OR(VLOOKUP(I473,$C$3:$L$6,5,0)=Variables!$B$5,B473&gt;VLOOKUP(I473,$C$3:$L$6,8,0)),IF(VLOOKUP(I473,$C$3:$L$6,5,0)=Variables!$B$5,((YEAR(B473)-YEAR($B$12))*12+MONTH(B473)-MONTH($B$12)),((YEAR(B473)-YEAR(VLOOKUP(I473,$C$3:$L$6,8,0)))*12+MONTH(B473)-MONTH(VLOOKUP(I473,$C$3:$L$6,8,0))))*VLOOKUP(I473,$C$3:$L$6,7,0),0)),""),"")</f>
        <v/>
      </c>
      <c r="L473" s="29" t="str">
        <f t="shared" ca="1" si="44"/>
        <v/>
      </c>
      <c r="M473" s="10"/>
      <c r="N473" s="10"/>
    </row>
    <row r="474" spans="1:14" x14ac:dyDescent="0.25">
      <c r="A474" s="10"/>
      <c r="B474" s="14" t="str">
        <f t="shared" ca="1" si="45"/>
        <v/>
      </c>
      <c r="C474" s="14" t="str">
        <f ca="1">IF(I473&lt;&gt;Variables!$B$1,IF(H473&lt;&gt;0,C473,I473),"")</f>
        <v/>
      </c>
      <c r="D474" s="29" t="str">
        <f t="shared" ca="1" si="42"/>
        <v/>
      </c>
      <c r="E474" s="29" t="str">
        <f t="shared" ca="1" si="43"/>
        <v/>
      </c>
      <c r="F474" s="29" t="str">
        <f ca="1">IF(C474&lt;&gt;"",IF(OR(VLOOKUP(C474,$C$3:$L$6,5,0)=Variables!$B$5,B474&gt;VLOOKUP(C474,$C$3:$L$6,8,0)),-D474*VLOOKUP(C474,$C$3:$L$6,6,0)/12,0),"")</f>
        <v/>
      </c>
      <c r="G474" s="29" t="str">
        <f ca="1">IF(I474&lt;&gt;Variables!$B$1,IF(C474&lt;&gt;"",$I$9-E474-F474,""),-D474)</f>
        <v/>
      </c>
      <c r="H474" s="29" t="str">
        <f t="shared" ca="1" si="46"/>
        <v/>
      </c>
      <c r="I474" s="31" t="str">
        <f ca="1">IF(C474&lt;&gt;"",IF(D474+$I$9-E474-F474&gt;=0,IF(ISERROR(INDEX($C$3:$C$6,MATCH(C474,$C$3:$C$6,0)+1,0)),Variables!$B$1,INDEX($C$3:$C$6,MATCH(C474,$C$3:$C$6,0)+1,0)),""),"")</f>
        <v/>
      </c>
      <c r="J474" s="29" t="str">
        <f ca="1">IF(ISERROR(VLOOKUP(I474,$C$3:$L$6,5,0)),"",IF(OR(VLOOKUP(I474,$C$3:$L$6,5,0)=Variables!$B$5,B474&gt;VLOOKUP(I474,$C$3:$L$6,8,0)),IF(VLOOKUP(I474,$C$3:$L$6,5,0)=Variables!$B$5,((YEAR(B474)-YEAR($B$12))*12+MONTH(B474)-MONTH($B$12)),((YEAR(B474)-YEAR(VLOOKUP(I474,$C$3:$L$6,8,0)))*12+MONTH(B474)-MONTH(VLOOKUP(I474,$C$3:$L$6,8,0))))*(VLOOKUP(I474,$C$3:$L$6,10,0)*VLOOKUP(I474,$C$3:$L$6,6,0)/12),0))</f>
        <v/>
      </c>
      <c r="K474" s="29" t="str">
        <f ca="1">IF(C474&lt;&gt;"",IF(I474&lt;&gt;"",IF(ISERROR(VLOOKUP(I474,$C$3:$L$6,10,0)),"",VLOOKUP(I474,$C$3:$L$6,10,0)+J474+IF(OR(VLOOKUP(I474,$C$3:$L$6,5,0)=Variables!$B$5,B474&gt;VLOOKUP(I474,$C$3:$L$6,8,0)),IF(VLOOKUP(I474,$C$3:$L$6,5,0)=Variables!$B$5,((YEAR(B474)-YEAR($B$12))*12+MONTH(B474)-MONTH($B$12)),((YEAR(B474)-YEAR(VLOOKUP(I474,$C$3:$L$6,8,0)))*12+MONTH(B474)-MONTH(VLOOKUP(I474,$C$3:$L$6,8,0))))*VLOOKUP(I474,$C$3:$L$6,7,0),0)),""),"")</f>
        <v/>
      </c>
      <c r="L474" s="29" t="str">
        <f t="shared" ca="1" si="44"/>
        <v/>
      </c>
      <c r="M474" s="10"/>
      <c r="N474" s="10"/>
    </row>
    <row r="475" spans="1:14" x14ac:dyDescent="0.25">
      <c r="A475" s="10"/>
      <c r="B475" s="14" t="str">
        <f t="shared" ca="1" si="45"/>
        <v/>
      </c>
      <c r="C475" s="14" t="str">
        <f ca="1">IF(I474&lt;&gt;Variables!$B$1,IF(H474&lt;&gt;0,C474,I474),"")</f>
        <v/>
      </c>
      <c r="D475" s="29" t="str">
        <f t="shared" ca="1" si="42"/>
        <v/>
      </c>
      <c r="E475" s="29" t="str">
        <f t="shared" ca="1" si="43"/>
        <v/>
      </c>
      <c r="F475" s="29" t="str">
        <f ca="1">IF(C475&lt;&gt;"",IF(OR(VLOOKUP(C475,$C$3:$L$6,5,0)=Variables!$B$5,B475&gt;VLOOKUP(C475,$C$3:$L$6,8,0)),-D475*VLOOKUP(C475,$C$3:$L$6,6,0)/12,0),"")</f>
        <v/>
      </c>
      <c r="G475" s="29" t="str">
        <f ca="1">IF(I475&lt;&gt;Variables!$B$1,IF(C475&lt;&gt;"",$I$9-E475-F475,""),-D475)</f>
        <v/>
      </c>
      <c r="H475" s="29" t="str">
        <f t="shared" ca="1" si="46"/>
        <v/>
      </c>
      <c r="I475" s="31" t="str">
        <f ca="1">IF(C475&lt;&gt;"",IF(D475+$I$9-E475-F475&gt;=0,IF(ISERROR(INDEX($C$3:$C$6,MATCH(C475,$C$3:$C$6,0)+1,0)),Variables!$B$1,INDEX($C$3:$C$6,MATCH(C475,$C$3:$C$6,0)+1,0)),""),"")</f>
        <v/>
      </c>
      <c r="J475" s="29" t="str">
        <f ca="1">IF(ISERROR(VLOOKUP(I475,$C$3:$L$6,5,0)),"",IF(OR(VLOOKUP(I475,$C$3:$L$6,5,0)=Variables!$B$5,B475&gt;VLOOKUP(I475,$C$3:$L$6,8,0)),IF(VLOOKUP(I475,$C$3:$L$6,5,0)=Variables!$B$5,((YEAR(B475)-YEAR($B$12))*12+MONTH(B475)-MONTH($B$12)),((YEAR(B475)-YEAR(VLOOKUP(I475,$C$3:$L$6,8,0)))*12+MONTH(B475)-MONTH(VLOOKUP(I475,$C$3:$L$6,8,0))))*(VLOOKUP(I475,$C$3:$L$6,10,0)*VLOOKUP(I475,$C$3:$L$6,6,0)/12),0))</f>
        <v/>
      </c>
      <c r="K475" s="29" t="str">
        <f ca="1">IF(C475&lt;&gt;"",IF(I475&lt;&gt;"",IF(ISERROR(VLOOKUP(I475,$C$3:$L$6,10,0)),"",VLOOKUP(I475,$C$3:$L$6,10,0)+J475+IF(OR(VLOOKUP(I475,$C$3:$L$6,5,0)=Variables!$B$5,B475&gt;VLOOKUP(I475,$C$3:$L$6,8,0)),IF(VLOOKUP(I475,$C$3:$L$6,5,0)=Variables!$B$5,((YEAR(B475)-YEAR($B$12))*12+MONTH(B475)-MONTH($B$12)),((YEAR(B475)-YEAR(VLOOKUP(I475,$C$3:$L$6,8,0)))*12+MONTH(B475)-MONTH(VLOOKUP(I475,$C$3:$L$6,8,0))))*VLOOKUP(I475,$C$3:$L$6,7,0),0)),""),"")</f>
        <v/>
      </c>
      <c r="L475" s="29" t="str">
        <f t="shared" ca="1" si="44"/>
        <v/>
      </c>
      <c r="M475" s="10"/>
      <c r="N475" s="10"/>
    </row>
    <row r="476" spans="1:14" x14ac:dyDescent="0.25">
      <c r="A476" s="10"/>
      <c r="B476" s="14" t="str">
        <f t="shared" ca="1" si="45"/>
        <v/>
      </c>
      <c r="C476" s="14" t="str">
        <f ca="1">IF(I475&lt;&gt;Variables!$B$1,IF(H475&lt;&gt;0,C475,I475),"")</f>
        <v/>
      </c>
      <c r="D476" s="29" t="str">
        <f t="shared" ref="D476:D539" ca="1" si="47">IF(C476&lt;&gt;"",IF(H475&lt;&gt;0,H475,L475),"")</f>
        <v/>
      </c>
      <c r="E476" s="29" t="str">
        <f t="shared" ref="E476:E539" ca="1" si="48">IF(C476&lt;&gt;"",MINPAYMENT(C476,ROW(B476),COLUMN(B476)),"")</f>
        <v/>
      </c>
      <c r="F476" s="29" t="str">
        <f ca="1">IF(C476&lt;&gt;"",IF(OR(VLOOKUP(C476,$C$3:$L$6,5,0)=Variables!$B$5,B476&gt;VLOOKUP(C476,$C$3:$L$6,8,0)),-D476*VLOOKUP(C476,$C$3:$L$6,6,0)/12,0),"")</f>
        <v/>
      </c>
      <c r="G476" s="29" t="str">
        <f ca="1">IF(I476&lt;&gt;Variables!$B$1,IF(C476&lt;&gt;"",$I$9-E476-F476,""),-D476)</f>
        <v/>
      </c>
      <c r="H476" s="29" t="str">
        <f t="shared" ca="1" si="46"/>
        <v/>
      </c>
      <c r="I476" s="31" t="str">
        <f ca="1">IF(C476&lt;&gt;"",IF(D476+$I$9-E476-F476&gt;=0,IF(ISERROR(INDEX($C$3:$C$6,MATCH(C476,$C$3:$C$6,0)+1,0)),Variables!$B$1,INDEX($C$3:$C$6,MATCH(C476,$C$3:$C$6,0)+1,0)),""),"")</f>
        <v/>
      </c>
      <c r="J476" s="29" t="str">
        <f ca="1">IF(ISERROR(VLOOKUP(I476,$C$3:$L$6,5,0)),"",IF(OR(VLOOKUP(I476,$C$3:$L$6,5,0)=Variables!$B$5,B476&gt;VLOOKUP(I476,$C$3:$L$6,8,0)),IF(VLOOKUP(I476,$C$3:$L$6,5,0)=Variables!$B$5,((YEAR(B476)-YEAR($B$12))*12+MONTH(B476)-MONTH($B$12)),((YEAR(B476)-YEAR(VLOOKUP(I476,$C$3:$L$6,8,0)))*12+MONTH(B476)-MONTH(VLOOKUP(I476,$C$3:$L$6,8,0))))*(VLOOKUP(I476,$C$3:$L$6,10,0)*VLOOKUP(I476,$C$3:$L$6,6,0)/12),0))</f>
        <v/>
      </c>
      <c r="K476" s="29" t="str">
        <f ca="1">IF(C476&lt;&gt;"",IF(I476&lt;&gt;"",IF(ISERROR(VLOOKUP(I476,$C$3:$L$6,10,0)),"",VLOOKUP(I476,$C$3:$L$6,10,0)+J476+IF(OR(VLOOKUP(I476,$C$3:$L$6,5,0)=Variables!$B$5,B476&gt;VLOOKUP(I476,$C$3:$L$6,8,0)),IF(VLOOKUP(I476,$C$3:$L$6,5,0)=Variables!$B$5,((YEAR(B476)-YEAR($B$12))*12+MONTH(B476)-MONTH($B$12)),((YEAR(B476)-YEAR(VLOOKUP(I476,$C$3:$L$6,8,0)))*12+MONTH(B476)-MONTH(VLOOKUP(I476,$C$3:$L$6,8,0))))*VLOOKUP(I476,$C$3:$L$6,7,0),0)),""),"")</f>
        <v/>
      </c>
      <c r="L476" s="29" t="str">
        <f t="shared" ref="L476:L539" ca="1" si="49">IF(C476&lt;&gt;"",IF(ISERROR(IF(D476+G476&gt;=0,K476+D476+G476,"")),"",IF(D476+G476&gt;=0,K476+D476+G476,"")),"")</f>
        <v/>
      </c>
      <c r="M476" s="10"/>
      <c r="N476" s="10"/>
    </row>
    <row r="477" spans="1:14" x14ac:dyDescent="0.25">
      <c r="A477" s="10"/>
      <c r="B477" s="14" t="str">
        <f t="shared" ref="B477:B540" ca="1" si="50">IF(C477&lt;&gt;"",DATE(YEAR(B476),MONTH(B476)+1,DAY(B476)),"")</f>
        <v/>
      </c>
      <c r="C477" s="14" t="str">
        <f ca="1">IF(I476&lt;&gt;Variables!$B$1,IF(H476&lt;&gt;0,C476,I476),"")</f>
        <v/>
      </c>
      <c r="D477" s="29" t="str">
        <f t="shared" ca="1" si="47"/>
        <v/>
      </c>
      <c r="E477" s="29" t="str">
        <f t="shared" ca="1" si="48"/>
        <v/>
      </c>
      <c r="F477" s="29" t="str">
        <f ca="1">IF(C477&lt;&gt;"",IF(OR(VLOOKUP(C477,$C$3:$L$6,5,0)=Variables!$B$5,B477&gt;VLOOKUP(C477,$C$3:$L$6,8,0)),-D477*VLOOKUP(C477,$C$3:$L$6,6,0)/12,0),"")</f>
        <v/>
      </c>
      <c r="G477" s="29" t="str">
        <f ca="1">IF(I477&lt;&gt;Variables!$B$1,IF(C477&lt;&gt;"",$I$9-E477-F477,""),-D477)</f>
        <v/>
      </c>
      <c r="H477" s="29" t="str">
        <f t="shared" ref="H477:H540" ca="1" si="51">IF(C477&lt;&gt;"",IF(D477+G477&lt;0,D477+G477,0),"")</f>
        <v/>
      </c>
      <c r="I477" s="31" t="str">
        <f ca="1">IF(C477&lt;&gt;"",IF(D477+$I$9-E477-F477&gt;=0,IF(ISERROR(INDEX($C$3:$C$6,MATCH(C477,$C$3:$C$6,0)+1,0)),Variables!$B$1,INDEX($C$3:$C$6,MATCH(C477,$C$3:$C$6,0)+1,0)),""),"")</f>
        <v/>
      </c>
      <c r="J477" s="29" t="str">
        <f ca="1">IF(ISERROR(VLOOKUP(I477,$C$3:$L$6,5,0)),"",IF(OR(VLOOKUP(I477,$C$3:$L$6,5,0)=Variables!$B$5,B477&gt;VLOOKUP(I477,$C$3:$L$6,8,0)),IF(VLOOKUP(I477,$C$3:$L$6,5,0)=Variables!$B$5,((YEAR(B477)-YEAR($B$12))*12+MONTH(B477)-MONTH($B$12)),((YEAR(B477)-YEAR(VLOOKUP(I477,$C$3:$L$6,8,0)))*12+MONTH(B477)-MONTH(VLOOKUP(I477,$C$3:$L$6,8,0))))*(VLOOKUP(I477,$C$3:$L$6,10,0)*VLOOKUP(I477,$C$3:$L$6,6,0)/12),0))</f>
        <v/>
      </c>
      <c r="K477" s="29" t="str">
        <f ca="1">IF(C477&lt;&gt;"",IF(I477&lt;&gt;"",IF(ISERROR(VLOOKUP(I477,$C$3:$L$6,10,0)),"",VLOOKUP(I477,$C$3:$L$6,10,0)+J477+IF(OR(VLOOKUP(I477,$C$3:$L$6,5,0)=Variables!$B$5,B477&gt;VLOOKUP(I477,$C$3:$L$6,8,0)),IF(VLOOKUP(I477,$C$3:$L$6,5,0)=Variables!$B$5,((YEAR(B477)-YEAR($B$12))*12+MONTH(B477)-MONTH($B$12)),((YEAR(B477)-YEAR(VLOOKUP(I477,$C$3:$L$6,8,0)))*12+MONTH(B477)-MONTH(VLOOKUP(I477,$C$3:$L$6,8,0))))*VLOOKUP(I477,$C$3:$L$6,7,0),0)),""),"")</f>
        <v/>
      </c>
      <c r="L477" s="29" t="str">
        <f t="shared" ca="1" si="49"/>
        <v/>
      </c>
      <c r="M477" s="10"/>
      <c r="N477" s="10"/>
    </row>
    <row r="478" spans="1:14" x14ac:dyDescent="0.25">
      <c r="A478" s="10"/>
      <c r="B478" s="14" t="str">
        <f t="shared" ca="1" si="50"/>
        <v/>
      </c>
      <c r="C478" s="14" t="str">
        <f ca="1">IF(I477&lt;&gt;Variables!$B$1,IF(H477&lt;&gt;0,C477,I477),"")</f>
        <v/>
      </c>
      <c r="D478" s="29" t="str">
        <f t="shared" ca="1" si="47"/>
        <v/>
      </c>
      <c r="E478" s="29" t="str">
        <f t="shared" ca="1" si="48"/>
        <v/>
      </c>
      <c r="F478" s="29" t="str">
        <f ca="1">IF(C478&lt;&gt;"",IF(OR(VLOOKUP(C478,$C$3:$L$6,5,0)=Variables!$B$5,B478&gt;VLOOKUP(C478,$C$3:$L$6,8,0)),-D478*VLOOKUP(C478,$C$3:$L$6,6,0)/12,0),"")</f>
        <v/>
      </c>
      <c r="G478" s="29" t="str">
        <f ca="1">IF(I478&lt;&gt;Variables!$B$1,IF(C478&lt;&gt;"",$I$9-E478-F478,""),-D478)</f>
        <v/>
      </c>
      <c r="H478" s="29" t="str">
        <f t="shared" ca="1" si="51"/>
        <v/>
      </c>
      <c r="I478" s="31" t="str">
        <f ca="1">IF(C478&lt;&gt;"",IF(D478+$I$9-E478-F478&gt;=0,IF(ISERROR(INDEX($C$3:$C$6,MATCH(C478,$C$3:$C$6,0)+1,0)),Variables!$B$1,INDEX($C$3:$C$6,MATCH(C478,$C$3:$C$6,0)+1,0)),""),"")</f>
        <v/>
      </c>
      <c r="J478" s="29" t="str">
        <f ca="1">IF(ISERROR(VLOOKUP(I478,$C$3:$L$6,5,0)),"",IF(OR(VLOOKUP(I478,$C$3:$L$6,5,0)=Variables!$B$5,B478&gt;VLOOKUP(I478,$C$3:$L$6,8,0)),IF(VLOOKUP(I478,$C$3:$L$6,5,0)=Variables!$B$5,((YEAR(B478)-YEAR($B$12))*12+MONTH(B478)-MONTH($B$12)),((YEAR(B478)-YEAR(VLOOKUP(I478,$C$3:$L$6,8,0)))*12+MONTH(B478)-MONTH(VLOOKUP(I478,$C$3:$L$6,8,0))))*(VLOOKUP(I478,$C$3:$L$6,10,0)*VLOOKUP(I478,$C$3:$L$6,6,0)/12),0))</f>
        <v/>
      </c>
      <c r="K478" s="29" t="str">
        <f ca="1">IF(C478&lt;&gt;"",IF(I478&lt;&gt;"",IF(ISERROR(VLOOKUP(I478,$C$3:$L$6,10,0)),"",VLOOKUP(I478,$C$3:$L$6,10,0)+J478+IF(OR(VLOOKUP(I478,$C$3:$L$6,5,0)=Variables!$B$5,B478&gt;VLOOKUP(I478,$C$3:$L$6,8,0)),IF(VLOOKUP(I478,$C$3:$L$6,5,0)=Variables!$B$5,((YEAR(B478)-YEAR($B$12))*12+MONTH(B478)-MONTH($B$12)),((YEAR(B478)-YEAR(VLOOKUP(I478,$C$3:$L$6,8,0)))*12+MONTH(B478)-MONTH(VLOOKUP(I478,$C$3:$L$6,8,0))))*VLOOKUP(I478,$C$3:$L$6,7,0),0)),""),"")</f>
        <v/>
      </c>
      <c r="L478" s="29" t="str">
        <f t="shared" ca="1" si="49"/>
        <v/>
      </c>
      <c r="M478" s="10"/>
      <c r="N478" s="10"/>
    </row>
    <row r="479" spans="1:14" x14ac:dyDescent="0.25">
      <c r="A479" s="10"/>
      <c r="B479" s="14" t="str">
        <f t="shared" ca="1" si="50"/>
        <v/>
      </c>
      <c r="C479" s="14" t="str">
        <f ca="1">IF(I478&lt;&gt;Variables!$B$1,IF(H478&lt;&gt;0,C478,I478),"")</f>
        <v/>
      </c>
      <c r="D479" s="29" t="str">
        <f t="shared" ca="1" si="47"/>
        <v/>
      </c>
      <c r="E479" s="29" t="str">
        <f t="shared" ca="1" si="48"/>
        <v/>
      </c>
      <c r="F479" s="29" t="str">
        <f ca="1">IF(C479&lt;&gt;"",IF(OR(VLOOKUP(C479,$C$3:$L$6,5,0)=Variables!$B$5,B479&gt;VLOOKUP(C479,$C$3:$L$6,8,0)),-D479*VLOOKUP(C479,$C$3:$L$6,6,0)/12,0),"")</f>
        <v/>
      </c>
      <c r="G479" s="29" t="str">
        <f ca="1">IF(I479&lt;&gt;Variables!$B$1,IF(C479&lt;&gt;"",$I$9-E479-F479,""),-D479)</f>
        <v/>
      </c>
      <c r="H479" s="29" t="str">
        <f t="shared" ca="1" si="51"/>
        <v/>
      </c>
      <c r="I479" s="31" t="str">
        <f ca="1">IF(C479&lt;&gt;"",IF(D479+$I$9-E479-F479&gt;=0,IF(ISERROR(INDEX($C$3:$C$6,MATCH(C479,$C$3:$C$6,0)+1,0)),Variables!$B$1,INDEX($C$3:$C$6,MATCH(C479,$C$3:$C$6,0)+1,0)),""),"")</f>
        <v/>
      </c>
      <c r="J479" s="29" t="str">
        <f ca="1">IF(ISERROR(VLOOKUP(I479,$C$3:$L$6,5,0)),"",IF(OR(VLOOKUP(I479,$C$3:$L$6,5,0)=Variables!$B$5,B479&gt;VLOOKUP(I479,$C$3:$L$6,8,0)),IF(VLOOKUP(I479,$C$3:$L$6,5,0)=Variables!$B$5,((YEAR(B479)-YEAR($B$12))*12+MONTH(B479)-MONTH($B$12)),((YEAR(B479)-YEAR(VLOOKUP(I479,$C$3:$L$6,8,0)))*12+MONTH(B479)-MONTH(VLOOKUP(I479,$C$3:$L$6,8,0))))*(VLOOKUP(I479,$C$3:$L$6,10,0)*VLOOKUP(I479,$C$3:$L$6,6,0)/12),0))</f>
        <v/>
      </c>
      <c r="K479" s="29" t="str">
        <f ca="1">IF(C479&lt;&gt;"",IF(I479&lt;&gt;"",IF(ISERROR(VLOOKUP(I479,$C$3:$L$6,10,0)),"",VLOOKUP(I479,$C$3:$L$6,10,0)+J479+IF(OR(VLOOKUP(I479,$C$3:$L$6,5,0)=Variables!$B$5,B479&gt;VLOOKUP(I479,$C$3:$L$6,8,0)),IF(VLOOKUP(I479,$C$3:$L$6,5,0)=Variables!$B$5,((YEAR(B479)-YEAR($B$12))*12+MONTH(B479)-MONTH($B$12)),((YEAR(B479)-YEAR(VLOOKUP(I479,$C$3:$L$6,8,0)))*12+MONTH(B479)-MONTH(VLOOKUP(I479,$C$3:$L$6,8,0))))*VLOOKUP(I479,$C$3:$L$6,7,0),0)),""),"")</f>
        <v/>
      </c>
      <c r="L479" s="29" t="str">
        <f t="shared" ca="1" si="49"/>
        <v/>
      </c>
      <c r="M479" s="10"/>
      <c r="N479" s="10"/>
    </row>
    <row r="480" spans="1:14" x14ac:dyDescent="0.25">
      <c r="A480" s="10"/>
      <c r="B480" s="14" t="str">
        <f t="shared" ca="1" si="50"/>
        <v/>
      </c>
      <c r="C480" s="14" t="str">
        <f ca="1">IF(I479&lt;&gt;Variables!$B$1,IF(H479&lt;&gt;0,C479,I479),"")</f>
        <v/>
      </c>
      <c r="D480" s="29" t="str">
        <f t="shared" ca="1" si="47"/>
        <v/>
      </c>
      <c r="E480" s="29" t="str">
        <f t="shared" ca="1" si="48"/>
        <v/>
      </c>
      <c r="F480" s="29" t="str">
        <f ca="1">IF(C480&lt;&gt;"",IF(OR(VLOOKUP(C480,$C$3:$L$6,5,0)=Variables!$B$5,B480&gt;VLOOKUP(C480,$C$3:$L$6,8,0)),-D480*VLOOKUP(C480,$C$3:$L$6,6,0)/12,0),"")</f>
        <v/>
      </c>
      <c r="G480" s="29" t="str">
        <f ca="1">IF(I480&lt;&gt;Variables!$B$1,IF(C480&lt;&gt;"",$I$9-E480-F480,""),-D480)</f>
        <v/>
      </c>
      <c r="H480" s="29" t="str">
        <f t="shared" ca="1" si="51"/>
        <v/>
      </c>
      <c r="I480" s="31" t="str">
        <f ca="1">IF(C480&lt;&gt;"",IF(D480+$I$9-E480-F480&gt;=0,IF(ISERROR(INDEX($C$3:$C$6,MATCH(C480,$C$3:$C$6,0)+1,0)),Variables!$B$1,INDEX($C$3:$C$6,MATCH(C480,$C$3:$C$6,0)+1,0)),""),"")</f>
        <v/>
      </c>
      <c r="J480" s="29" t="str">
        <f ca="1">IF(ISERROR(VLOOKUP(I480,$C$3:$L$6,5,0)),"",IF(OR(VLOOKUP(I480,$C$3:$L$6,5,0)=Variables!$B$5,B480&gt;VLOOKUP(I480,$C$3:$L$6,8,0)),IF(VLOOKUP(I480,$C$3:$L$6,5,0)=Variables!$B$5,((YEAR(B480)-YEAR($B$12))*12+MONTH(B480)-MONTH($B$12)),((YEAR(B480)-YEAR(VLOOKUP(I480,$C$3:$L$6,8,0)))*12+MONTH(B480)-MONTH(VLOOKUP(I480,$C$3:$L$6,8,0))))*(VLOOKUP(I480,$C$3:$L$6,10,0)*VLOOKUP(I480,$C$3:$L$6,6,0)/12),0))</f>
        <v/>
      </c>
      <c r="K480" s="29" t="str">
        <f ca="1">IF(C480&lt;&gt;"",IF(I480&lt;&gt;"",IF(ISERROR(VLOOKUP(I480,$C$3:$L$6,10,0)),"",VLOOKUP(I480,$C$3:$L$6,10,0)+J480+IF(OR(VLOOKUP(I480,$C$3:$L$6,5,0)=Variables!$B$5,B480&gt;VLOOKUP(I480,$C$3:$L$6,8,0)),IF(VLOOKUP(I480,$C$3:$L$6,5,0)=Variables!$B$5,((YEAR(B480)-YEAR($B$12))*12+MONTH(B480)-MONTH($B$12)),((YEAR(B480)-YEAR(VLOOKUP(I480,$C$3:$L$6,8,0)))*12+MONTH(B480)-MONTH(VLOOKUP(I480,$C$3:$L$6,8,0))))*VLOOKUP(I480,$C$3:$L$6,7,0),0)),""),"")</f>
        <v/>
      </c>
      <c r="L480" s="29" t="str">
        <f t="shared" ca="1" si="49"/>
        <v/>
      </c>
      <c r="M480" s="10"/>
      <c r="N480" s="10"/>
    </row>
    <row r="481" spans="1:14" x14ac:dyDescent="0.25">
      <c r="A481" s="10"/>
      <c r="B481" s="14" t="str">
        <f t="shared" ca="1" si="50"/>
        <v/>
      </c>
      <c r="C481" s="14" t="str">
        <f ca="1">IF(I480&lt;&gt;Variables!$B$1,IF(H480&lt;&gt;0,C480,I480),"")</f>
        <v/>
      </c>
      <c r="D481" s="29" t="str">
        <f t="shared" ca="1" si="47"/>
        <v/>
      </c>
      <c r="E481" s="29" t="str">
        <f t="shared" ca="1" si="48"/>
        <v/>
      </c>
      <c r="F481" s="29" t="str">
        <f ca="1">IF(C481&lt;&gt;"",IF(OR(VLOOKUP(C481,$C$3:$L$6,5,0)=Variables!$B$5,B481&gt;VLOOKUP(C481,$C$3:$L$6,8,0)),-D481*VLOOKUP(C481,$C$3:$L$6,6,0)/12,0),"")</f>
        <v/>
      </c>
      <c r="G481" s="29" t="str">
        <f ca="1">IF(I481&lt;&gt;Variables!$B$1,IF(C481&lt;&gt;"",$I$9-E481-F481,""),-D481)</f>
        <v/>
      </c>
      <c r="H481" s="29" t="str">
        <f t="shared" ca="1" si="51"/>
        <v/>
      </c>
      <c r="I481" s="31" t="str">
        <f ca="1">IF(C481&lt;&gt;"",IF(D481+$I$9-E481-F481&gt;=0,IF(ISERROR(INDEX($C$3:$C$6,MATCH(C481,$C$3:$C$6,0)+1,0)),Variables!$B$1,INDEX($C$3:$C$6,MATCH(C481,$C$3:$C$6,0)+1,0)),""),"")</f>
        <v/>
      </c>
      <c r="J481" s="29" t="str">
        <f ca="1">IF(ISERROR(VLOOKUP(I481,$C$3:$L$6,5,0)),"",IF(OR(VLOOKUP(I481,$C$3:$L$6,5,0)=Variables!$B$5,B481&gt;VLOOKUP(I481,$C$3:$L$6,8,0)),IF(VLOOKUP(I481,$C$3:$L$6,5,0)=Variables!$B$5,((YEAR(B481)-YEAR($B$12))*12+MONTH(B481)-MONTH($B$12)),((YEAR(B481)-YEAR(VLOOKUP(I481,$C$3:$L$6,8,0)))*12+MONTH(B481)-MONTH(VLOOKUP(I481,$C$3:$L$6,8,0))))*(VLOOKUP(I481,$C$3:$L$6,10,0)*VLOOKUP(I481,$C$3:$L$6,6,0)/12),0))</f>
        <v/>
      </c>
      <c r="K481" s="29" t="str">
        <f ca="1">IF(C481&lt;&gt;"",IF(I481&lt;&gt;"",IF(ISERROR(VLOOKUP(I481,$C$3:$L$6,10,0)),"",VLOOKUP(I481,$C$3:$L$6,10,0)+J481+IF(OR(VLOOKUP(I481,$C$3:$L$6,5,0)=Variables!$B$5,B481&gt;VLOOKUP(I481,$C$3:$L$6,8,0)),IF(VLOOKUP(I481,$C$3:$L$6,5,0)=Variables!$B$5,((YEAR(B481)-YEAR($B$12))*12+MONTH(B481)-MONTH($B$12)),((YEAR(B481)-YEAR(VLOOKUP(I481,$C$3:$L$6,8,0)))*12+MONTH(B481)-MONTH(VLOOKUP(I481,$C$3:$L$6,8,0))))*VLOOKUP(I481,$C$3:$L$6,7,0),0)),""),"")</f>
        <v/>
      </c>
      <c r="L481" s="29" t="str">
        <f t="shared" ca="1" si="49"/>
        <v/>
      </c>
      <c r="M481" s="10"/>
      <c r="N481" s="10"/>
    </row>
    <row r="482" spans="1:14" x14ac:dyDescent="0.25">
      <c r="A482" s="10"/>
      <c r="B482" s="14" t="str">
        <f t="shared" ca="1" si="50"/>
        <v/>
      </c>
      <c r="C482" s="14" t="str">
        <f ca="1">IF(I481&lt;&gt;Variables!$B$1,IF(H481&lt;&gt;0,C481,I481),"")</f>
        <v/>
      </c>
      <c r="D482" s="29" t="str">
        <f t="shared" ca="1" si="47"/>
        <v/>
      </c>
      <c r="E482" s="29" t="str">
        <f t="shared" ca="1" si="48"/>
        <v/>
      </c>
      <c r="F482" s="29" t="str">
        <f ca="1">IF(C482&lt;&gt;"",IF(OR(VLOOKUP(C482,$C$3:$L$6,5,0)=Variables!$B$5,B482&gt;VLOOKUP(C482,$C$3:$L$6,8,0)),-D482*VLOOKUP(C482,$C$3:$L$6,6,0)/12,0),"")</f>
        <v/>
      </c>
      <c r="G482" s="29" t="str">
        <f ca="1">IF(I482&lt;&gt;Variables!$B$1,IF(C482&lt;&gt;"",$I$9-E482-F482,""),-D482)</f>
        <v/>
      </c>
      <c r="H482" s="29" t="str">
        <f t="shared" ca="1" si="51"/>
        <v/>
      </c>
      <c r="I482" s="31" t="str">
        <f ca="1">IF(C482&lt;&gt;"",IF(D482+$I$9-E482-F482&gt;=0,IF(ISERROR(INDEX($C$3:$C$6,MATCH(C482,$C$3:$C$6,0)+1,0)),Variables!$B$1,INDEX($C$3:$C$6,MATCH(C482,$C$3:$C$6,0)+1,0)),""),"")</f>
        <v/>
      </c>
      <c r="J482" s="29" t="str">
        <f ca="1">IF(ISERROR(VLOOKUP(I482,$C$3:$L$6,5,0)),"",IF(OR(VLOOKUP(I482,$C$3:$L$6,5,0)=Variables!$B$5,B482&gt;VLOOKUP(I482,$C$3:$L$6,8,0)),IF(VLOOKUP(I482,$C$3:$L$6,5,0)=Variables!$B$5,((YEAR(B482)-YEAR($B$12))*12+MONTH(B482)-MONTH($B$12)),((YEAR(B482)-YEAR(VLOOKUP(I482,$C$3:$L$6,8,0)))*12+MONTH(B482)-MONTH(VLOOKUP(I482,$C$3:$L$6,8,0))))*(VLOOKUP(I482,$C$3:$L$6,10,0)*VLOOKUP(I482,$C$3:$L$6,6,0)/12),0))</f>
        <v/>
      </c>
      <c r="K482" s="29" t="str">
        <f ca="1">IF(C482&lt;&gt;"",IF(I482&lt;&gt;"",IF(ISERROR(VLOOKUP(I482,$C$3:$L$6,10,0)),"",VLOOKUP(I482,$C$3:$L$6,10,0)+J482+IF(OR(VLOOKUP(I482,$C$3:$L$6,5,0)=Variables!$B$5,B482&gt;VLOOKUP(I482,$C$3:$L$6,8,0)),IF(VLOOKUP(I482,$C$3:$L$6,5,0)=Variables!$B$5,((YEAR(B482)-YEAR($B$12))*12+MONTH(B482)-MONTH($B$12)),((YEAR(B482)-YEAR(VLOOKUP(I482,$C$3:$L$6,8,0)))*12+MONTH(B482)-MONTH(VLOOKUP(I482,$C$3:$L$6,8,0))))*VLOOKUP(I482,$C$3:$L$6,7,0),0)),""),"")</f>
        <v/>
      </c>
      <c r="L482" s="29" t="str">
        <f t="shared" ca="1" si="49"/>
        <v/>
      </c>
      <c r="M482" s="10"/>
      <c r="N482" s="10"/>
    </row>
    <row r="483" spans="1:14" x14ac:dyDescent="0.25">
      <c r="A483" s="10"/>
      <c r="B483" s="14" t="str">
        <f t="shared" ca="1" si="50"/>
        <v/>
      </c>
      <c r="C483" s="14" t="str">
        <f ca="1">IF(I482&lt;&gt;Variables!$B$1,IF(H482&lt;&gt;0,C482,I482),"")</f>
        <v/>
      </c>
      <c r="D483" s="29" t="str">
        <f t="shared" ca="1" si="47"/>
        <v/>
      </c>
      <c r="E483" s="29" t="str">
        <f t="shared" ca="1" si="48"/>
        <v/>
      </c>
      <c r="F483" s="29" t="str">
        <f ca="1">IF(C483&lt;&gt;"",IF(OR(VLOOKUP(C483,$C$3:$L$6,5,0)=Variables!$B$5,B483&gt;VLOOKUP(C483,$C$3:$L$6,8,0)),-D483*VLOOKUP(C483,$C$3:$L$6,6,0)/12,0),"")</f>
        <v/>
      </c>
      <c r="G483" s="29" t="str">
        <f ca="1">IF(I483&lt;&gt;Variables!$B$1,IF(C483&lt;&gt;"",$I$9-E483-F483,""),-D483)</f>
        <v/>
      </c>
      <c r="H483" s="29" t="str">
        <f t="shared" ca="1" si="51"/>
        <v/>
      </c>
      <c r="I483" s="31" t="str">
        <f ca="1">IF(C483&lt;&gt;"",IF(D483+$I$9-E483-F483&gt;=0,IF(ISERROR(INDEX($C$3:$C$6,MATCH(C483,$C$3:$C$6,0)+1,0)),Variables!$B$1,INDEX($C$3:$C$6,MATCH(C483,$C$3:$C$6,0)+1,0)),""),"")</f>
        <v/>
      </c>
      <c r="J483" s="29" t="str">
        <f ca="1">IF(ISERROR(VLOOKUP(I483,$C$3:$L$6,5,0)),"",IF(OR(VLOOKUP(I483,$C$3:$L$6,5,0)=Variables!$B$5,B483&gt;VLOOKUP(I483,$C$3:$L$6,8,0)),IF(VLOOKUP(I483,$C$3:$L$6,5,0)=Variables!$B$5,((YEAR(B483)-YEAR($B$12))*12+MONTH(B483)-MONTH($B$12)),((YEAR(B483)-YEAR(VLOOKUP(I483,$C$3:$L$6,8,0)))*12+MONTH(B483)-MONTH(VLOOKUP(I483,$C$3:$L$6,8,0))))*(VLOOKUP(I483,$C$3:$L$6,10,0)*VLOOKUP(I483,$C$3:$L$6,6,0)/12),0))</f>
        <v/>
      </c>
      <c r="K483" s="29" t="str">
        <f ca="1">IF(C483&lt;&gt;"",IF(I483&lt;&gt;"",IF(ISERROR(VLOOKUP(I483,$C$3:$L$6,10,0)),"",VLOOKUP(I483,$C$3:$L$6,10,0)+J483+IF(OR(VLOOKUP(I483,$C$3:$L$6,5,0)=Variables!$B$5,B483&gt;VLOOKUP(I483,$C$3:$L$6,8,0)),IF(VLOOKUP(I483,$C$3:$L$6,5,0)=Variables!$B$5,((YEAR(B483)-YEAR($B$12))*12+MONTH(B483)-MONTH($B$12)),((YEAR(B483)-YEAR(VLOOKUP(I483,$C$3:$L$6,8,0)))*12+MONTH(B483)-MONTH(VLOOKUP(I483,$C$3:$L$6,8,0))))*VLOOKUP(I483,$C$3:$L$6,7,0),0)),""),"")</f>
        <v/>
      </c>
      <c r="L483" s="29" t="str">
        <f t="shared" ca="1" si="49"/>
        <v/>
      </c>
      <c r="M483" s="10"/>
      <c r="N483" s="10"/>
    </row>
    <row r="484" spans="1:14" x14ac:dyDescent="0.25">
      <c r="A484" s="10"/>
      <c r="B484" s="14" t="str">
        <f t="shared" ca="1" si="50"/>
        <v/>
      </c>
      <c r="C484" s="14" t="str">
        <f ca="1">IF(I483&lt;&gt;Variables!$B$1,IF(H483&lt;&gt;0,C483,I483),"")</f>
        <v/>
      </c>
      <c r="D484" s="29" t="str">
        <f t="shared" ca="1" si="47"/>
        <v/>
      </c>
      <c r="E484" s="29" t="str">
        <f t="shared" ca="1" si="48"/>
        <v/>
      </c>
      <c r="F484" s="29" t="str">
        <f ca="1">IF(C484&lt;&gt;"",IF(OR(VLOOKUP(C484,$C$3:$L$6,5,0)=Variables!$B$5,B484&gt;VLOOKUP(C484,$C$3:$L$6,8,0)),-D484*VLOOKUP(C484,$C$3:$L$6,6,0)/12,0),"")</f>
        <v/>
      </c>
      <c r="G484" s="29" t="str">
        <f ca="1">IF(I484&lt;&gt;Variables!$B$1,IF(C484&lt;&gt;"",$I$9-E484-F484,""),-D484)</f>
        <v/>
      </c>
      <c r="H484" s="29" t="str">
        <f t="shared" ca="1" si="51"/>
        <v/>
      </c>
      <c r="I484" s="31" t="str">
        <f ca="1">IF(C484&lt;&gt;"",IF(D484+$I$9-E484-F484&gt;=0,IF(ISERROR(INDEX($C$3:$C$6,MATCH(C484,$C$3:$C$6,0)+1,0)),Variables!$B$1,INDEX($C$3:$C$6,MATCH(C484,$C$3:$C$6,0)+1,0)),""),"")</f>
        <v/>
      </c>
      <c r="J484" s="29" t="str">
        <f ca="1">IF(ISERROR(VLOOKUP(I484,$C$3:$L$6,5,0)),"",IF(OR(VLOOKUP(I484,$C$3:$L$6,5,0)=Variables!$B$5,B484&gt;VLOOKUP(I484,$C$3:$L$6,8,0)),IF(VLOOKUP(I484,$C$3:$L$6,5,0)=Variables!$B$5,((YEAR(B484)-YEAR($B$12))*12+MONTH(B484)-MONTH($B$12)),((YEAR(B484)-YEAR(VLOOKUP(I484,$C$3:$L$6,8,0)))*12+MONTH(B484)-MONTH(VLOOKUP(I484,$C$3:$L$6,8,0))))*(VLOOKUP(I484,$C$3:$L$6,10,0)*VLOOKUP(I484,$C$3:$L$6,6,0)/12),0))</f>
        <v/>
      </c>
      <c r="K484" s="29" t="str">
        <f ca="1">IF(C484&lt;&gt;"",IF(I484&lt;&gt;"",IF(ISERROR(VLOOKUP(I484,$C$3:$L$6,10,0)),"",VLOOKUP(I484,$C$3:$L$6,10,0)+J484+IF(OR(VLOOKUP(I484,$C$3:$L$6,5,0)=Variables!$B$5,B484&gt;VLOOKUP(I484,$C$3:$L$6,8,0)),IF(VLOOKUP(I484,$C$3:$L$6,5,0)=Variables!$B$5,((YEAR(B484)-YEAR($B$12))*12+MONTH(B484)-MONTH($B$12)),((YEAR(B484)-YEAR(VLOOKUP(I484,$C$3:$L$6,8,0)))*12+MONTH(B484)-MONTH(VLOOKUP(I484,$C$3:$L$6,8,0))))*VLOOKUP(I484,$C$3:$L$6,7,0),0)),""),"")</f>
        <v/>
      </c>
      <c r="L484" s="29" t="str">
        <f t="shared" ca="1" si="49"/>
        <v/>
      </c>
      <c r="M484" s="10"/>
      <c r="N484" s="10"/>
    </row>
    <row r="485" spans="1:14" x14ac:dyDescent="0.25">
      <c r="A485" s="10"/>
      <c r="B485" s="14" t="str">
        <f t="shared" ca="1" si="50"/>
        <v/>
      </c>
      <c r="C485" s="14" t="str">
        <f ca="1">IF(I484&lt;&gt;Variables!$B$1,IF(H484&lt;&gt;0,C484,I484),"")</f>
        <v/>
      </c>
      <c r="D485" s="29" t="str">
        <f t="shared" ca="1" si="47"/>
        <v/>
      </c>
      <c r="E485" s="29" t="str">
        <f t="shared" ca="1" si="48"/>
        <v/>
      </c>
      <c r="F485" s="29" t="str">
        <f ca="1">IF(C485&lt;&gt;"",IF(OR(VLOOKUP(C485,$C$3:$L$6,5,0)=Variables!$B$5,B485&gt;VLOOKUP(C485,$C$3:$L$6,8,0)),-D485*VLOOKUP(C485,$C$3:$L$6,6,0)/12,0),"")</f>
        <v/>
      </c>
      <c r="G485" s="29" t="str">
        <f ca="1">IF(I485&lt;&gt;Variables!$B$1,IF(C485&lt;&gt;"",$I$9-E485-F485,""),-D485)</f>
        <v/>
      </c>
      <c r="H485" s="29" t="str">
        <f t="shared" ca="1" si="51"/>
        <v/>
      </c>
      <c r="I485" s="31" t="str">
        <f ca="1">IF(C485&lt;&gt;"",IF(D485+$I$9-E485-F485&gt;=0,IF(ISERROR(INDEX($C$3:$C$6,MATCH(C485,$C$3:$C$6,0)+1,0)),Variables!$B$1,INDEX($C$3:$C$6,MATCH(C485,$C$3:$C$6,0)+1,0)),""),"")</f>
        <v/>
      </c>
      <c r="J485" s="29" t="str">
        <f ca="1">IF(ISERROR(VLOOKUP(I485,$C$3:$L$6,5,0)),"",IF(OR(VLOOKUP(I485,$C$3:$L$6,5,0)=Variables!$B$5,B485&gt;VLOOKUP(I485,$C$3:$L$6,8,0)),IF(VLOOKUP(I485,$C$3:$L$6,5,0)=Variables!$B$5,((YEAR(B485)-YEAR($B$12))*12+MONTH(B485)-MONTH($B$12)),((YEAR(B485)-YEAR(VLOOKUP(I485,$C$3:$L$6,8,0)))*12+MONTH(B485)-MONTH(VLOOKUP(I485,$C$3:$L$6,8,0))))*(VLOOKUP(I485,$C$3:$L$6,10,0)*VLOOKUP(I485,$C$3:$L$6,6,0)/12),0))</f>
        <v/>
      </c>
      <c r="K485" s="29" t="str">
        <f ca="1">IF(C485&lt;&gt;"",IF(I485&lt;&gt;"",IF(ISERROR(VLOOKUP(I485,$C$3:$L$6,10,0)),"",VLOOKUP(I485,$C$3:$L$6,10,0)+J485+IF(OR(VLOOKUP(I485,$C$3:$L$6,5,0)=Variables!$B$5,B485&gt;VLOOKUP(I485,$C$3:$L$6,8,0)),IF(VLOOKUP(I485,$C$3:$L$6,5,0)=Variables!$B$5,((YEAR(B485)-YEAR($B$12))*12+MONTH(B485)-MONTH($B$12)),((YEAR(B485)-YEAR(VLOOKUP(I485,$C$3:$L$6,8,0)))*12+MONTH(B485)-MONTH(VLOOKUP(I485,$C$3:$L$6,8,0))))*VLOOKUP(I485,$C$3:$L$6,7,0),0)),""),"")</f>
        <v/>
      </c>
      <c r="L485" s="29" t="str">
        <f t="shared" ca="1" si="49"/>
        <v/>
      </c>
      <c r="M485" s="10"/>
      <c r="N485" s="10"/>
    </row>
    <row r="486" spans="1:14" x14ac:dyDescent="0.25">
      <c r="A486" s="10"/>
      <c r="B486" s="14" t="str">
        <f t="shared" ca="1" si="50"/>
        <v/>
      </c>
      <c r="C486" s="14" t="str">
        <f ca="1">IF(I485&lt;&gt;Variables!$B$1,IF(H485&lt;&gt;0,C485,I485),"")</f>
        <v/>
      </c>
      <c r="D486" s="29" t="str">
        <f t="shared" ca="1" si="47"/>
        <v/>
      </c>
      <c r="E486" s="29" t="str">
        <f t="shared" ca="1" si="48"/>
        <v/>
      </c>
      <c r="F486" s="29" t="str">
        <f ca="1">IF(C486&lt;&gt;"",IF(OR(VLOOKUP(C486,$C$3:$L$6,5,0)=Variables!$B$5,B486&gt;VLOOKUP(C486,$C$3:$L$6,8,0)),-D486*VLOOKUP(C486,$C$3:$L$6,6,0)/12,0),"")</f>
        <v/>
      </c>
      <c r="G486" s="29" t="str">
        <f ca="1">IF(I486&lt;&gt;Variables!$B$1,IF(C486&lt;&gt;"",$I$9-E486-F486,""),-D486)</f>
        <v/>
      </c>
      <c r="H486" s="29" t="str">
        <f t="shared" ca="1" si="51"/>
        <v/>
      </c>
      <c r="I486" s="31" t="str">
        <f ca="1">IF(C486&lt;&gt;"",IF(D486+$I$9-E486-F486&gt;=0,IF(ISERROR(INDEX($C$3:$C$6,MATCH(C486,$C$3:$C$6,0)+1,0)),Variables!$B$1,INDEX($C$3:$C$6,MATCH(C486,$C$3:$C$6,0)+1,0)),""),"")</f>
        <v/>
      </c>
      <c r="J486" s="29" t="str">
        <f ca="1">IF(ISERROR(VLOOKUP(I486,$C$3:$L$6,5,0)),"",IF(OR(VLOOKUP(I486,$C$3:$L$6,5,0)=Variables!$B$5,B486&gt;VLOOKUP(I486,$C$3:$L$6,8,0)),IF(VLOOKUP(I486,$C$3:$L$6,5,0)=Variables!$B$5,((YEAR(B486)-YEAR($B$12))*12+MONTH(B486)-MONTH($B$12)),((YEAR(B486)-YEAR(VLOOKUP(I486,$C$3:$L$6,8,0)))*12+MONTH(B486)-MONTH(VLOOKUP(I486,$C$3:$L$6,8,0))))*(VLOOKUP(I486,$C$3:$L$6,10,0)*VLOOKUP(I486,$C$3:$L$6,6,0)/12),0))</f>
        <v/>
      </c>
      <c r="K486" s="29" t="str">
        <f ca="1">IF(C486&lt;&gt;"",IF(I486&lt;&gt;"",IF(ISERROR(VLOOKUP(I486,$C$3:$L$6,10,0)),"",VLOOKUP(I486,$C$3:$L$6,10,0)+J486+IF(OR(VLOOKUP(I486,$C$3:$L$6,5,0)=Variables!$B$5,B486&gt;VLOOKUP(I486,$C$3:$L$6,8,0)),IF(VLOOKUP(I486,$C$3:$L$6,5,0)=Variables!$B$5,((YEAR(B486)-YEAR($B$12))*12+MONTH(B486)-MONTH($B$12)),((YEAR(B486)-YEAR(VLOOKUP(I486,$C$3:$L$6,8,0)))*12+MONTH(B486)-MONTH(VLOOKUP(I486,$C$3:$L$6,8,0))))*VLOOKUP(I486,$C$3:$L$6,7,0),0)),""),"")</f>
        <v/>
      </c>
      <c r="L486" s="29" t="str">
        <f t="shared" ca="1" si="49"/>
        <v/>
      </c>
      <c r="M486" s="10"/>
      <c r="N486" s="10"/>
    </row>
    <row r="487" spans="1:14" x14ac:dyDescent="0.25">
      <c r="A487" s="10"/>
      <c r="B487" s="14" t="str">
        <f t="shared" ca="1" si="50"/>
        <v/>
      </c>
      <c r="C487" s="14" t="str">
        <f ca="1">IF(I486&lt;&gt;Variables!$B$1,IF(H486&lt;&gt;0,C486,I486),"")</f>
        <v/>
      </c>
      <c r="D487" s="29" t="str">
        <f t="shared" ca="1" si="47"/>
        <v/>
      </c>
      <c r="E487" s="29" t="str">
        <f t="shared" ca="1" si="48"/>
        <v/>
      </c>
      <c r="F487" s="29" t="str">
        <f ca="1">IF(C487&lt;&gt;"",IF(OR(VLOOKUP(C487,$C$3:$L$6,5,0)=Variables!$B$5,B487&gt;VLOOKUP(C487,$C$3:$L$6,8,0)),-D487*VLOOKUP(C487,$C$3:$L$6,6,0)/12,0),"")</f>
        <v/>
      </c>
      <c r="G487" s="29" t="str">
        <f ca="1">IF(I487&lt;&gt;Variables!$B$1,IF(C487&lt;&gt;"",$I$9-E487-F487,""),-D487)</f>
        <v/>
      </c>
      <c r="H487" s="29" t="str">
        <f t="shared" ca="1" si="51"/>
        <v/>
      </c>
      <c r="I487" s="31" t="str">
        <f ca="1">IF(C487&lt;&gt;"",IF(D487+$I$9-E487-F487&gt;=0,IF(ISERROR(INDEX($C$3:$C$6,MATCH(C487,$C$3:$C$6,0)+1,0)),Variables!$B$1,INDEX($C$3:$C$6,MATCH(C487,$C$3:$C$6,0)+1,0)),""),"")</f>
        <v/>
      </c>
      <c r="J487" s="29" t="str">
        <f ca="1">IF(ISERROR(VLOOKUP(I487,$C$3:$L$6,5,0)),"",IF(OR(VLOOKUP(I487,$C$3:$L$6,5,0)=Variables!$B$5,B487&gt;VLOOKUP(I487,$C$3:$L$6,8,0)),IF(VLOOKUP(I487,$C$3:$L$6,5,0)=Variables!$B$5,((YEAR(B487)-YEAR($B$12))*12+MONTH(B487)-MONTH($B$12)),((YEAR(B487)-YEAR(VLOOKUP(I487,$C$3:$L$6,8,0)))*12+MONTH(B487)-MONTH(VLOOKUP(I487,$C$3:$L$6,8,0))))*(VLOOKUP(I487,$C$3:$L$6,10,0)*VLOOKUP(I487,$C$3:$L$6,6,0)/12),0))</f>
        <v/>
      </c>
      <c r="K487" s="29" t="str">
        <f ca="1">IF(C487&lt;&gt;"",IF(I487&lt;&gt;"",IF(ISERROR(VLOOKUP(I487,$C$3:$L$6,10,0)),"",VLOOKUP(I487,$C$3:$L$6,10,0)+J487+IF(OR(VLOOKUP(I487,$C$3:$L$6,5,0)=Variables!$B$5,B487&gt;VLOOKUP(I487,$C$3:$L$6,8,0)),IF(VLOOKUP(I487,$C$3:$L$6,5,0)=Variables!$B$5,((YEAR(B487)-YEAR($B$12))*12+MONTH(B487)-MONTH($B$12)),((YEAR(B487)-YEAR(VLOOKUP(I487,$C$3:$L$6,8,0)))*12+MONTH(B487)-MONTH(VLOOKUP(I487,$C$3:$L$6,8,0))))*VLOOKUP(I487,$C$3:$L$6,7,0),0)),""),"")</f>
        <v/>
      </c>
      <c r="L487" s="29" t="str">
        <f t="shared" ca="1" si="49"/>
        <v/>
      </c>
      <c r="M487" s="10"/>
      <c r="N487" s="10"/>
    </row>
    <row r="488" spans="1:14" x14ac:dyDescent="0.25">
      <c r="A488" s="10"/>
      <c r="B488" s="14" t="str">
        <f t="shared" ca="1" si="50"/>
        <v/>
      </c>
      <c r="C488" s="14" t="str">
        <f ca="1">IF(I487&lt;&gt;Variables!$B$1,IF(H487&lt;&gt;0,C487,I487),"")</f>
        <v/>
      </c>
      <c r="D488" s="29" t="str">
        <f t="shared" ca="1" si="47"/>
        <v/>
      </c>
      <c r="E488" s="29" t="str">
        <f t="shared" ca="1" si="48"/>
        <v/>
      </c>
      <c r="F488" s="29" t="str">
        <f ca="1">IF(C488&lt;&gt;"",IF(OR(VLOOKUP(C488,$C$3:$L$6,5,0)=Variables!$B$5,B488&gt;VLOOKUP(C488,$C$3:$L$6,8,0)),-D488*VLOOKUP(C488,$C$3:$L$6,6,0)/12,0),"")</f>
        <v/>
      </c>
      <c r="G488" s="29" t="str">
        <f ca="1">IF(I488&lt;&gt;Variables!$B$1,IF(C488&lt;&gt;"",$I$9-E488-F488,""),-D488)</f>
        <v/>
      </c>
      <c r="H488" s="29" t="str">
        <f t="shared" ca="1" si="51"/>
        <v/>
      </c>
      <c r="I488" s="31" t="str">
        <f ca="1">IF(C488&lt;&gt;"",IF(D488+$I$9-E488-F488&gt;=0,IF(ISERROR(INDEX($C$3:$C$6,MATCH(C488,$C$3:$C$6,0)+1,0)),Variables!$B$1,INDEX($C$3:$C$6,MATCH(C488,$C$3:$C$6,0)+1,0)),""),"")</f>
        <v/>
      </c>
      <c r="J488" s="29" t="str">
        <f ca="1">IF(ISERROR(VLOOKUP(I488,$C$3:$L$6,5,0)),"",IF(OR(VLOOKUP(I488,$C$3:$L$6,5,0)=Variables!$B$5,B488&gt;VLOOKUP(I488,$C$3:$L$6,8,0)),IF(VLOOKUP(I488,$C$3:$L$6,5,0)=Variables!$B$5,((YEAR(B488)-YEAR($B$12))*12+MONTH(B488)-MONTH($B$12)),((YEAR(B488)-YEAR(VLOOKUP(I488,$C$3:$L$6,8,0)))*12+MONTH(B488)-MONTH(VLOOKUP(I488,$C$3:$L$6,8,0))))*(VLOOKUP(I488,$C$3:$L$6,10,0)*VLOOKUP(I488,$C$3:$L$6,6,0)/12),0))</f>
        <v/>
      </c>
      <c r="K488" s="29" t="str">
        <f ca="1">IF(C488&lt;&gt;"",IF(I488&lt;&gt;"",IF(ISERROR(VLOOKUP(I488,$C$3:$L$6,10,0)),"",VLOOKUP(I488,$C$3:$L$6,10,0)+J488+IF(OR(VLOOKUP(I488,$C$3:$L$6,5,0)=Variables!$B$5,B488&gt;VLOOKUP(I488,$C$3:$L$6,8,0)),IF(VLOOKUP(I488,$C$3:$L$6,5,0)=Variables!$B$5,((YEAR(B488)-YEAR($B$12))*12+MONTH(B488)-MONTH($B$12)),((YEAR(B488)-YEAR(VLOOKUP(I488,$C$3:$L$6,8,0)))*12+MONTH(B488)-MONTH(VLOOKUP(I488,$C$3:$L$6,8,0))))*VLOOKUP(I488,$C$3:$L$6,7,0),0)),""),"")</f>
        <v/>
      </c>
      <c r="L488" s="29" t="str">
        <f t="shared" ca="1" si="49"/>
        <v/>
      </c>
      <c r="M488" s="10"/>
      <c r="N488" s="10"/>
    </row>
    <row r="489" spans="1:14" x14ac:dyDescent="0.25">
      <c r="A489" s="10"/>
      <c r="B489" s="14" t="str">
        <f t="shared" ca="1" si="50"/>
        <v/>
      </c>
      <c r="C489" s="14" t="str">
        <f ca="1">IF(I488&lt;&gt;Variables!$B$1,IF(H488&lt;&gt;0,C488,I488),"")</f>
        <v/>
      </c>
      <c r="D489" s="29" t="str">
        <f t="shared" ca="1" si="47"/>
        <v/>
      </c>
      <c r="E489" s="29" t="str">
        <f t="shared" ca="1" si="48"/>
        <v/>
      </c>
      <c r="F489" s="29" t="str">
        <f ca="1">IF(C489&lt;&gt;"",IF(OR(VLOOKUP(C489,$C$3:$L$6,5,0)=Variables!$B$5,B489&gt;VLOOKUP(C489,$C$3:$L$6,8,0)),-D489*VLOOKUP(C489,$C$3:$L$6,6,0)/12,0),"")</f>
        <v/>
      </c>
      <c r="G489" s="29" t="str">
        <f ca="1">IF(I489&lt;&gt;Variables!$B$1,IF(C489&lt;&gt;"",$I$9-E489-F489,""),-D489)</f>
        <v/>
      </c>
      <c r="H489" s="29" t="str">
        <f t="shared" ca="1" si="51"/>
        <v/>
      </c>
      <c r="I489" s="31" t="str">
        <f ca="1">IF(C489&lt;&gt;"",IF(D489+$I$9-E489-F489&gt;=0,IF(ISERROR(INDEX($C$3:$C$6,MATCH(C489,$C$3:$C$6,0)+1,0)),Variables!$B$1,INDEX($C$3:$C$6,MATCH(C489,$C$3:$C$6,0)+1,0)),""),"")</f>
        <v/>
      </c>
      <c r="J489" s="29" t="str">
        <f ca="1">IF(ISERROR(VLOOKUP(I489,$C$3:$L$6,5,0)),"",IF(OR(VLOOKUP(I489,$C$3:$L$6,5,0)=Variables!$B$5,B489&gt;VLOOKUP(I489,$C$3:$L$6,8,0)),IF(VLOOKUP(I489,$C$3:$L$6,5,0)=Variables!$B$5,((YEAR(B489)-YEAR($B$12))*12+MONTH(B489)-MONTH($B$12)),((YEAR(B489)-YEAR(VLOOKUP(I489,$C$3:$L$6,8,0)))*12+MONTH(B489)-MONTH(VLOOKUP(I489,$C$3:$L$6,8,0))))*(VLOOKUP(I489,$C$3:$L$6,10,0)*VLOOKUP(I489,$C$3:$L$6,6,0)/12),0))</f>
        <v/>
      </c>
      <c r="K489" s="29" t="str">
        <f ca="1">IF(C489&lt;&gt;"",IF(I489&lt;&gt;"",IF(ISERROR(VLOOKUP(I489,$C$3:$L$6,10,0)),"",VLOOKUP(I489,$C$3:$L$6,10,0)+J489+IF(OR(VLOOKUP(I489,$C$3:$L$6,5,0)=Variables!$B$5,B489&gt;VLOOKUP(I489,$C$3:$L$6,8,0)),IF(VLOOKUP(I489,$C$3:$L$6,5,0)=Variables!$B$5,((YEAR(B489)-YEAR($B$12))*12+MONTH(B489)-MONTH($B$12)),((YEAR(B489)-YEAR(VLOOKUP(I489,$C$3:$L$6,8,0)))*12+MONTH(B489)-MONTH(VLOOKUP(I489,$C$3:$L$6,8,0))))*VLOOKUP(I489,$C$3:$L$6,7,0),0)),""),"")</f>
        <v/>
      </c>
      <c r="L489" s="29" t="str">
        <f t="shared" ca="1" si="49"/>
        <v/>
      </c>
      <c r="M489" s="10"/>
      <c r="N489" s="10"/>
    </row>
    <row r="490" spans="1:14" x14ac:dyDescent="0.25">
      <c r="A490" s="10"/>
      <c r="B490" s="14" t="str">
        <f t="shared" ca="1" si="50"/>
        <v/>
      </c>
      <c r="C490" s="14" t="str">
        <f ca="1">IF(I489&lt;&gt;Variables!$B$1,IF(H489&lt;&gt;0,C489,I489),"")</f>
        <v/>
      </c>
      <c r="D490" s="29" t="str">
        <f t="shared" ca="1" si="47"/>
        <v/>
      </c>
      <c r="E490" s="29" t="str">
        <f t="shared" ca="1" si="48"/>
        <v/>
      </c>
      <c r="F490" s="29" t="str">
        <f ca="1">IF(C490&lt;&gt;"",IF(OR(VLOOKUP(C490,$C$3:$L$6,5,0)=Variables!$B$5,B490&gt;VLOOKUP(C490,$C$3:$L$6,8,0)),-D490*VLOOKUP(C490,$C$3:$L$6,6,0)/12,0),"")</f>
        <v/>
      </c>
      <c r="G490" s="29" t="str">
        <f ca="1">IF(I490&lt;&gt;Variables!$B$1,IF(C490&lt;&gt;"",$I$9-E490-F490,""),-D490)</f>
        <v/>
      </c>
      <c r="H490" s="29" t="str">
        <f t="shared" ca="1" si="51"/>
        <v/>
      </c>
      <c r="I490" s="31" t="str">
        <f ca="1">IF(C490&lt;&gt;"",IF(D490+$I$9-E490-F490&gt;=0,IF(ISERROR(INDEX($C$3:$C$6,MATCH(C490,$C$3:$C$6,0)+1,0)),Variables!$B$1,INDEX($C$3:$C$6,MATCH(C490,$C$3:$C$6,0)+1,0)),""),"")</f>
        <v/>
      </c>
      <c r="J490" s="29" t="str">
        <f ca="1">IF(ISERROR(VLOOKUP(I490,$C$3:$L$6,5,0)),"",IF(OR(VLOOKUP(I490,$C$3:$L$6,5,0)=Variables!$B$5,B490&gt;VLOOKUP(I490,$C$3:$L$6,8,0)),IF(VLOOKUP(I490,$C$3:$L$6,5,0)=Variables!$B$5,((YEAR(B490)-YEAR($B$12))*12+MONTH(B490)-MONTH($B$12)),((YEAR(B490)-YEAR(VLOOKUP(I490,$C$3:$L$6,8,0)))*12+MONTH(B490)-MONTH(VLOOKUP(I490,$C$3:$L$6,8,0))))*(VLOOKUP(I490,$C$3:$L$6,10,0)*VLOOKUP(I490,$C$3:$L$6,6,0)/12),0))</f>
        <v/>
      </c>
      <c r="K490" s="29" t="str">
        <f ca="1">IF(C490&lt;&gt;"",IF(I490&lt;&gt;"",IF(ISERROR(VLOOKUP(I490,$C$3:$L$6,10,0)),"",VLOOKUP(I490,$C$3:$L$6,10,0)+J490+IF(OR(VLOOKUP(I490,$C$3:$L$6,5,0)=Variables!$B$5,B490&gt;VLOOKUP(I490,$C$3:$L$6,8,0)),IF(VLOOKUP(I490,$C$3:$L$6,5,0)=Variables!$B$5,((YEAR(B490)-YEAR($B$12))*12+MONTH(B490)-MONTH($B$12)),((YEAR(B490)-YEAR(VLOOKUP(I490,$C$3:$L$6,8,0)))*12+MONTH(B490)-MONTH(VLOOKUP(I490,$C$3:$L$6,8,0))))*VLOOKUP(I490,$C$3:$L$6,7,0),0)),""),"")</f>
        <v/>
      </c>
      <c r="L490" s="29" t="str">
        <f t="shared" ca="1" si="49"/>
        <v/>
      </c>
      <c r="M490" s="10"/>
      <c r="N490" s="10"/>
    </row>
    <row r="491" spans="1:14" x14ac:dyDescent="0.25">
      <c r="A491" s="10"/>
      <c r="B491" s="14" t="str">
        <f t="shared" ca="1" si="50"/>
        <v/>
      </c>
      <c r="C491" s="14" t="str">
        <f ca="1">IF(I490&lt;&gt;Variables!$B$1,IF(H490&lt;&gt;0,C490,I490),"")</f>
        <v/>
      </c>
      <c r="D491" s="29" t="str">
        <f t="shared" ca="1" si="47"/>
        <v/>
      </c>
      <c r="E491" s="29" t="str">
        <f t="shared" ca="1" si="48"/>
        <v/>
      </c>
      <c r="F491" s="29" t="str">
        <f ca="1">IF(C491&lt;&gt;"",IF(OR(VLOOKUP(C491,$C$3:$L$6,5,0)=Variables!$B$5,B491&gt;VLOOKUP(C491,$C$3:$L$6,8,0)),-D491*VLOOKUP(C491,$C$3:$L$6,6,0)/12,0),"")</f>
        <v/>
      </c>
      <c r="G491" s="29" t="str">
        <f ca="1">IF(I491&lt;&gt;Variables!$B$1,IF(C491&lt;&gt;"",$I$9-E491-F491,""),-D491)</f>
        <v/>
      </c>
      <c r="H491" s="29" t="str">
        <f t="shared" ca="1" si="51"/>
        <v/>
      </c>
      <c r="I491" s="31" t="str">
        <f ca="1">IF(C491&lt;&gt;"",IF(D491+$I$9-E491-F491&gt;=0,IF(ISERROR(INDEX($C$3:$C$6,MATCH(C491,$C$3:$C$6,0)+1,0)),Variables!$B$1,INDEX($C$3:$C$6,MATCH(C491,$C$3:$C$6,0)+1,0)),""),"")</f>
        <v/>
      </c>
      <c r="J491" s="29" t="str">
        <f ca="1">IF(ISERROR(VLOOKUP(I491,$C$3:$L$6,5,0)),"",IF(OR(VLOOKUP(I491,$C$3:$L$6,5,0)=Variables!$B$5,B491&gt;VLOOKUP(I491,$C$3:$L$6,8,0)),IF(VLOOKUP(I491,$C$3:$L$6,5,0)=Variables!$B$5,((YEAR(B491)-YEAR($B$12))*12+MONTH(B491)-MONTH($B$12)),((YEAR(B491)-YEAR(VLOOKUP(I491,$C$3:$L$6,8,0)))*12+MONTH(B491)-MONTH(VLOOKUP(I491,$C$3:$L$6,8,0))))*(VLOOKUP(I491,$C$3:$L$6,10,0)*VLOOKUP(I491,$C$3:$L$6,6,0)/12),0))</f>
        <v/>
      </c>
      <c r="K491" s="29" t="str">
        <f ca="1">IF(C491&lt;&gt;"",IF(I491&lt;&gt;"",IF(ISERROR(VLOOKUP(I491,$C$3:$L$6,10,0)),"",VLOOKUP(I491,$C$3:$L$6,10,0)+J491+IF(OR(VLOOKUP(I491,$C$3:$L$6,5,0)=Variables!$B$5,B491&gt;VLOOKUP(I491,$C$3:$L$6,8,0)),IF(VLOOKUP(I491,$C$3:$L$6,5,0)=Variables!$B$5,((YEAR(B491)-YEAR($B$12))*12+MONTH(B491)-MONTH($B$12)),((YEAR(B491)-YEAR(VLOOKUP(I491,$C$3:$L$6,8,0)))*12+MONTH(B491)-MONTH(VLOOKUP(I491,$C$3:$L$6,8,0))))*VLOOKUP(I491,$C$3:$L$6,7,0),0)),""),"")</f>
        <v/>
      </c>
      <c r="L491" s="29" t="str">
        <f t="shared" ca="1" si="49"/>
        <v/>
      </c>
      <c r="M491" s="10"/>
      <c r="N491" s="10"/>
    </row>
    <row r="492" spans="1:14" x14ac:dyDescent="0.25">
      <c r="A492" s="10"/>
      <c r="B492" s="14" t="str">
        <f t="shared" ca="1" si="50"/>
        <v/>
      </c>
      <c r="C492" s="14" t="str">
        <f ca="1">IF(I491&lt;&gt;Variables!$B$1,IF(H491&lt;&gt;0,C491,I491),"")</f>
        <v/>
      </c>
      <c r="D492" s="29" t="str">
        <f t="shared" ca="1" si="47"/>
        <v/>
      </c>
      <c r="E492" s="29" t="str">
        <f t="shared" ca="1" si="48"/>
        <v/>
      </c>
      <c r="F492" s="29" t="str">
        <f ca="1">IF(C492&lt;&gt;"",IF(OR(VLOOKUP(C492,$C$3:$L$6,5,0)=Variables!$B$5,B492&gt;VLOOKUP(C492,$C$3:$L$6,8,0)),-D492*VLOOKUP(C492,$C$3:$L$6,6,0)/12,0),"")</f>
        <v/>
      </c>
      <c r="G492" s="29" t="str">
        <f ca="1">IF(I492&lt;&gt;Variables!$B$1,IF(C492&lt;&gt;"",$I$9-E492-F492,""),-D492)</f>
        <v/>
      </c>
      <c r="H492" s="29" t="str">
        <f t="shared" ca="1" si="51"/>
        <v/>
      </c>
      <c r="I492" s="31" t="str">
        <f ca="1">IF(C492&lt;&gt;"",IF(D492+$I$9-E492-F492&gt;=0,IF(ISERROR(INDEX($C$3:$C$6,MATCH(C492,$C$3:$C$6,0)+1,0)),Variables!$B$1,INDEX($C$3:$C$6,MATCH(C492,$C$3:$C$6,0)+1,0)),""),"")</f>
        <v/>
      </c>
      <c r="J492" s="29" t="str">
        <f ca="1">IF(ISERROR(VLOOKUP(I492,$C$3:$L$6,5,0)),"",IF(OR(VLOOKUP(I492,$C$3:$L$6,5,0)=Variables!$B$5,B492&gt;VLOOKUP(I492,$C$3:$L$6,8,0)),IF(VLOOKUP(I492,$C$3:$L$6,5,0)=Variables!$B$5,((YEAR(B492)-YEAR($B$12))*12+MONTH(B492)-MONTH($B$12)),((YEAR(B492)-YEAR(VLOOKUP(I492,$C$3:$L$6,8,0)))*12+MONTH(B492)-MONTH(VLOOKUP(I492,$C$3:$L$6,8,0))))*(VLOOKUP(I492,$C$3:$L$6,10,0)*VLOOKUP(I492,$C$3:$L$6,6,0)/12),0))</f>
        <v/>
      </c>
      <c r="K492" s="29" t="str">
        <f ca="1">IF(C492&lt;&gt;"",IF(I492&lt;&gt;"",IF(ISERROR(VLOOKUP(I492,$C$3:$L$6,10,0)),"",VLOOKUP(I492,$C$3:$L$6,10,0)+J492+IF(OR(VLOOKUP(I492,$C$3:$L$6,5,0)=Variables!$B$5,B492&gt;VLOOKUP(I492,$C$3:$L$6,8,0)),IF(VLOOKUP(I492,$C$3:$L$6,5,0)=Variables!$B$5,((YEAR(B492)-YEAR($B$12))*12+MONTH(B492)-MONTH($B$12)),((YEAR(B492)-YEAR(VLOOKUP(I492,$C$3:$L$6,8,0)))*12+MONTH(B492)-MONTH(VLOOKUP(I492,$C$3:$L$6,8,0))))*VLOOKUP(I492,$C$3:$L$6,7,0),0)),""),"")</f>
        <v/>
      </c>
      <c r="L492" s="29" t="str">
        <f t="shared" ca="1" si="49"/>
        <v/>
      </c>
      <c r="M492" s="10"/>
      <c r="N492" s="10"/>
    </row>
    <row r="493" spans="1:14" x14ac:dyDescent="0.25">
      <c r="A493" s="10"/>
      <c r="B493" s="14" t="str">
        <f t="shared" ca="1" si="50"/>
        <v/>
      </c>
      <c r="C493" s="14" t="str">
        <f ca="1">IF(I492&lt;&gt;Variables!$B$1,IF(H492&lt;&gt;0,C492,I492),"")</f>
        <v/>
      </c>
      <c r="D493" s="29" t="str">
        <f t="shared" ca="1" si="47"/>
        <v/>
      </c>
      <c r="E493" s="29" t="str">
        <f t="shared" ca="1" si="48"/>
        <v/>
      </c>
      <c r="F493" s="29" t="str">
        <f ca="1">IF(C493&lt;&gt;"",IF(OR(VLOOKUP(C493,$C$3:$L$6,5,0)=Variables!$B$5,B493&gt;VLOOKUP(C493,$C$3:$L$6,8,0)),-D493*VLOOKUP(C493,$C$3:$L$6,6,0)/12,0),"")</f>
        <v/>
      </c>
      <c r="G493" s="29" t="str">
        <f ca="1">IF(I493&lt;&gt;Variables!$B$1,IF(C493&lt;&gt;"",$I$9-E493-F493,""),-D493)</f>
        <v/>
      </c>
      <c r="H493" s="29" t="str">
        <f t="shared" ca="1" si="51"/>
        <v/>
      </c>
      <c r="I493" s="31" t="str">
        <f ca="1">IF(C493&lt;&gt;"",IF(D493+$I$9-E493-F493&gt;=0,IF(ISERROR(INDEX($C$3:$C$6,MATCH(C493,$C$3:$C$6,0)+1,0)),Variables!$B$1,INDEX($C$3:$C$6,MATCH(C493,$C$3:$C$6,0)+1,0)),""),"")</f>
        <v/>
      </c>
      <c r="J493" s="29" t="str">
        <f ca="1">IF(ISERROR(VLOOKUP(I493,$C$3:$L$6,5,0)),"",IF(OR(VLOOKUP(I493,$C$3:$L$6,5,0)=Variables!$B$5,B493&gt;VLOOKUP(I493,$C$3:$L$6,8,0)),IF(VLOOKUP(I493,$C$3:$L$6,5,0)=Variables!$B$5,((YEAR(B493)-YEAR($B$12))*12+MONTH(B493)-MONTH($B$12)),((YEAR(B493)-YEAR(VLOOKUP(I493,$C$3:$L$6,8,0)))*12+MONTH(B493)-MONTH(VLOOKUP(I493,$C$3:$L$6,8,0))))*(VLOOKUP(I493,$C$3:$L$6,10,0)*VLOOKUP(I493,$C$3:$L$6,6,0)/12),0))</f>
        <v/>
      </c>
      <c r="K493" s="29" t="str">
        <f ca="1">IF(C493&lt;&gt;"",IF(I493&lt;&gt;"",IF(ISERROR(VLOOKUP(I493,$C$3:$L$6,10,0)),"",VLOOKUP(I493,$C$3:$L$6,10,0)+J493+IF(OR(VLOOKUP(I493,$C$3:$L$6,5,0)=Variables!$B$5,B493&gt;VLOOKUP(I493,$C$3:$L$6,8,0)),IF(VLOOKUP(I493,$C$3:$L$6,5,0)=Variables!$B$5,((YEAR(B493)-YEAR($B$12))*12+MONTH(B493)-MONTH($B$12)),((YEAR(B493)-YEAR(VLOOKUP(I493,$C$3:$L$6,8,0)))*12+MONTH(B493)-MONTH(VLOOKUP(I493,$C$3:$L$6,8,0))))*VLOOKUP(I493,$C$3:$L$6,7,0),0)),""),"")</f>
        <v/>
      </c>
      <c r="L493" s="29" t="str">
        <f t="shared" ca="1" si="49"/>
        <v/>
      </c>
      <c r="M493" s="10"/>
      <c r="N493" s="10"/>
    </row>
    <row r="494" spans="1:14" x14ac:dyDescent="0.25">
      <c r="A494" s="10"/>
      <c r="B494" s="14" t="str">
        <f t="shared" ca="1" si="50"/>
        <v/>
      </c>
      <c r="C494" s="14" t="str">
        <f ca="1">IF(I493&lt;&gt;Variables!$B$1,IF(H493&lt;&gt;0,C493,I493),"")</f>
        <v/>
      </c>
      <c r="D494" s="29" t="str">
        <f t="shared" ca="1" si="47"/>
        <v/>
      </c>
      <c r="E494" s="29" t="str">
        <f t="shared" ca="1" si="48"/>
        <v/>
      </c>
      <c r="F494" s="29" t="str">
        <f ca="1">IF(C494&lt;&gt;"",IF(OR(VLOOKUP(C494,$C$3:$L$6,5,0)=Variables!$B$5,B494&gt;VLOOKUP(C494,$C$3:$L$6,8,0)),-D494*VLOOKUP(C494,$C$3:$L$6,6,0)/12,0),"")</f>
        <v/>
      </c>
      <c r="G494" s="29" t="str">
        <f ca="1">IF(I494&lt;&gt;Variables!$B$1,IF(C494&lt;&gt;"",$I$9-E494-F494,""),-D494)</f>
        <v/>
      </c>
      <c r="H494" s="29" t="str">
        <f t="shared" ca="1" si="51"/>
        <v/>
      </c>
      <c r="I494" s="31" t="str">
        <f ca="1">IF(C494&lt;&gt;"",IF(D494+$I$9-E494-F494&gt;=0,IF(ISERROR(INDEX($C$3:$C$6,MATCH(C494,$C$3:$C$6,0)+1,0)),Variables!$B$1,INDEX($C$3:$C$6,MATCH(C494,$C$3:$C$6,0)+1,0)),""),"")</f>
        <v/>
      </c>
      <c r="J494" s="29" t="str">
        <f ca="1">IF(ISERROR(VLOOKUP(I494,$C$3:$L$6,5,0)),"",IF(OR(VLOOKUP(I494,$C$3:$L$6,5,0)=Variables!$B$5,B494&gt;VLOOKUP(I494,$C$3:$L$6,8,0)),IF(VLOOKUP(I494,$C$3:$L$6,5,0)=Variables!$B$5,((YEAR(B494)-YEAR($B$12))*12+MONTH(B494)-MONTH($B$12)),((YEAR(B494)-YEAR(VLOOKUP(I494,$C$3:$L$6,8,0)))*12+MONTH(B494)-MONTH(VLOOKUP(I494,$C$3:$L$6,8,0))))*(VLOOKUP(I494,$C$3:$L$6,10,0)*VLOOKUP(I494,$C$3:$L$6,6,0)/12),0))</f>
        <v/>
      </c>
      <c r="K494" s="29" t="str">
        <f ca="1">IF(C494&lt;&gt;"",IF(I494&lt;&gt;"",IF(ISERROR(VLOOKUP(I494,$C$3:$L$6,10,0)),"",VLOOKUP(I494,$C$3:$L$6,10,0)+J494+IF(OR(VLOOKUP(I494,$C$3:$L$6,5,0)=Variables!$B$5,B494&gt;VLOOKUP(I494,$C$3:$L$6,8,0)),IF(VLOOKUP(I494,$C$3:$L$6,5,0)=Variables!$B$5,((YEAR(B494)-YEAR($B$12))*12+MONTH(B494)-MONTH($B$12)),((YEAR(B494)-YEAR(VLOOKUP(I494,$C$3:$L$6,8,0)))*12+MONTH(B494)-MONTH(VLOOKUP(I494,$C$3:$L$6,8,0))))*VLOOKUP(I494,$C$3:$L$6,7,0),0)),""),"")</f>
        <v/>
      </c>
      <c r="L494" s="29" t="str">
        <f t="shared" ca="1" si="49"/>
        <v/>
      </c>
      <c r="M494" s="10"/>
      <c r="N494" s="10"/>
    </row>
    <row r="495" spans="1:14" x14ac:dyDescent="0.25">
      <c r="A495" s="10"/>
      <c r="B495" s="14" t="str">
        <f t="shared" ca="1" si="50"/>
        <v/>
      </c>
      <c r="C495" s="14" t="str">
        <f ca="1">IF(I494&lt;&gt;Variables!$B$1,IF(H494&lt;&gt;0,C494,I494),"")</f>
        <v/>
      </c>
      <c r="D495" s="29" t="str">
        <f t="shared" ca="1" si="47"/>
        <v/>
      </c>
      <c r="E495" s="29" t="str">
        <f t="shared" ca="1" si="48"/>
        <v/>
      </c>
      <c r="F495" s="29" t="str">
        <f ca="1">IF(C495&lt;&gt;"",IF(OR(VLOOKUP(C495,$C$3:$L$6,5,0)=Variables!$B$5,B495&gt;VLOOKUP(C495,$C$3:$L$6,8,0)),-D495*VLOOKUP(C495,$C$3:$L$6,6,0)/12,0),"")</f>
        <v/>
      </c>
      <c r="G495" s="29" t="str">
        <f ca="1">IF(I495&lt;&gt;Variables!$B$1,IF(C495&lt;&gt;"",$I$9-E495-F495,""),-D495)</f>
        <v/>
      </c>
      <c r="H495" s="29" t="str">
        <f t="shared" ca="1" si="51"/>
        <v/>
      </c>
      <c r="I495" s="31" t="str">
        <f ca="1">IF(C495&lt;&gt;"",IF(D495+$I$9-E495-F495&gt;=0,IF(ISERROR(INDEX($C$3:$C$6,MATCH(C495,$C$3:$C$6,0)+1,0)),Variables!$B$1,INDEX($C$3:$C$6,MATCH(C495,$C$3:$C$6,0)+1,0)),""),"")</f>
        <v/>
      </c>
      <c r="J495" s="29" t="str">
        <f ca="1">IF(ISERROR(VLOOKUP(I495,$C$3:$L$6,5,0)),"",IF(OR(VLOOKUP(I495,$C$3:$L$6,5,0)=Variables!$B$5,B495&gt;VLOOKUP(I495,$C$3:$L$6,8,0)),IF(VLOOKUP(I495,$C$3:$L$6,5,0)=Variables!$B$5,((YEAR(B495)-YEAR($B$12))*12+MONTH(B495)-MONTH($B$12)),((YEAR(B495)-YEAR(VLOOKUP(I495,$C$3:$L$6,8,0)))*12+MONTH(B495)-MONTH(VLOOKUP(I495,$C$3:$L$6,8,0))))*(VLOOKUP(I495,$C$3:$L$6,10,0)*VLOOKUP(I495,$C$3:$L$6,6,0)/12),0))</f>
        <v/>
      </c>
      <c r="K495" s="29" t="str">
        <f ca="1">IF(C495&lt;&gt;"",IF(I495&lt;&gt;"",IF(ISERROR(VLOOKUP(I495,$C$3:$L$6,10,0)),"",VLOOKUP(I495,$C$3:$L$6,10,0)+J495+IF(OR(VLOOKUP(I495,$C$3:$L$6,5,0)=Variables!$B$5,B495&gt;VLOOKUP(I495,$C$3:$L$6,8,0)),IF(VLOOKUP(I495,$C$3:$L$6,5,0)=Variables!$B$5,((YEAR(B495)-YEAR($B$12))*12+MONTH(B495)-MONTH($B$12)),((YEAR(B495)-YEAR(VLOOKUP(I495,$C$3:$L$6,8,0)))*12+MONTH(B495)-MONTH(VLOOKUP(I495,$C$3:$L$6,8,0))))*VLOOKUP(I495,$C$3:$L$6,7,0),0)),""),"")</f>
        <v/>
      </c>
      <c r="L495" s="29" t="str">
        <f t="shared" ca="1" si="49"/>
        <v/>
      </c>
      <c r="M495" s="10"/>
      <c r="N495" s="10"/>
    </row>
    <row r="496" spans="1:14" x14ac:dyDescent="0.25">
      <c r="A496" s="10"/>
      <c r="B496" s="14" t="str">
        <f t="shared" ca="1" si="50"/>
        <v/>
      </c>
      <c r="C496" s="14" t="str">
        <f ca="1">IF(I495&lt;&gt;Variables!$B$1,IF(H495&lt;&gt;0,C495,I495),"")</f>
        <v/>
      </c>
      <c r="D496" s="29" t="str">
        <f t="shared" ca="1" si="47"/>
        <v/>
      </c>
      <c r="E496" s="29" t="str">
        <f t="shared" ca="1" si="48"/>
        <v/>
      </c>
      <c r="F496" s="29" t="str">
        <f ca="1">IF(C496&lt;&gt;"",IF(OR(VLOOKUP(C496,$C$3:$L$6,5,0)=Variables!$B$5,B496&gt;VLOOKUP(C496,$C$3:$L$6,8,0)),-D496*VLOOKUP(C496,$C$3:$L$6,6,0)/12,0),"")</f>
        <v/>
      </c>
      <c r="G496" s="29" t="str">
        <f ca="1">IF(I496&lt;&gt;Variables!$B$1,IF(C496&lt;&gt;"",$I$9-E496-F496,""),-D496)</f>
        <v/>
      </c>
      <c r="H496" s="29" t="str">
        <f t="shared" ca="1" si="51"/>
        <v/>
      </c>
      <c r="I496" s="31" t="str">
        <f ca="1">IF(C496&lt;&gt;"",IF(D496+$I$9-E496-F496&gt;=0,IF(ISERROR(INDEX($C$3:$C$6,MATCH(C496,$C$3:$C$6,0)+1,0)),Variables!$B$1,INDEX($C$3:$C$6,MATCH(C496,$C$3:$C$6,0)+1,0)),""),"")</f>
        <v/>
      </c>
      <c r="J496" s="29" t="str">
        <f ca="1">IF(ISERROR(VLOOKUP(I496,$C$3:$L$6,5,0)),"",IF(OR(VLOOKUP(I496,$C$3:$L$6,5,0)=Variables!$B$5,B496&gt;VLOOKUP(I496,$C$3:$L$6,8,0)),IF(VLOOKUP(I496,$C$3:$L$6,5,0)=Variables!$B$5,((YEAR(B496)-YEAR($B$12))*12+MONTH(B496)-MONTH($B$12)),((YEAR(B496)-YEAR(VLOOKUP(I496,$C$3:$L$6,8,0)))*12+MONTH(B496)-MONTH(VLOOKUP(I496,$C$3:$L$6,8,0))))*(VLOOKUP(I496,$C$3:$L$6,10,0)*VLOOKUP(I496,$C$3:$L$6,6,0)/12),0))</f>
        <v/>
      </c>
      <c r="K496" s="29" t="str">
        <f ca="1">IF(C496&lt;&gt;"",IF(I496&lt;&gt;"",IF(ISERROR(VLOOKUP(I496,$C$3:$L$6,10,0)),"",VLOOKUP(I496,$C$3:$L$6,10,0)+J496+IF(OR(VLOOKUP(I496,$C$3:$L$6,5,0)=Variables!$B$5,B496&gt;VLOOKUP(I496,$C$3:$L$6,8,0)),IF(VLOOKUP(I496,$C$3:$L$6,5,0)=Variables!$B$5,((YEAR(B496)-YEAR($B$12))*12+MONTH(B496)-MONTH($B$12)),((YEAR(B496)-YEAR(VLOOKUP(I496,$C$3:$L$6,8,0)))*12+MONTH(B496)-MONTH(VLOOKUP(I496,$C$3:$L$6,8,0))))*VLOOKUP(I496,$C$3:$L$6,7,0),0)),""),"")</f>
        <v/>
      </c>
      <c r="L496" s="29" t="str">
        <f t="shared" ca="1" si="49"/>
        <v/>
      </c>
      <c r="M496" s="10"/>
      <c r="N496" s="10"/>
    </row>
    <row r="497" spans="1:14" x14ac:dyDescent="0.25">
      <c r="A497" s="10"/>
      <c r="B497" s="14" t="str">
        <f t="shared" ca="1" si="50"/>
        <v/>
      </c>
      <c r="C497" s="14" t="str">
        <f ca="1">IF(I496&lt;&gt;Variables!$B$1,IF(H496&lt;&gt;0,C496,I496),"")</f>
        <v/>
      </c>
      <c r="D497" s="29" t="str">
        <f t="shared" ca="1" si="47"/>
        <v/>
      </c>
      <c r="E497" s="29" t="str">
        <f t="shared" ca="1" si="48"/>
        <v/>
      </c>
      <c r="F497" s="29" t="str">
        <f ca="1">IF(C497&lt;&gt;"",IF(OR(VLOOKUP(C497,$C$3:$L$6,5,0)=Variables!$B$5,B497&gt;VLOOKUP(C497,$C$3:$L$6,8,0)),-D497*VLOOKUP(C497,$C$3:$L$6,6,0)/12,0),"")</f>
        <v/>
      </c>
      <c r="G497" s="29" t="str">
        <f ca="1">IF(I497&lt;&gt;Variables!$B$1,IF(C497&lt;&gt;"",$I$9-E497-F497,""),-D497)</f>
        <v/>
      </c>
      <c r="H497" s="29" t="str">
        <f t="shared" ca="1" si="51"/>
        <v/>
      </c>
      <c r="I497" s="31" t="str">
        <f ca="1">IF(C497&lt;&gt;"",IF(D497+$I$9-E497-F497&gt;=0,IF(ISERROR(INDEX($C$3:$C$6,MATCH(C497,$C$3:$C$6,0)+1,0)),Variables!$B$1,INDEX($C$3:$C$6,MATCH(C497,$C$3:$C$6,0)+1,0)),""),"")</f>
        <v/>
      </c>
      <c r="J497" s="29" t="str">
        <f ca="1">IF(ISERROR(VLOOKUP(I497,$C$3:$L$6,5,0)),"",IF(OR(VLOOKUP(I497,$C$3:$L$6,5,0)=Variables!$B$5,B497&gt;VLOOKUP(I497,$C$3:$L$6,8,0)),IF(VLOOKUP(I497,$C$3:$L$6,5,0)=Variables!$B$5,((YEAR(B497)-YEAR($B$12))*12+MONTH(B497)-MONTH($B$12)),((YEAR(B497)-YEAR(VLOOKUP(I497,$C$3:$L$6,8,0)))*12+MONTH(B497)-MONTH(VLOOKUP(I497,$C$3:$L$6,8,0))))*(VLOOKUP(I497,$C$3:$L$6,10,0)*VLOOKUP(I497,$C$3:$L$6,6,0)/12),0))</f>
        <v/>
      </c>
      <c r="K497" s="29" t="str">
        <f ca="1">IF(C497&lt;&gt;"",IF(I497&lt;&gt;"",IF(ISERROR(VLOOKUP(I497,$C$3:$L$6,10,0)),"",VLOOKUP(I497,$C$3:$L$6,10,0)+J497+IF(OR(VLOOKUP(I497,$C$3:$L$6,5,0)=Variables!$B$5,B497&gt;VLOOKUP(I497,$C$3:$L$6,8,0)),IF(VLOOKUP(I497,$C$3:$L$6,5,0)=Variables!$B$5,((YEAR(B497)-YEAR($B$12))*12+MONTH(B497)-MONTH($B$12)),((YEAR(B497)-YEAR(VLOOKUP(I497,$C$3:$L$6,8,0)))*12+MONTH(B497)-MONTH(VLOOKUP(I497,$C$3:$L$6,8,0))))*VLOOKUP(I497,$C$3:$L$6,7,0),0)),""),"")</f>
        <v/>
      </c>
      <c r="L497" s="29" t="str">
        <f t="shared" ca="1" si="49"/>
        <v/>
      </c>
      <c r="M497" s="10"/>
      <c r="N497" s="10"/>
    </row>
    <row r="498" spans="1:14" x14ac:dyDescent="0.25">
      <c r="A498" s="10"/>
      <c r="B498" s="14" t="str">
        <f t="shared" ca="1" si="50"/>
        <v/>
      </c>
      <c r="C498" s="14" t="str">
        <f ca="1">IF(I497&lt;&gt;Variables!$B$1,IF(H497&lt;&gt;0,C497,I497),"")</f>
        <v/>
      </c>
      <c r="D498" s="29" t="str">
        <f t="shared" ca="1" si="47"/>
        <v/>
      </c>
      <c r="E498" s="29" t="str">
        <f t="shared" ca="1" si="48"/>
        <v/>
      </c>
      <c r="F498" s="29" t="str">
        <f ca="1">IF(C498&lt;&gt;"",IF(OR(VLOOKUP(C498,$C$3:$L$6,5,0)=Variables!$B$5,B498&gt;VLOOKUP(C498,$C$3:$L$6,8,0)),-D498*VLOOKUP(C498,$C$3:$L$6,6,0)/12,0),"")</f>
        <v/>
      </c>
      <c r="G498" s="29" t="str">
        <f ca="1">IF(I498&lt;&gt;Variables!$B$1,IF(C498&lt;&gt;"",$I$9-E498-F498,""),-D498)</f>
        <v/>
      </c>
      <c r="H498" s="29" t="str">
        <f t="shared" ca="1" si="51"/>
        <v/>
      </c>
      <c r="I498" s="31" t="str">
        <f ca="1">IF(C498&lt;&gt;"",IF(D498+$I$9-E498-F498&gt;=0,IF(ISERROR(INDEX($C$3:$C$6,MATCH(C498,$C$3:$C$6,0)+1,0)),Variables!$B$1,INDEX($C$3:$C$6,MATCH(C498,$C$3:$C$6,0)+1,0)),""),"")</f>
        <v/>
      </c>
      <c r="J498" s="29" t="str">
        <f ca="1">IF(ISERROR(VLOOKUP(I498,$C$3:$L$6,5,0)),"",IF(OR(VLOOKUP(I498,$C$3:$L$6,5,0)=Variables!$B$5,B498&gt;VLOOKUP(I498,$C$3:$L$6,8,0)),IF(VLOOKUP(I498,$C$3:$L$6,5,0)=Variables!$B$5,((YEAR(B498)-YEAR($B$12))*12+MONTH(B498)-MONTH($B$12)),((YEAR(B498)-YEAR(VLOOKUP(I498,$C$3:$L$6,8,0)))*12+MONTH(B498)-MONTH(VLOOKUP(I498,$C$3:$L$6,8,0))))*(VLOOKUP(I498,$C$3:$L$6,10,0)*VLOOKUP(I498,$C$3:$L$6,6,0)/12),0))</f>
        <v/>
      </c>
      <c r="K498" s="29" t="str">
        <f ca="1">IF(C498&lt;&gt;"",IF(I498&lt;&gt;"",IF(ISERROR(VLOOKUP(I498,$C$3:$L$6,10,0)),"",VLOOKUP(I498,$C$3:$L$6,10,0)+J498+IF(OR(VLOOKUP(I498,$C$3:$L$6,5,0)=Variables!$B$5,B498&gt;VLOOKUP(I498,$C$3:$L$6,8,0)),IF(VLOOKUP(I498,$C$3:$L$6,5,0)=Variables!$B$5,((YEAR(B498)-YEAR($B$12))*12+MONTH(B498)-MONTH($B$12)),((YEAR(B498)-YEAR(VLOOKUP(I498,$C$3:$L$6,8,0)))*12+MONTH(B498)-MONTH(VLOOKUP(I498,$C$3:$L$6,8,0))))*VLOOKUP(I498,$C$3:$L$6,7,0),0)),""),"")</f>
        <v/>
      </c>
      <c r="L498" s="29" t="str">
        <f t="shared" ca="1" si="49"/>
        <v/>
      </c>
      <c r="M498" s="10"/>
      <c r="N498" s="10"/>
    </row>
    <row r="499" spans="1:14" x14ac:dyDescent="0.25">
      <c r="A499" s="10"/>
      <c r="B499" s="14" t="str">
        <f t="shared" ca="1" si="50"/>
        <v/>
      </c>
      <c r="C499" s="14" t="str">
        <f ca="1">IF(I498&lt;&gt;Variables!$B$1,IF(H498&lt;&gt;0,C498,I498),"")</f>
        <v/>
      </c>
      <c r="D499" s="29" t="str">
        <f t="shared" ca="1" si="47"/>
        <v/>
      </c>
      <c r="E499" s="29" t="str">
        <f t="shared" ca="1" si="48"/>
        <v/>
      </c>
      <c r="F499" s="29" t="str">
        <f ca="1">IF(C499&lt;&gt;"",IF(OR(VLOOKUP(C499,$C$3:$L$6,5,0)=Variables!$B$5,B499&gt;VLOOKUP(C499,$C$3:$L$6,8,0)),-D499*VLOOKUP(C499,$C$3:$L$6,6,0)/12,0),"")</f>
        <v/>
      </c>
      <c r="G499" s="29" t="str">
        <f ca="1">IF(I499&lt;&gt;Variables!$B$1,IF(C499&lt;&gt;"",$I$9-E499-F499,""),-D499)</f>
        <v/>
      </c>
      <c r="H499" s="29" t="str">
        <f t="shared" ca="1" si="51"/>
        <v/>
      </c>
      <c r="I499" s="31" t="str">
        <f ca="1">IF(C499&lt;&gt;"",IF(D499+$I$9-E499-F499&gt;=0,IF(ISERROR(INDEX($C$3:$C$6,MATCH(C499,$C$3:$C$6,0)+1,0)),Variables!$B$1,INDEX($C$3:$C$6,MATCH(C499,$C$3:$C$6,0)+1,0)),""),"")</f>
        <v/>
      </c>
      <c r="J499" s="29" t="str">
        <f ca="1">IF(ISERROR(VLOOKUP(I499,$C$3:$L$6,5,0)),"",IF(OR(VLOOKUP(I499,$C$3:$L$6,5,0)=Variables!$B$5,B499&gt;VLOOKUP(I499,$C$3:$L$6,8,0)),IF(VLOOKUP(I499,$C$3:$L$6,5,0)=Variables!$B$5,((YEAR(B499)-YEAR($B$12))*12+MONTH(B499)-MONTH($B$12)),((YEAR(B499)-YEAR(VLOOKUP(I499,$C$3:$L$6,8,0)))*12+MONTH(B499)-MONTH(VLOOKUP(I499,$C$3:$L$6,8,0))))*(VLOOKUP(I499,$C$3:$L$6,10,0)*VLOOKUP(I499,$C$3:$L$6,6,0)/12),0))</f>
        <v/>
      </c>
      <c r="K499" s="29" t="str">
        <f ca="1">IF(C499&lt;&gt;"",IF(I499&lt;&gt;"",IF(ISERROR(VLOOKUP(I499,$C$3:$L$6,10,0)),"",VLOOKUP(I499,$C$3:$L$6,10,0)+J499+IF(OR(VLOOKUP(I499,$C$3:$L$6,5,0)=Variables!$B$5,B499&gt;VLOOKUP(I499,$C$3:$L$6,8,0)),IF(VLOOKUP(I499,$C$3:$L$6,5,0)=Variables!$B$5,((YEAR(B499)-YEAR($B$12))*12+MONTH(B499)-MONTH($B$12)),((YEAR(B499)-YEAR(VLOOKUP(I499,$C$3:$L$6,8,0)))*12+MONTH(B499)-MONTH(VLOOKUP(I499,$C$3:$L$6,8,0))))*VLOOKUP(I499,$C$3:$L$6,7,0),0)),""),"")</f>
        <v/>
      </c>
      <c r="L499" s="29" t="str">
        <f t="shared" ca="1" si="49"/>
        <v/>
      </c>
      <c r="M499" s="10"/>
      <c r="N499" s="10"/>
    </row>
    <row r="500" spans="1:14" x14ac:dyDescent="0.25">
      <c r="A500" s="10"/>
      <c r="B500" s="14" t="str">
        <f t="shared" ca="1" si="50"/>
        <v/>
      </c>
      <c r="C500" s="14" t="str">
        <f ca="1">IF(I499&lt;&gt;Variables!$B$1,IF(H499&lt;&gt;0,C499,I499),"")</f>
        <v/>
      </c>
      <c r="D500" s="29" t="str">
        <f t="shared" ca="1" si="47"/>
        <v/>
      </c>
      <c r="E500" s="29" t="str">
        <f t="shared" ca="1" si="48"/>
        <v/>
      </c>
      <c r="F500" s="29" t="str">
        <f ca="1">IF(C500&lt;&gt;"",IF(OR(VLOOKUP(C500,$C$3:$L$6,5,0)=Variables!$B$5,B500&gt;VLOOKUP(C500,$C$3:$L$6,8,0)),-D500*VLOOKUP(C500,$C$3:$L$6,6,0)/12,0),"")</f>
        <v/>
      </c>
      <c r="G500" s="29" t="str">
        <f ca="1">IF(I500&lt;&gt;Variables!$B$1,IF(C500&lt;&gt;"",$I$9-E500-F500,""),-D500)</f>
        <v/>
      </c>
      <c r="H500" s="29" t="str">
        <f t="shared" ca="1" si="51"/>
        <v/>
      </c>
      <c r="I500" s="31" t="str">
        <f ca="1">IF(C500&lt;&gt;"",IF(D500+$I$9-E500-F500&gt;=0,IF(ISERROR(INDEX($C$3:$C$6,MATCH(C500,$C$3:$C$6,0)+1,0)),Variables!$B$1,INDEX($C$3:$C$6,MATCH(C500,$C$3:$C$6,0)+1,0)),""),"")</f>
        <v/>
      </c>
      <c r="J500" s="29" t="str">
        <f ca="1">IF(ISERROR(VLOOKUP(I500,$C$3:$L$6,5,0)),"",IF(OR(VLOOKUP(I500,$C$3:$L$6,5,0)=Variables!$B$5,B500&gt;VLOOKUP(I500,$C$3:$L$6,8,0)),IF(VLOOKUP(I500,$C$3:$L$6,5,0)=Variables!$B$5,((YEAR(B500)-YEAR($B$12))*12+MONTH(B500)-MONTH($B$12)),((YEAR(B500)-YEAR(VLOOKUP(I500,$C$3:$L$6,8,0)))*12+MONTH(B500)-MONTH(VLOOKUP(I500,$C$3:$L$6,8,0))))*(VLOOKUP(I500,$C$3:$L$6,10,0)*VLOOKUP(I500,$C$3:$L$6,6,0)/12),0))</f>
        <v/>
      </c>
      <c r="K500" s="29" t="str">
        <f ca="1">IF(C500&lt;&gt;"",IF(I500&lt;&gt;"",IF(ISERROR(VLOOKUP(I500,$C$3:$L$6,10,0)),"",VLOOKUP(I500,$C$3:$L$6,10,0)+J500+IF(OR(VLOOKUP(I500,$C$3:$L$6,5,0)=Variables!$B$5,B500&gt;VLOOKUP(I500,$C$3:$L$6,8,0)),IF(VLOOKUP(I500,$C$3:$L$6,5,0)=Variables!$B$5,((YEAR(B500)-YEAR($B$12))*12+MONTH(B500)-MONTH($B$12)),((YEAR(B500)-YEAR(VLOOKUP(I500,$C$3:$L$6,8,0)))*12+MONTH(B500)-MONTH(VLOOKUP(I500,$C$3:$L$6,8,0))))*VLOOKUP(I500,$C$3:$L$6,7,0),0)),""),"")</f>
        <v/>
      </c>
      <c r="L500" s="29" t="str">
        <f t="shared" ca="1" si="49"/>
        <v/>
      </c>
      <c r="M500" s="10"/>
      <c r="N500" s="10"/>
    </row>
    <row r="501" spans="1:14" x14ac:dyDescent="0.25">
      <c r="A501" s="10"/>
      <c r="B501" s="14" t="str">
        <f t="shared" ca="1" si="50"/>
        <v/>
      </c>
      <c r="C501" s="14" t="str">
        <f ca="1">IF(I500&lt;&gt;Variables!$B$1,IF(H500&lt;&gt;0,C500,I500),"")</f>
        <v/>
      </c>
      <c r="D501" s="29" t="str">
        <f t="shared" ca="1" si="47"/>
        <v/>
      </c>
      <c r="E501" s="29" t="str">
        <f t="shared" ca="1" si="48"/>
        <v/>
      </c>
      <c r="F501" s="29" t="str">
        <f ca="1">IF(C501&lt;&gt;"",IF(OR(VLOOKUP(C501,$C$3:$L$6,5,0)=Variables!$B$5,B501&gt;VLOOKUP(C501,$C$3:$L$6,8,0)),-D501*VLOOKUP(C501,$C$3:$L$6,6,0)/12,0),"")</f>
        <v/>
      </c>
      <c r="G501" s="29" t="str">
        <f ca="1">IF(I501&lt;&gt;Variables!$B$1,IF(C501&lt;&gt;"",$I$9-E501-F501,""),-D501)</f>
        <v/>
      </c>
      <c r="H501" s="29" t="str">
        <f t="shared" ca="1" si="51"/>
        <v/>
      </c>
      <c r="I501" s="31" t="str">
        <f ca="1">IF(C501&lt;&gt;"",IF(D501+$I$9-E501-F501&gt;=0,IF(ISERROR(INDEX($C$3:$C$6,MATCH(C501,$C$3:$C$6,0)+1,0)),Variables!$B$1,INDEX($C$3:$C$6,MATCH(C501,$C$3:$C$6,0)+1,0)),""),"")</f>
        <v/>
      </c>
      <c r="J501" s="29" t="str">
        <f ca="1">IF(ISERROR(VLOOKUP(I501,$C$3:$L$6,5,0)),"",IF(OR(VLOOKUP(I501,$C$3:$L$6,5,0)=Variables!$B$5,B501&gt;VLOOKUP(I501,$C$3:$L$6,8,0)),IF(VLOOKUP(I501,$C$3:$L$6,5,0)=Variables!$B$5,((YEAR(B501)-YEAR($B$12))*12+MONTH(B501)-MONTH($B$12)),((YEAR(B501)-YEAR(VLOOKUP(I501,$C$3:$L$6,8,0)))*12+MONTH(B501)-MONTH(VLOOKUP(I501,$C$3:$L$6,8,0))))*(VLOOKUP(I501,$C$3:$L$6,10,0)*VLOOKUP(I501,$C$3:$L$6,6,0)/12),0))</f>
        <v/>
      </c>
      <c r="K501" s="29" t="str">
        <f ca="1">IF(C501&lt;&gt;"",IF(I501&lt;&gt;"",IF(ISERROR(VLOOKUP(I501,$C$3:$L$6,10,0)),"",VLOOKUP(I501,$C$3:$L$6,10,0)+J501+IF(OR(VLOOKUP(I501,$C$3:$L$6,5,0)=Variables!$B$5,B501&gt;VLOOKUP(I501,$C$3:$L$6,8,0)),IF(VLOOKUP(I501,$C$3:$L$6,5,0)=Variables!$B$5,((YEAR(B501)-YEAR($B$12))*12+MONTH(B501)-MONTH($B$12)),((YEAR(B501)-YEAR(VLOOKUP(I501,$C$3:$L$6,8,0)))*12+MONTH(B501)-MONTH(VLOOKUP(I501,$C$3:$L$6,8,0))))*VLOOKUP(I501,$C$3:$L$6,7,0),0)),""),"")</f>
        <v/>
      </c>
      <c r="L501" s="29" t="str">
        <f t="shared" ca="1" si="49"/>
        <v/>
      </c>
      <c r="M501" s="10"/>
      <c r="N501" s="10"/>
    </row>
    <row r="502" spans="1:14" x14ac:dyDescent="0.25">
      <c r="A502" s="10"/>
      <c r="B502" s="14" t="str">
        <f t="shared" ca="1" si="50"/>
        <v/>
      </c>
      <c r="C502" s="14" t="str">
        <f ca="1">IF(I501&lt;&gt;Variables!$B$1,IF(H501&lt;&gt;0,C501,I501),"")</f>
        <v/>
      </c>
      <c r="D502" s="29" t="str">
        <f t="shared" ca="1" si="47"/>
        <v/>
      </c>
      <c r="E502" s="29" t="str">
        <f t="shared" ca="1" si="48"/>
        <v/>
      </c>
      <c r="F502" s="29" t="str">
        <f ca="1">IF(C502&lt;&gt;"",IF(OR(VLOOKUP(C502,$C$3:$L$6,5,0)=Variables!$B$5,B502&gt;VLOOKUP(C502,$C$3:$L$6,8,0)),-D502*VLOOKUP(C502,$C$3:$L$6,6,0)/12,0),"")</f>
        <v/>
      </c>
      <c r="G502" s="29" t="str">
        <f ca="1">IF(I502&lt;&gt;Variables!$B$1,IF(C502&lt;&gt;"",$I$9-E502-F502,""),-D502)</f>
        <v/>
      </c>
      <c r="H502" s="29" t="str">
        <f t="shared" ca="1" si="51"/>
        <v/>
      </c>
      <c r="I502" s="31" t="str">
        <f ca="1">IF(C502&lt;&gt;"",IF(D502+$I$9-E502-F502&gt;=0,IF(ISERROR(INDEX($C$3:$C$6,MATCH(C502,$C$3:$C$6,0)+1,0)),Variables!$B$1,INDEX($C$3:$C$6,MATCH(C502,$C$3:$C$6,0)+1,0)),""),"")</f>
        <v/>
      </c>
      <c r="J502" s="29" t="str">
        <f ca="1">IF(ISERROR(VLOOKUP(I502,$C$3:$L$6,5,0)),"",IF(OR(VLOOKUP(I502,$C$3:$L$6,5,0)=Variables!$B$5,B502&gt;VLOOKUP(I502,$C$3:$L$6,8,0)),IF(VLOOKUP(I502,$C$3:$L$6,5,0)=Variables!$B$5,((YEAR(B502)-YEAR($B$12))*12+MONTH(B502)-MONTH($B$12)),((YEAR(B502)-YEAR(VLOOKUP(I502,$C$3:$L$6,8,0)))*12+MONTH(B502)-MONTH(VLOOKUP(I502,$C$3:$L$6,8,0))))*(VLOOKUP(I502,$C$3:$L$6,10,0)*VLOOKUP(I502,$C$3:$L$6,6,0)/12),0))</f>
        <v/>
      </c>
      <c r="K502" s="29" t="str">
        <f ca="1">IF(C502&lt;&gt;"",IF(I502&lt;&gt;"",IF(ISERROR(VLOOKUP(I502,$C$3:$L$6,10,0)),"",VLOOKUP(I502,$C$3:$L$6,10,0)+J502+IF(OR(VLOOKUP(I502,$C$3:$L$6,5,0)=Variables!$B$5,B502&gt;VLOOKUP(I502,$C$3:$L$6,8,0)),IF(VLOOKUP(I502,$C$3:$L$6,5,0)=Variables!$B$5,((YEAR(B502)-YEAR($B$12))*12+MONTH(B502)-MONTH($B$12)),((YEAR(B502)-YEAR(VLOOKUP(I502,$C$3:$L$6,8,0)))*12+MONTH(B502)-MONTH(VLOOKUP(I502,$C$3:$L$6,8,0))))*VLOOKUP(I502,$C$3:$L$6,7,0),0)),""),"")</f>
        <v/>
      </c>
      <c r="L502" s="29" t="str">
        <f t="shared" ca="1" si="49"/>
        <v/>
      </c>
      <c r="M502" s="10"/>
      <c r="N502" s="10"/>
    </row>
    <row r="503" spans="1:14" x14ac:dyDescent="0.25">
      <c r="A503" s="10"/>
      <c r="B503" s="14" t="str">
        <f t="shared" ca="1" si="50"/>
        <v/>
      </c>
      <c r="C503" s="14" t="str">
        <f ca="1">IF(I502&lt;&gt;Variables!$B$1,IF(H502&lt;&gt;0,C502,I502),"")</f>
        <v/>
      </c>
      <c r="D503" s="29" t="str">
        <f t="shared" ca="1" si="47"/>
        <v/>
      </c>
      <c r="E503" s="29" t="str">
        <f t="shared" ca="1" si="48"/>
        <v/>
      </c>
      <c r="F503" s="29" t="str">
        <f ca="1">IF(C503&lt;&gt;"",IF(OR(VLOOKUP(C503,$C$3:$L$6,5,0)=Variables!$B$5,B503&gt;VLOOKUP(C503,$C$3:$L$6,8,0)),-D503*VLOOKUP(C503,$C$3:$L$6,6,0)/12,0),"")</f>
        <v/>
      </c>
      <c r="G503" s="29" t="str">
        <f ca="1">IF(I503&lt;&gt;Variables!$B$1,IF(C503&lt;&gt;"",$I$9-E503-F503,""),-D503)</f>
        <v/>
      </c>
      <c r="H503" s="29" t="str">
        <f t="shared" ca="1" si="51"/>
        <v/>
      </c>
      <c r="I503" s="31" t="str">
        <f ca="1">IF(C503&lt;&gt;"",IF(D503+$I$9-E503-F503&gt;=0,IF(ISERROR(INDEX($C$3:$C$6,MATCH(C503,$C$3:$C$6,0)+1,0)),Variables!$B$1,INDEX($C$3:$C$6,MATCH(C503,$C$3:$C$6,0)+1,0)),""),"")</f>
        <v/>
      </c>
      <c r="J503" s="29" t="str">
        <f ca="1">IF(ISERROR(VLOOKUP(I503,$C$3:$L$6,5,0)),"",IF(OR(VLOOKUP(I503,$C$3:$L$6,5,0)=Variables!$B$5,B503&gt;VLOOKUP(I503,$C$3:$L$6,8,0)),IF(VLOOKUP(I503,$C$3:$L$6,5,0)=Variables!$B$5,((YEAR(B503)-YEAR($B$12))*12+MONTH(B503)-MONTH($B$12)),((YEAR(B503)-YEAR(VLOOKUP(I503,$C$3:$L$6,8,0)))*12+MONTH(B503)-MONTH(VLOOKUP(I503,$C$3:$L$6,8,0))))*(VLOOKUP(I503,$C$3:$L$6,10,0)*VLOOKUP(I503,$C$3:$L$6,6,0)/12),0))</f>
        <v/>
      </c>
      <c r="K503" s="29" t="str">
        <f ca="1">IF(C503&lt;&gt;"",IF(I503&lt;&gt;"",IF(ISERROR(VLOOKUP(I503,$C$3:$L$6,10,0)),"",VLOOKUP(I503,$C$3:$L$6,10,0)+J503+IF(OR(VLOOKUP(I503,$C$3:$L$6,5,0)=Variables!$B$5,B503&gt;VLOOKUP(I503,$C$3:$L$6,8,0)),IF(VLOOKUP(I503,$C$3:$L$6,5,0)=Variables!$B$5,((YEAR(B503)-YEAR($B$12))*12+MONTH(B503)-MONTH($B$12)),((YEAR(B503)-YEAR(VLOOKUP(I503,$C$3:$L$6,8,0)))*12+MONTH(B503)-MONTH(VLOOKUP(I503,$C$3:$L$6,8,0))))*VLOOKUP(I503,$C$3:$L$6,7,0),0)),""),"")</f>
        <v/>
      </c>
      <c r="L503" s="29" t="str">
        <f t="shared" ca="1" si="49"/>
        <v/>
      </c>
      <c r="M503" s="10"/>
      <c r="N503" s="10"/>
    </row>
    <row r="504" spans="1:14" x14ac:dyDescent="0.25">
      <c r="A504" s="10"/>
      <c r="B504" s="14" t="str">
        <f t="shared" ca="1" si="50"/>
        <v/>
      </c>
      <c r="C504" s="14" t="str">
        <f ca="1">IF(I503&lt;&gt;Variables!$B$1,IF(H503&lt;&gt;0,C503,I503),"")</f>
        <v/>
      </c>
      <c r="D504" s="29" t="str">
        <f t="shared" ca="1" si="47"/>
        <v/>
      </c>
      <c r="E504" s="29" t="str">
        <f t="shared" ca="1" si="48"/>
        <v/>
      </c>
      <c r="F504" s="29" t="str">
        <f ca="1">IF(C504&lt;&gt;"",IF(OR(VLOOKUP(C504,$C$3:$L$6,5,0)=Variables!$B$5,B504&gt;VLOOKUP(C504,$C$3:$L$6,8,0)),-D504*VLOOKUP(C504,$C$3:$L$6,6,0)/12,0),"")</f>
        <v/>
      </c>
      <c r="G504" s="29" t="str">
        <f ca="1">IF(I504&lt;&gt;Variables!$B$1,IF(C504&lt;&gt;"",$I$9-E504-F504,""),-D504)</f>
        <v/>
      </c>
      <c r="H504" s="29" t="str">
        <f t="shared" ca="1" si="51"/>
        <v/>
      </c>
      <c r="I504" s="31" t="str">
        <f ca="1">IF(C504&lt;&gt;"",IF(D504+$I$9-E504-F504&gt;=0,IF(ISERROR(INDEX($C$3:$C$6,MATCH(C504,$C$3:$C$6,0)+1,0)),Variables!$B$1,INDEX($C$3:$C$6,MATCH(C504,$C$3:$C$6,0)+1,0)),""),"")</f>
        <v/>
      </c>
      <c r="J504" s="29" t="str">
        <f ca="1">IF(ISERROR(VLOOKUP(I504,$C$3:$L$6,5,0)),"",IF(OR(VLOOKUP(I504,$C$3:$L$6,5,0)=Variables!$B$5,B504&gt;VLOOKUP(I504,$C$3:$L$6,8,0)),IF(VLOOKUP(I504,$C$3:$L$6,5,0)=Variables!$B$5,((YEAR(B504)-YEAR($B$12))*12+MONTH(B504)-MONTH($B$12)),((YEAR(B504)-YEAR(VLOOKUP(I504,$C$3:$L$6,8,0)))*12+MONTH(B504)-MONTH(VLOOKUP(I504,$C$3:$L$6,8,0))))*(VLOOKUP(I504,$C$3:$L$6,10,0)*VLOOKUP(I504,$C$3:$L$6,6,0)/12),0))</f>
        <v/>
      </c>
      <c r="K504" s="29" t="str">
        <f ca="1">IF(C504&lt;&gt;"",IF(I504&lt;&gt;"",IF(ISERROR(VLOOKUP(I504,$C$3:$L$6,10,0)),"",VLOOKUP(I504,$C$3:$L$6,10,0)+J504+IF(OR(VLOOKUP(I504,$C$3:$L$6,5,0)=Variables!$B$5,B504&gt;VLOOKUP(I504,$C$3:$L$6,8,0)),IF(VLOOKUP(I504,$C$3:$L$6,5,0)=Variables!$B$5,((YEAR(B504)-YEAR($B$12))*12+MONTH(B504)-MONTH($B$12)),((YEAR(B504)-YEAR(VLOOKUP(I504,$C$3:$L$6,8,0)))*12+MONTH(B504)-MONTH(VLOOKUP(I504,$C$3:$L$6,8,0))))*VLOOKUP(I504,$C$3:$L$6,7,0),0)),""),"")</f>
        <v/>
      </c>
      <c r="L504" s="29" t="str">
        <f t="shared" ca="1" si="49"/>
        <v/>
      </c>
      <c r="M504" s="10"/>
      <c r="N504" s="10"/>
    </row>
    <row r="505" spans="1:14" x14ac:dyDescent="0.25">
      <c r="A505" s="10"/>
      <c r="B505" s="14" t="str">
        <f t="shared" ca="1" si="50"/>
        <v/>
      </c>
      <c r="C505" s="14" t="str">
        <f ca="1">IF(I504&lt;&gt;Variables!$B$1,IF(H504&lt;&gt;0,C504,I504),"")</f>
        <v/>
      </c>
      <c r="D505" s="29" t="str">
        <f t="shared" ca="1" si="47"/>
        <v/>
      </c>
      <c r="E505" s="29" t="str">
        <f t="shared" ca="1" si="48"/>
        <v/>
      </c>
      <c r="F505" s="29" t="str">
        <f ca="1">IF(C505&lt;&gt;"",IF(OR(VLOOKUP(C505,$C$3:$L$6,5,0)=Variables!$B$5,B505&gt;VLOOKUP(C505,$C$3:$L$6,8,0)),-D505*VLOOKUP(C505,$C$3:$L$6,6,0)/12,0),"")</f>
        <v/>
      </c>
      <c r="G505" s="29" t="str">
        <f ca="1">IF(I505&lt;&gt;Variables!$B$1,IF(C505&lt;&gt;"",$I$9-E505-F505,""),-D505)</f>
        <v/>
      </c>
      <c r="H505" s="29" t="str">
        <f t="shared" ca="1" si="51"/>
        <v/>
      </c>
      <c r="I505" s="31" t="str">
        <f ca="1">IF(C505&lt;&gt;"",IF(D505+$I$9-E505-F505&gt;=0,IF(ISERROR(INDEX($C$3:$C$6,MATCH(C505,$C$3:$C$6,0)+1,0)),Variables!$B$1,INDEX($C$3:$C$6,MATCH(C505,$C$3:$C$6,0)+1,0)),""),"")</f>
        <v/>
      </c>
      <c r="J505" s="29" t="str">
        <f ca="1">IF(ISERROR(VLOOKUP(I505,$C$3:$L$6,5,0)),"",IF(OR(VLOOKUP(I505,$C$3:$L$6,5,0)=Variables!$B$5,B505&gt;VLOOKUP(I505,$C$3:$L$6,8,0)),IF(VLOOKUP(I505,$C$3:$L$6,5,0)=Variables!$B$5,((YEAR(B505)-YEAR($B$12))*12+MONTH(B505)-MONTH($B$12)),((YEAR(B505)-YEAR(VLOOKUP(I505,$C$3:$L$6,8,0)))*12+MONTH(B505)-MONTH(VLOOKUP(I505,$C$3:$L$6,8,0))))*(VLOOKUP(I505,$C$3:$L$6,10,0)*VLOOKUP(I505,$C$3:$L$6,6,0)/12),0))</f>
        <v/>
      </c>
      <c r="K505" s="29" t="str">
        <f ca="1">IF(C505&lt;&gt;"",IF(I505&lt;&gt;"",IF(ISERROR(VLOOKUP(I505,$C$3:$L$6,10,0)),"",VLOOKUP(I505,$C$3:$L$6,10,0)+J505+IF(OR(VLOOKUP(I505,$C$3:$L$6,5,0)=Variables!$B$5,B505&gt;VLOOKUP(I505,$C$3:$L$6,8,0)),IF(VLOOKUP(I505,$C$3:$L$6,5,0)=Variables!$B$5,((YEAR(B505)-YEAR($B$12))*12+MONTH(B505)-MONTH($B$12)),((YEAR(B505)-YEAR(VLOOKUP(I505,$C$3:$L$6,8,0)))*12+MONTH(B505)-MONTH(VLOOKUP(I505,$C$3:$L$6,8,0))))*VLOOKUP(I505,$C$3:$L$6,7,0),0)),""),"")</f>
        <v/>
      </c>
      <c r="L505" s="29" t="str">
        <f t="shared" ca="1" si="49"/>
        <v/>
      </c>
      <c r="M505" s="10"/>
      <c r="N505" s="10"/>
    </row>
    <row r="506" spans="1:14" x14ac:dyDescent="0.25">
      <c r="A506" s="10"/>
      <c r="B506" s="14" t="str">
        <f t="shared" ca="1" si="50"/>
        <v/>
      </c>
      <c r="C506" s="14" t="str">
        <f ca="1">IF(I505&lt;&gt;Variables!$B$1,IF(H505&lt;&gt;0,C505,I505),"")</f>
        <v/>
      </c>
      <c r="D506" s="29" t="str">
        <f t="shared" ca="1" si="47"/>
        <v/>
      </c>
      <c r="E506" s="29" t="str">
        <f t="shared" ca="1" si="48"/>
        <v/>
      </c>
      <c r="F506" s="29" t="str">
        <f ca="1">IF(C506&lt;&gt;"",IF(OR(VLOOKUP(C506,$C$3:$L$6,5,0)=Variables!$B$5,B506&gt;VLOOKUP(C506,$C$3:$L$6,8,0)),-D506*VLOOKUP(C506,$C$3:$L$6,6,0)/12,0),"")</f>
        <v/>
      </c>
      <c r="G506" s="29" t="str">
        <f ca="1">IF(I506&lt;&gt;Variables!$B$1,IF(C506&lt;&gt;"",$I$9-E506-F506,""),-D506)</f>
        <v/>
      </c>
      <c r="H506" s="29" t="str">
        <f t="shared" ca="1" si="51"/>
        <v/>
      </c>
      <c r="I506" s="31" t="str">
        <f ca="1">IF(C506&lt;&gt;"",IF(D506+$I$9-E506-F506&gt;=0,IF(ISERROR(INDEX($C$3:$C$6,MATCH(C506,$C$3:$C$6,0)+1,0)),Variables!$B$1,INDEX($C$3:$C$6,MATCH(C506,$C$3:$C$6,0)+1,0)),""),"")</f>
        <v/>
      </c>
      <c r="J506" s="29" t="str">
        <f ca="1">IF(ISERROR(VLOOKUP(I506,$C$3:$L$6,5,0)),"",IF(OR(VLOOKUP(I506,$C$3:$L$6,5,0)=Variables!$B$5,B506&gt;VLOOKUP(I506,$C$3:$L$6,8,0)),IF(VLOOKUP(I506,$C$3:$L$6,5,0)=Variables!$B$5,((YEAR(B506)-YEAR($B$12))*12+MONTH(B506)-MONTH($B$12)),((YEAR(B506)-YEAR(VLOOKUP(I506,$C$3:$L$6,8,0)))*12+MONTH(B506)-MONTH(VLOOKUP(I506,$C$3:$L$6,8,0))))*(VLOOKUP(I506,$C$3:$L$6,10,0)*VLOOKUP(I506,$C$3:$L$6,6,0)/12),0))</f>
        <v/>
      </c>
      <c r="K506" s="29" t="str">
        <f ca="1">IF(C506&lt;&gt;"",IF(I506&lt;&gt;"",IF(ISERROR(VLOOKUP(I506,$C$3:$L$6,10,0)),"",VLOOKUP(I506,$C$3:$L$6,10,0)+J506+IF(OR(VLOOKUP(I506,$C$3:$L$6,5,0)=Variables!$B$5,B506&gt;VLOOKUP(I506,$C$3:$L$6,8,0)),IF(VLOOKUP(I506,$C$3:$L$6,5,0)=Variables!$B$5,((YEAR(B506)-YEAR($B$12))*12+MONTH(B506)-MONTH($B$12)),((YEAR(B506)-YEAR(VLOOKUP(I506,$C$3:$L$6,8,0)))*12+MONTH(B506)-MONTH(VLOOKUP(I506,$C$3:$L$6,8,0))))*VLOOKUP(I506,$C$3:$L$6,7,0),0)),""),"")</f>
        <v/>
      </c>
      <c r="L506" s="29" t="str">
        <f t="shared" ca="1" si="49"/>
        <v/>
      </c>
      <c r="M506" s="10"/>
      <c r="N506" s="10"/>
    </row>
    <row r="507" spans="1:14" x14ac:dyDescent="0.25">
      <c r="A507" s="10"/>
      <c r="B507" s="14" t="str">
        <f t="shared" ca="1" si="50"/>
        <v/>
      </c>
      <c r="C507" s="14" t="str">
        <f ca="1">IF(I506&lt;&gt;Variables!$B$1,IF(H506&lt;&gt;0,C506,I506),"")</f>
        <v/>
      </c>
      <c r="D507" s="29" t="str">
        <f t="shared" ca="1" si="47"/>
        <v/>
      </c>
      <c r="E507" s="29" t="str">
        <f t="shared" ca="1" si="48"/>
        <v/>
      </c>
      <c r="F507" s="29" t="str">
        <f ca="1">IF(C507&lt;&gt;"",IF(OR(VLOOKUP(C507,$C$3:$L$6,5,0)=Variables!$B$5,B507&gt;VLOOKUP(C507,$C$3:$L$6,8,0)),-D507*VLOOKUP(C507,$C$3:$L$6,6,0)/12,0),"")</f>
        <v/>
      </c>
      <c r="G507" s="29" t="str">
        <f ca="1">IF(I507&lt;&gt;Variables!$B$1,IF(C507&lt;&gt;"",$I$9-E507-F507,""),-D507)</f>
        <v/>
      </c>
      <c r="H507" s="29" t="str">
        <f t="shared" ca="1" si="51"/>
        <v/>
      </c>
      <c r="I507" s="31" t="str">
        <f ca="1">IF(C507&lt;&gt;"",IF(D507+$I$9-E507-F507&gt;=0,IF(ISERROR(INDEX($C$3:$C$6,MATCH(C507,$C$3:$C$6,0)+1,0)),Variables!$B$1,INDEX($C$3:$C$6,MATCH(C507,$C$3:$C$6,0)+1,0)),""),"")</f>
        <v/>
      </c>
      <c r="J507" s="29" t="str">
        <f ca="1">IF(ISERROR(VLOOKUP(I507,$C$3:$L$6,5,0)),"",IF(OR(VLOOKUP(I507,$C$3:$L$6,5,0)=Variables!$B$5,B507&gt;VLOOKUP(I507,$C$3:$L$6,8,0)),IF(VLOOKUP(I507,$C$3:$L$6,5,0)=Variables!$B$5,((YEAR(B507)-YEAR($B$12))*12+MONTH(B507)-MONTH($B$12)),((YEAR(B507)-YEAR(VLOOKUP(I507,$C$3:$L$6,8,0)))*12+MONTH(B507)-MONTH(VLOOKUP(I507,$C$3:$L$6,8,0))))*(VLOOKUP(I507,$C$3:$L$6,10,0)*VLOOKUP(I507,$C$3:$L$6,6,0)/12),0))</f>
        <v/>
      </c>
      <c r="K507" s="29" t="str">
        <f ca="1">IF(C507&lt;&gt;"",IF(I507&lt;&gt;"",IF(ISERROR(VLOOKUP(I507,$C$3:$L$6,10,0)),"",VLOOKUP(I507,$C$3:$L$6,10,0)+J507+IF(OR(VLOOKUP(I507,$C$3:$L$6,5,0)=Variables!$B$5,B507&gt;VLOOKUP(I507,$C$3:$L$6,8,0)),IF(VLOOKUP(I507,$C$3:$L$6,5,0)=Variables!$B$5,((YEAR(B507)-YEAR($B$12))*12+MONTH(B507)-MONTH($B$12)),((YEAR(B507)-YEAR(VLOOKUP(I507,$C$3:$L$6,8,0)))*12+MONTH(B507)-MONTH(VLOOKUP(I507,$C$3:$L$6,8,0))))*VLOOKUP(I507,$C$3:$L$6,7,0),0)),""),"")</f>
        <v/>
      </c>
      <c r="L507" s="29" t="str">
        <f t="shared" ca="1" si="49"/>
        <v/>
      </c>
      <c r="M507" s="10"/>
      <c r="N507" s="10"/>
    </row>
    <row r="508" spans="1:14" x14ac:dyDescent="0.25">
      <c r="A508" s="10"/>
      <c r="B508" s="14" t="str">
        <f t="shared" ca="1" si="50"/>
        <v/>
      </c>
      <c r="C508" s="14" t="str">
        <f ca="1">IF(I507&lt;&gt;Variables!$B$1,IF(H507&lt;&gt;0,C507,I507),"")</f>
        <v/>
      </c>
      <c r="D508" s="29" t="str">
        <f t="shared" ca="1" si="47"/>
        <v/>
      </c>
      <c r="E508" s="29" t="str">
        <f t="shared" ca="1" si="48"/>
        <v/>
      </c>
      <c r="F508" s="29" t="str">
        <f ca="1">IF(C508&lt;&gt;"",IF(OR(VLOOKUP(C508,$C$3:$L$6,5,0)=Variables!$B$5,B508&gt;VLOOKUP(C508,$C$3:$L$6,8,0)),-D508*VLOOKUP(C508,$C$3:$L$6,6,0)/12,0),"")</f>
        <v/>
      </c>
      <c r="G508" s="29" t="str">
        <f ca="1">IF(I508&lt;&gt;Variables!$B$1,IF(C508&lt;&gt;"",$I$9-E508-F508,""),-D508)</f>
        <v/>
      </c>
      <c r="H508" s="29" t="str">
        <f t="shared" ca="1" si="51"/>
        <v/>
      </c>
      <c r="I508" s="31" t="str">
        <f ca="1">IF(C508&lt;&gt;"",IF(D508+$I$9-E508-F508&gt;=0,IF(ISERROR(INDEX($C$3:$C$6,MATCH(C508,$C$3:$C$6,0)+1,0)),Variables!$B$1,INDEX($C$3:$C$6,MATCH(C508,$C$3:$C$6,0)+1,0)),""),"")</f>
        <v/>
      </c>
      <c r="J508" s="29" t="str">
        <f ca="1">IF(ISERROR(VLOOKUP(I508,$C$3:$L$6,5,0)),"",IF(OR(VLOOKUP(I508,$C$3:$L$6,5,0)=Variables!$B$5,B508&gt;VLOOKUP(I508,$C$3:$L$6,8,0)),IF(VLOOKUP(I508,$C$3:$L$6,5,0)=Variables!$B$5,((YEAR(B508)-YEAR($B$12))*12+MONTH(B508)-MONTH($B$12)),((YEAR(B508)-YEAR(VLOOKUP(I508,$C$3:$L$6,8,0)))*12+MONTH(B508)-MONTH(VLOOKUP(I508,$C$3:$L$6,8,0))))*(VLOOKUP(I508,$C$3:$L$6,10,0)*VLOOKUP(I508,$C$3:$L$6,6,0)/12),0))</f>
        <v/>
      </c>
      <c r="K508" s="29" t="str">
        <f ca="1">IF(C508&lt;&gt;"",IF(I508&lt;&gt;"",IF(ISERROR(VLOOKUP(I508,$C$3:$L$6,10,0)),"",VLOOKUP(I508,$C$3:$L$6,10,0)+J508+IF(OR(VLOOKUP(I508,$C$3:$L$6,5,0)=Variables!$B$5,B508&gt;VLOOKUP(I508,$C$3:$L$6,8,0)),IF(VLOOKUP(I508,$C$3:$L$6,5,0)=Variables!$B$5,((YEAR(B508)-YEAR($B$12))*12+MONTH(B508)-MONTH($B$12)),((YEAR(B508)-YEAR(VLOOKUP(I508,$C$3:$L$6,8,0)))*12+MONTH(B508)-MONTH(VLOOKUP(I508,$C$3:$L$6,8,0))))*VLOOKUP(I508,$C$3:$L$6,7,0),0)),""),"")</f>
        <v/>
      </c>
      <c r="L508" s="29" t="str">
        <f t="shared" ca="1" si="49"/>
        <v/>
      </c>
      <c r="M508" s="10"/>
      <c r="N508" s="10"/>
    </row>
    <row r="509" spans="1:14" x14ac:dyDescent="0.25">
      <c r="A509" s="10"/>
      <c r="B509" s="14" t="str">
        <f t="shared" ca="1" si="50"/>
        <v/>
      </c>
      <c r="C509" s="14" t="str">
        <f ca="1">IF(I508&lt;&gt;Variables!$B$1,IF(H508&lt;&gt;0,C508,I508),"")</f>
        <v/>
      </c>
      <c r="D509" s="29" t="str">
        <f t="shared" ca="1" si="47"/>
        <v/>
      </c>
      <c r="E509" s="29" t="str">
        <f t="shared" ca="1" si="48"/>
        <v/>
      </c>
      <c r="F509" s="29" t="str">
        <f ca="1">IF(C509&lt;&gt;"",IF(OR(VLOOKUP(C509,$C$3:$L$6,5,0)=Variables!$B$5,B509&gt;VLOOKUP(C509,$C$3:$L$6,8,0)),-D509*VLOOKUP(C509,$C$3:$L$6,6,0)/12,0),"")</f>
        <v/>
      </c>
      <c r="G509" s="29" t="str">
        <f ca="1">IF(I509&lt;&gt;Variables!$B$1,IF(C509&lt;&gt;"",$I$9-E509-F509,""),-D509)</f>
        <v/>
      </c>
      <c r="H509" s="29" t="str">
        <f t="shared" ca="1" si="51"/>
        <v/>
      </c>
      <c r="I509" s="31" t="str">
        <f ca="1">IF(C509&lt;&gt;"",IF(D509+$I$9-E509-F509&gt;=0,IF(ISERROR(INDEX($C$3:$C$6,MATCH(C509,$C$3:$C$6,0)+1,0)),Variables!$B$1,INDEX($C$3:$C$6,MATCH(C509,$C$3:$C$6,0)+1,0)),""),"")</f>
        <v/>
      </c>
      <c r="J509" s="29" t="str">
        <f ca="1">IF(ISERROR(VLOOKUP(I509,$C$3:$L$6,5,0)),"",IF(OR(VLOOKUP(I509,$C$3:$L$6,5,0)=Variables!$B$5,B509&gt;VLOOKUP(I509,$C$3:$L$6,8,0)),IF(VLOOKUP(I509,$C$3:$L$6,5,0)=Variables!$B$5,((YEAR(B509)-YEAR($B$12))*12+MONTH(B509)-MONTH($B$12)),((YEAR(B509)-YEAR(VLOOKUP(I509,$C$3:$L$6,8,0)))*12+MONTH(B509)-MONTH(VLOOKUP(I509,$C$3:$L$6,8,0))))*(VLOOKUP(I509,$C$3:$L$6,10,0)*VLOOKUP(I509,$C$3:$L$6,6,0)/12),0))</f>
        <v/>
      </c>
      <c r="K509" s="29" t="str">
        <f ca="1">IF(C509&lt;&gt;"",IF(I509&lt;&gt;"",IF(ISERROR(VLOOKUP(I509,$C$3:$L$6,10,0)),"",VLOOKUP(I509,$C$3:$L$6,10,0)+J509+IF(OR(VLOOKUP(I509,$C$3:$L$6,5,0)=Variables!$B$5,B509&gt;VLOOKUP(I509,$C$3:$L$6,8,0)),IF(VLOOKUP(I509,$C$3:$L$6,5,0)=Variables!$B$5,((YEAR(B509)-YEAR($B$12))*12+MONTH(B509)-MONTH($B$12)),((YEAR(B509)-YEAR(VLOOKUP(I509,$C$3:$L$6,8,0)))*12+MONTH(B509)-MONTH(VLOOKUP(I509,$C$3:$L$6,8,0))))*VLOOKUP(I509,$C$3:$L$6,7,0),0)),""),"")</f>
        <v/>
      </c>
      <c r="L509" s="29" t="str">
        <f t="shared" ca="1" si="49"/>
        <v/>
      </c>
      <c r="M509" s="10"/>
      <c r="N509" s="10"/>
    </row>
    <row r="510" spans="1:14" x14ac:dyDescent="0.25">
      <c r="A510" s="10"/>
      <c r="B510" s="14" t="str">
        <f t="shared" ca="1" si="50"/>
        <v/>
      </c>
      <c r="C510" s="14" t="str">
        <f ca="1">IF(I509&lt;&gt;Variables!$B$1,IF(H509&lt;&gt;0,C509,I509),"")</f>
        <v/>
      </c>
      <c r="D510" s="29" t="str">
        <f t="shared" ca="1" si="47"/>
        <v/>
      </c>
      <c r="E510" s="29" t="str">
        <f t="shared" ca="1" si="48"/>
        <v/>
      </c>
      <c r="F510" s="29" t="str">
        <f ca="1">IF(C510&lt;&gt;"",IF(OR(VLOOKUP(C510,$C$3:$L$6,5,0)=Variables!$B$5,B510&gt;VLOOKUP(C510,$C$3:$L$6,8,0)),-D510*VLOOKUP(C510,$C$3:$L$6,6,0)/12,0),"")</f>
        <v/>
      </c>
      <c r="G510" s="29" t="str">
        <f ca="1">IF(I510&lt;&gt;Variables!$B$1,IF(C510&lt;&gt;"",$I$9-E510-F510,""),-D510)</f>
        <v/>
      </c>
      <c r="H510" s="29" t="str">
        <f t="shared" ca="1" si="51"/>
        <v/>
      </c>
      <c r="I510" s="31" t="str">
        <f ca="1">IF(C510&lt;&gt;"",IF(D510+$I$9-E510-F510&gt;=0,IF(ISERROR(INDEX($C$3:$C$6,MATCH(C510,$C$3:$C$6,0)+1,0)),Variables!$B$1,INDEX($C$3:$C$6,MATCH(C510,$C$3:$C$6,0)+1,0)),""),"")</f>
        <v/>
      </c>
      <c r="J510" s="29" t="str">
        <f ca="1">IF(ISERROR(VLOOKUP(I510,$C$3:$L$6,5,0)),"",IF(OR(VLOOKUP(I510,$C$3:$L$6,5,0)=Variables!$B$5,B510&gt;VLOOKUP(I510,$C$3:$L$6,8,0)),IF(VLOOKUP(I510,$C$3:$L$6,5,0)=Variables!$B$5,((YEAR(B510)-YEAR($B$12))*12+MONTH(B510)-MONTH($B$12)),((YEAR(B510)-YEAR(VLOOKUP(I510,$C$3:$L$6,8,0)))*12+MONTH(B510)-MONTH(VLOOKUP(I510,$C$3:$L$6,8,0))))*(VLOOKUP(I510,$C$3:$L$6,10,0)*VLOOKUP(I510,$C$3:$L$6,6,0)/12),0))</f>
        <v/>
      </c>
      <c r="K510" s="29" t="str">
        <f ca="1">IF(C510&lt;&gt;"",IF(I510&lt;&gt;"",IF(ISERROR(VLOOKUP(I510,$C$3:$L$6,10,0)),"",VLOOKUP(I510,$C$3:$L$6,10,0)+J510+IF(OR(VLOOKUP(I510,$C$3:$L$6,5,0)=Variables!$B$5,B510&gt;VLOOKUP(I510,$C$3:$L$6,8,0)),IF(VLOOKUP(I510,$C$3:$L$6,5,0)=Variables!$B$5,((YEAR(B510)-YEAR($B$12))*12+MONTH(B510)-MONTH($B$12)),((YEAR(B510)-YEAR(VLOOKUP(I510,$C$3:$L$6,8,0)))*12+MONTH(B510)-MONTH(VLOOKUP(I510,$C$3:$L$6,8,0))))*VLOOKUP(I510,$C$3:$L$6,7,0),0)),""),"")</f>
        <v/>
      </c>
      <c r="L510" s="29" t="str">
        <f t="shared" ca="1" si="49"/>
        <v/>
      </c>
      <c r="M510" s="10"/>
      <c r="N510" s="10"/>
    </row>
    <row r="511" spans="1:14" x14ac:dyDescent="0.25">
      <c r="A511" s="10"/>
      <c r="B511" s="14" t="str">
        <f t="shared" ca="1" si="50"/>
        <v/>
      </c>
      <c r="C511" s="14" t="str">
        <f ca="1">IF(I510&lt;&gt;Variables!$B$1,IF(H510&lt;&gt;0,C510,I510),"")</f>
        <v/>
      </c>
      <c r="D511" s="29" t="str">
        <f t="shared" ca="1" si="47"/>
        <v/>
      </c>
      <c r="E511" s="29" t="str">
        <f t="shared" ca="1" si="48"/>
        <v/>
      </c>
      <c r="F511" s="29" t="str">
        <f ca="1">IF(C511&lt;&gt;"",IF(OR(VLOOKUP(C511,$C$3:$L$6,5,0)=Variables!$B$5,B511&gt;VLOOKUP(C511,$C$3:$L$6,8,0)),-D511*VLOOKUP(C511,$C$3:$L$6,6,0)/12,0),"")</f>
        <v/>
      </c>
      <c r="G511" s="29" t="str">
        <f ca="1">IF(I511&lt;&gt;Variables!$B$1,IF(C511&lt;&gt;"",$I$9-E511-F511,""),-D511)</f>
        <v/>
      </c>
      <c r="H511" s="29" t="str">
        <f t="shared" ca="1" si="51"/>
        <v/>
      </c>
      <c r="I511" s="31" t="str">
        <f ca="1">IF(C511&lt;&gt;"",IF(D511+$I$9-E511-F511&gt;=0,IF(ISERROR(INDEX($C$3:$C$6,MATCH(C511,$C$3:$C$6,0)+1,0)),Variables!$B$1,INDEX($C$3:$C$6,MATCH(C511,$C$3:$C$6,0)+1,0)),""),"")</f>
        <v/>
      </c>
      <c r="J511" s="29" t="str">
        <f ca="1">IF(ISERROR(VLOOKUP(I511,$C$3:$L$6,5,0)),"",IF(OR(VLOOKUP(I511,$C$3:$L$6,5,0)=Variables!$B$5,B511&gt;VLOOKUP(I511,$C$3:$L$6,8,0)),IF(VLOOKUP(I511,$C$3:$L$6,5,0)=Variables!$B$5,((YEAR(B511)-YEAR($B$12))*12+MONTH(B511)-MONTH($B$12)),((YEAR(B511)-YEAR(VLOOKUP(I511,$C$3:$L$6,8,0)))*12+MONTH(B511)-MONTH(VLOOKUP(I511,$C$3:$L$6,8,0))))*(VLOOKUP(I511,$C$3:$L$6,10,0)*VLOOKUP(I511,$C$3:$L$6,6,0)/12),0))</f>
        <v/>
      </c>
      <c r="K511" s="29" t="str">
        <f ca="1">IF(C511&lt;&gt;"",IF(I511&lt;&gt;"",IF(ISERROR(VLOOKUP(I511,$C$3:$L$6,10,0)),"",VLOOKUP(I511,$C$3:$L$6,10,0)+J511+IF(OR(VLOOKUP(I511,$C$3:$L$6,5,0)=Variables!$B$5,B511&gt;VLOOKUP(I511,$C$3:$L$6,8,0)),IF(VLOOKUP(I511,$C$3:$L$6,5,0)=Variables!$B$5,((YEAR(B511)-YEAR($B$12))*12+MONTH(B511)-MONTH($B$12)),((YEAR(B511)-YEAR(VLOOKUP(I511,$C$3:$L$6,8,0)))*12+MONTH(B511)-MONTH(VLOOKUP(I511,$C$3:$L$6,8,0))))*VLOOKUP(I511,$C$3:$L$6,7,0),0)),""),"")</f>
        <v/>
      </c>
      <c r="L511" s="29" t="str">
        <f t="shared" ca="1" si="49"/>
        <v/>
      </c>
      <c r="M511" s="10"/>
      <c r="N511" s="10"/>
    </row>
    <row r="512" spans="1:14" x14ac:dyDescent="0.25">
      <c r="A512" s="10"/>
      <c r="B512" s="14" t="str">
        <f t="shared" ca="1" si="50"/>
        <v/>
      </c>
      <c r="C512" s="14" t="str">
        <f ca="1">IF(I511&lt;&gt;Variables!$B$1,IF(H511&lt;&gt;0,C511,I511),"")</f>
        <v/>
      </c>
      <c r="D512" s="29" t="str">
        <f t="shared" ca="1" si="47"/>
        <v/>
      </c>
      <c r="E512" s="29" t="str">
        <f t="shared" ca="1" si="48"/>
        <v/>
      </c>
      <c r="F512" s="29" t="str">
        <f ca="1">IF(C512&lt;&gt;"",IF(OR(VLOOKUP(C512,$C$3:$L$6,5,0)=Variables!$B$5,B512&gt;VLOOKUP(C512,$C$3:$L$6,8,0)),-D512*VLOOKUP(C512,$C$3:$L$6,6,0)/12,0),"")</f>
        <v/>
      </c>
      <c r="G512" s="29" t="str">
        <f ca="1">IF(I512&lt;&gt;Variables!$B$1,IF(C512&lt;&gt;"",$I$9-E512-F512,""),-D512)</f>
        <v/>
      </c>
      <c r="H512" s="29" t="str">
        <f t="shared" ca="1" si="51"/>
        <v/>
      </c>
      <c r="I512" s="31" t="str">
        <f ca="1">IF(C512&lt;&gt;"",IF(D512+$I$9-E512-F512&gt;=0,IF(ISERROR(INDEX($C$3:$C$6,MATCH(C512,$C$3:$C$6,0)+1,0)),Variables!$B$1,INDEX($C$3:$C$6,MATCH(C512,$C$3:$C$6,0)+1,0)),""),"")</f>
        <v/>
      </c>
      <c r="J512" s="29" t="str">
        <f ca="1">IF(ISERROR(VLOOKUP(I512,$C$3:$L$6,5,0)),"",IF(OR(VLOOKUP(I512,$C$3:$L$6,5,0)=Variables!$B$5,B512&gt;VLOOKUP(I512,$C$3:$L$6,8,0)),IF(VLOOKUP(I512,$C$3:$L$6,5,0)=Variables!$B$5,((YEAR(B512)-YEAR($B$12))*12+MONTH(B512)-MONTH($B$12)),((YEAR(B512)-YEAR(VLOOKUP(I512,$C$3:$L$6,8,0)))*12+MONTH(B512)-MONTH(VLOOKUP(I512,$C$3:$L$6,8,0))))*(VLOOKUP(I512,$C$3:$L$6,10,0)*VLOOKUP(I512,$C$3:$L$6,6,0)/12),0))</f>
        <v/>
      </c>
      <c r="K512" s="29" t="str">
        <f ca="1">IF(C512&lt;&gt;"",IF(I512&lt;&gt;"",IF(ISERROR(VLOOKUP(I512,$C$3:$L$6,10,0)),"",VLOOKUP(I512,$C$3:$L$6,10,0)+J512+IF(OR(VLOOKUP(I512,$C$3:$L$6,5,0)=Variables!$B$5,B512&gt;VLOOKUP(I512,$C$3:$L$6,8,0)),IF(VLOOKUP(I512,$C$3:$L$6,5,0)=Variables!$B$5,((YEAR(B512)-YEAR($B$12))*12+MONTH(B512)-MONTH($B$12)),((YEAR(B512)-YEAR(VLOOKUP(I512,$C$3:$L$6,8,0)))*12+MONTH(B512)-MONTH(VLOOKUP(I512,$C$3:$L$6,8,0))))*VLOOKUP(I512,$C$3:$L$6,7,0),0)),""),"")</f>
        <v/>
      </c>
      <c r="L512" s="29" t="str">
        <f t="shared" ca="1" si="49"/>
        <v/>
      </c>
      <c r="M512" s="10"/>
      <c r="N512" s="10"/>
    </row>
    <row r="513" spans="1:14" x14ac:dyDescent="0.25">
      <c r="A513" s="10"/>
      <c r="B513" s="14" t="str">
        <f t="shared" ca="1" si="50"/>
        <v/>
      </c>
      <c r="C513" s="14" t="str">
        <f ca="1">IF(I512&lt;&gt;Variables!$B$1,IF(H512&lt;&gt;0,C512,I512),"")</f>
        <v/>
      </c>
      <c r="D513" s="29" t="str">
        <f t="shared" ca="1" si="47"/>
        <v/>
      </c>
      <c r="E513" s="29" t="str">
        <f t="shared" ca="1" si="48"/>
        <v/>
      </c>
      <c r="F513" s="29" t="str">
        <f ca="1">IF(C513&lt;&gt;"",IF(OR(VLOOKUP(C513,$C$3:$L$6,5,0)=Variables!$B$5,B513&gt;VLOOKUP(C513,$C$3:$L$6,8,0)),-D513*VLOOKUP(C513,$C$3:$L$6,6,0)/12,0),"")</f>
        <v/>
      </c>
      <c r="G513" s="29" t="str">
        <f ca="1">IF(I513&lt;&gt;Variables!$B$1,IF(C513&lt;&gt;"",$I$9-E513-F513,""),-D513)</f>
        <v/>
      </c>
      <c r="H513" s="29" t="str">
        <f t="shared" ca="1" si="51"/>
        <v/>
      </c>
      <c r="I513" s="31" t="str">
        <f ca="1">IF(C513&lt;&gt;"",IF(D513+$I$9-E513-F513&gt;=0,IF(ISERROR(INDEX($C$3:$C$6,MATCH(C513,$C$3:$C$6,0)+1,0)),Variables!$B$1,INDEX($C$3:$C$6,MATCH(C513,$C$3:$C$6,0)+1,0)),""),"")</f>
        <v/>
      </c>
      <c r="J513" s="29" t="str">
        <f ca="1">IF(ISERROR(VLOOKUP(I513,$C$3:$L$6,5,0)),"",IF(OR(VLOOKUP(I513,$C$3:$L$6,5,0)=Variables!$B$5,B513&gt;VLOOKUP(I513,$C$3:$L$6,8,0)),IF(VLOOKUP(I513,$C$3:$L$6,5,0)=Variables!$B$5,((YEAR(B513)-YEAR($B$12))*12+MONTH(B513)-MONTH($B$12)),((YEAR(B513)-YEAR(VLOOKUP(I513,$C$3:$L$6,8,0)))*12+MONTH(B513)-MONTH(VLOOKUP(I513,$C$3:$L$6,8,0))))*(VLOOKUP(I513,$C$3:$L$6,10,0)*VLOOKUP(I513,$C$3:$L$6,6,0)/12),0))</f>
        <v/>
      </c>
      <c r="K513" s="29" t="str">
        <f ca="1">IF(C513&lt;&gt;"",IF(I513&lt;&gt;"",IF(ISERROR(VLOOKUP(I513,$C$3:$L$6,10,0)),"",VLOOKUP(I513,$C$3:$L$6,10,0)+J513+IF(OR(VLOOKUP(I513,$C$3:$L$6,5,0)=Variables!$B$5,B513&gt;VLOOKUP(I513,$C$3:$L$6,8,0)),IF(VLOOKUP(I513,$C$3:$L$6,5,0)=Variables!$B$5,((YEAR(B513)-YEAR($B$12))*12+MONTH(B513)-MONTH($B$12)),((YEAR(B513)-YEAR(VLOOKUP(I513,$C$3:$L$6,8,0)))*12+MONTH(B513)-MONTH(VLOOKUP(I513,$C$3:$L$6,8,0))))*VLOOKUP(I513,$C$3:$L$6,7,0),0)),""),"")</f>
        <v/>
      </c>
      <c r="L513" s="29" t="str">
        <f t="shared" ca="1" si="49"/>
        <v/>
      </c>
      <c r="M513" s="10"/>
      <c r="N513" s="10"/>
    </row>
    <row r="514" spans="1:14" x14ac:dyDescent="0.25">
      <c r="A514" s="10"/>
      <c r="B514" s="14" t="str">
        <f t="shared" ca="1" si="50"/>
        <v/>
      </c>
      <c r="C514" s="14" t="str">
        <f ca="1">IF(I513&lt;&gt;Variables!$B$1,IF(H513&lt;&gt;0,C513,I513),"")</f>
        <v/>
      </c>
      <c r="D514" s="29" t="str">
        <f t="shared" ca="1" si="47"/>
        <v/>
      </c>
      <c r="E514" s="29" t="str">
        <f t="shared" ca="1" si="48"/>
        <v/>
      </c>
      <c r="F514" s="29" t="str">
        <f ca="1">IF(C514&lt;&gt;"",IF(OR(VLOOKUP(C514,$C$3:$L$6,5,0)=Variables!$B$5,B514&gt;VLOOKUP(C514,$C$3:$L$6,8,0)),-D514*VLOOKUP(C514,$C$3:$L$6,6,0)/12,0),"")</f>
        <v/>
      </c>
      <c r="G514" s="29" t="str">
        <f ca="1">IF(I514&lt;&gt;Variables!$B$1,IF(C514&lt;&gt;"",$I$9-E514-F514,""),-D514)</f>
        <v/>
      </c>
      <c r="H514" s="29" t="str">
        <f t="shared" ca="1" si="51"/>
        <v/>
      </c>
      <c r="I514" s="31" t="str">
        <f ca="1">IF(C514&lt;&gt;"",IF(D514+$I$9-E514-F514&gt;=0,IF(ISERROR(INDEX($C$3:$C$6,MATCH(C514,$C$3:$C$6,0)+1,0)),Variables!$B$1,INDEX($C$3:$C$6,MATCH(C514,$C$3:$C$6,0)+1,0)),""),"")</f>
        <v/>
      </c>
      <c r="J514" s="29" t="str">
        <f ca="1">IF(ISERROR(VLOOKUP(I514,$C$3:$L$6,5,0)),"",IF(OR(VLOOKUP(I514,$C$3:$L$6,5,0)=Variables!$B$5,B514&gt;VLOOKUP(I514,$C$3:$L$6,8,0)),IF(VLOOKUP(I514,$C$3:$L$6,5,0)=Variables!$B$5,((YEAR(B514)-YEAR($B$12))*12+MONTH(B514)-MONTH($B$12)),((YEAR(B514)-YEAR(VLOOKUP(I514,$C$3:$L$6,8,0)))*12+MONTH(B514)-MONTH(VLOOKUP(I514,$C$3:$L$6,8,0))))*(VLOOKUP(I514,$C$3:$L$6,10,0)*VLOOKUP(I514,$C$3:$L$6,6,0)/12),0))</f>
        <v/>
      </c>
      <c r="K514" s="29" t="str">
        <f ca="1">IF(C514&lt;&gt;"",IF(I514&lt;&gt;"",IF(ISERROR(VLOOKUP(I514,$C$3:$L$6,10,0)),"",VLOOKUP(I514,$C$3:$L$6,10,0)+J514+IF(OR(VLOOKUP(I514,$C$3:$L$6,5,0)=Variables!$B$5,B514&gt;VLOOKUP(I514,$C$3:$L$6,8,0)),IF(VLOOKUP(I514,$C$3:$L$6,5,0)=Variables!$B$5,((YEAR(B514)-YEAR($B$12))*12+MONTH(B514)-MONTH($B$12)),((YEAR(B514)-YEAR(VLOOKUP(I514,$C$3:$L$6,8,0)))*12+MONTH(B514)-MONTH(VLOOKUP(I514,$C$3:$L$6,8,0))))*VLOOKUP(I514,$C$3:$L$6,7,0),0)),""),"")</f>
        <v/>
      </c>
      <c r="L514" s="29" t="str">
        <f t="shared" ca="1" si="49"/>
        <v/>
      </c>
      <c r="M514" s="10"/>
      <c r="N514" s="10"/>
    </row>
    <row r="515" spans="1:14" x14ac:dyDescent="0.25">
      <c r="A515" s="10"/>
      <c r="B515" s="14" t="str">
        <f t="shared" ca="1" si="50"/>
        <v/>
      </c>
      <c r="C515" s="14" t="str">
        <f ca="1">IF(I514&lt;&gt;Variables!$B$1,IF(H514&lt;&gt;0,C514,I514),"")</f>
        <v/>
      </c>
      <c r="D515" s="29" t="str">
        <f t="shared" ca="1" si="47"/>
        <v/>
      </c>
      <c r="E515" s="29" t="str">
        <f t="shared" ca="1" si="48"/>
        <v/>
      </c>
      <c r="F515" s="29" t="str">
        <f ca="1">IF(C515&lt;&gt;"",IF(OR(VLOOKUP(C515,$C$3:$L$6,5,0)=Variables!$B$5,B515&gt;VLOOKUP(C515,$C$3:$L$6,8,0)),-D515*VLOOKUP(C515,$C$3:$L$6,6,0)/12,0),"")</f>
        <v/>
      </c>
      <c r="G515" s="29" t="str">
        <f ca="1">IF(I515&lt;&gt;Variables!$B$1,IF(C515&lt;&gt;"",$I$9-E515-F515,""),-D515)</f>
        <v/>
      </c>
      <c r="H515" s="29" t="str">
        <f t="shared" ca="1" si="51"/>
        <v/>
      </c>
      <c r="I515" s="31" t="str">
        <f ca="1">IF(C515&lt;&gt;"",IF(D515+$I$9-E515-F515&gt;=0,IF(ISERROR(INDEX($C$3:$C$6,MATCH(C515,$C$3:$C$6,0)+1,0)),Variables!$B$1,INDEX($C$3:$C$6,MATCH(C515,$C$3:$C$6,0)+1,0)),""),"")</f>
        <v/>
      </c>
      <c r="J515" s="29" t="str">
        <f ca="1">IF(ISERROR(VLOOKUP(I515,$C$3:$L$6,5,0)),"",IF(OR(VLOOKUP(I515,$C$3:$L$6,5,0)=Variables!$B$5,B515&gt;VLOOKUP(I515,$C$3:$L$6,8,0)),IF(VLOOKUP(I515,$C$3:$L$6,5,0)=Variables!$B$5,((YEAR(B515)-YEAR($B$12))*12+MONTH(B515)-MONTH($B$12)),((YEAR(B515)-YEAR(VLOOKUP(I515,$C$3:$L$6,8,0)))*12+MONTH(B515)-MONTH(VLOOKUP(I515,$C$3:$L$6,8,0))))*(VLOOKUP(I515,$C$3:$L$6,10,0)*VLOOKUP(I515,$C$3:$L$6,6,0)/12),0))</f>
        <v/>
      </c>
      <c r="K515" s="29" t="str">
        <f ca="1">IF(C515&lt;&gt;"",IF(I515&lt;&gt;"",IF(ISERROR(VLOOKUP(I515,$C$3:$L$6,10,0)),"",VLOOKUP(I515,$C$3:$L$6,10,0)+J515+IF(OR(VLOOKUP(I515,$C$3:$L$6,5,0)=Variables!$B$5,B515&gt;VLOOKUP(I515,$C$3:$L$6,8,0)),IF(VLOOKUP(I515,$C$3:$L$6,5,0)=Variables!$B$5,((YEAR(B515)-YEAR($B$12))*12+MONTH(B515)-MONTH($B$12)),((YEAR(B515)-YEAR(VLOOKUP(I515,$C$3:$L$6,8,0)))*12+MONTH(B515)-MONTH(VLOOKUP(I515,$C$3:$L$6,8,0))))*VLOOKUP(I515,$C$3:$L$6,7,0),0)),""),"")</f>
        <v/>
      </c>
      <c r="L515" s="29" t="str">
        <f t="shared" ca="1" si="49"/>
        <v/>
      </c>
      <c r="M515" s="10"/>
      <c r="N515" s="10"/>
    </row>
    <row r="516" spans="1:14" x14ac:dyDescent="0.25">
      <c r="A516" s="10"/>
      <c r="B516" s="14" t="str">
        <f t="shared" ca="1" si="50"/>
        <v/>
      </c>
      <c r="C516" s="14" t="str">
        <f ca="1">IF(I515&lt;&gt;Variables!$B$1,IF(H515&lt;&gt;0,C515,I515),"")</f>
        <v/>
      </c>
      <c r="D516" s="29" t="str">
        <f t="shared" ca="1" si="47"/>
        <v/>
      </c>
      <c r="E516" s="29" t="str">
        <f t="shared" ca="1" si="48"/>
        <v/>
      </c>
      <c r="F516" s="29" t="str">
        <f ca="1">IF(C516&lt;&gt;"",IF(OR(VLOOKUP(C516,$C$3:$L$6,5,0)=Variables!$B$5,B516&gt;VLOOKUP(C516,$C$3:$L$6,8,0)),-D516*VLOOKUP(C516,$C$3:$L$6,6,0)/12,0),"")</f>
        <v/>
      </c>
      <c r="G516" s="29" t="str">
        <f ca="1">IF(I516&lt;&gt;Variables!$B$1,IF(C516&lt;&gt;"",$I$9-E516-F516,""),-D516)</f>
        <v/>
      </c>
      <c r="H516" s="29" t="str">
        <f t="shared" ca="1" si="51"/>
        <v/>
      </c>
      <c r="I516" s="31" t="str">
        <f ca="1">IF(C516&lt;&gt;"",IF(D516+$I$9-E516-F516&gt;=0,IF(ISERROR(INDEX($C$3:$C$6,MATCH(C516,$C$3:$C$6,0)+1,0)),Variables!$B$1,INDEX($C$3:$C$6,MATCH(C516,$C$3:$C$6,0)+1,0)),""),"")</f>
        <v/>
      </c>
      <c r="J516" s="29" t="str">
        <f ca="1">IF(ISERROR(VLOOKUP(I516,$C$3:$L$6,5,0)),"",IF(OR(VLOOKUP(I516,$C$3:$L$6,5,0)=Variables!$B$5,B516&gt;VLOOKUP(I516,$C$3:$L$6,8,0)),IF(VLOOKUP(I516,$C$3:$L$6,5,0)=Variables!$B$5,((YEAR(B516)-YEAR($B$12))*12+MONTH(B516)-MONTH($B$12)),((YEAR(B516)-YEAR(VLOOKUP(I516,$C$3:$L$6,8,0)))*12+MONTH(B516)-MONTH(VLOOKUP(I516,$C$3:$L$6,8,0))))*(VLOOKUP(I516,$C$3:$L$6,10,0)*VLOOKUP(I516,$C$3:$L$6,6,0)/12),0))</f>
        <v/>
      </c>
      <c r="K516" s="29" t="str">
        <f ca="1">IF(C516&lt;&gt;"",IF(I516&lt;&gt;"",IF(ISERROR(VLOOKUP(I516,$C$3:$L$6,10,0)),"",VLOOKUP(I516,$C$3:$L$6,10,0)+J516+IF(OR(VLOOKUP(I516,$C$3:$L$6,5,0)=Variables!$B$5,B516&gt;VLOOKUP(I516,$C$3:$L$6,8,0)),IF(VLOOKUP(I516,$C$3:$L$6,5,0)=Variables!$B$5,((YEAR(B516)-YEAR($B$12))*12+MONTH(B516)-MONTH($B$12)),((YEAR(B516)-YEAR(VLOOKUP(I516,$C$3:$L$6,8,0)))*12+MONTH(B516)-MONTH(VLOOKUP(I516,$C$3:$L$6,8,0))))*VLOOKUP(I516,$C$3:$L$6,7,0),0)),""),"")</f>
        <v/>
      </c>
      <c r="L516" s="29" t="str">
        <f t="shared" ca="1" si="49"/>
        <v/>
      </c>
      <c r="M516" s="10"/>
      <c r="N516" s="10"/>
    </row>
    <row r="517" spans="1:14" x14ac:dyDescent="0.25">
      <c r="A517" s="10"/>
      <c r="B517" s="14" t="str">
        <f t="shared" ca="1" si="50"/>
        <v/>
      </c>
      <c r="C517" s="14" t="str">
        <f ca="1">IF(I516&lt;&gt;Variables!$B$1,IF(H516&lt;&gt;0,C516,I516),"")</f>
        <v/>
      </c>
      <c r="D517" s="29" t="str">
        <f t="shared" ca="1" si="47"/>
        <v/>
      </c>
      <c r="E517" s="29" t="str">
        <f t="shared" ca="1" si="48"/>
        <v/>
      </c>
      <c r="F517" s="29" t="str">
        <f ca="1">IF(C517&lt;&gt;"",IF(OR(VLOOKUP(C517,$C$3:$L$6,5,0)=Variables!$B$5,B517&gt;VLOOKUP(C517,$C$3:$L$6,8,0)),-D517*VLOOKUP(C517,$C$3:$L$6,6,0)/12,0),"")</f>
        <v/>
      </c>
      <c r="G517" s="29" t="str">
        <f ca="1">IF(I517&lt;&gt;Variables!$B$1,IF(C517&lt;&gt;"",$I$9-E517-F517,""),-D517)</f>
        <v/>
      </c>
      <c r="H517" s="29" t="str">
        <f t="shared" ca="1" si="51"/>
        <v/>
      </c>
      <c r="I517" s="31" t="str">
        <f ca="1">IF(C517&lt;&gt;"",IF(D517+$I$9-E517-F517&gt;=0,IF(ISERROR(INDEX($C$3:$C$6,MATCH(C517,$C$3:$C$6,0)+1,0)),Variables!$B$1,INDEX($C$3:$C$6,MATCH(C517,$C$3:$C$6,0)+1,0)),""),"")</f>
        <v/>
      </c>
      <c r="J517" s="29" t="str">
        <f ca="1">IF(ISERROR(VLOOKUP(I517,$C$3:$L$6,5,0)),"",IF(OR(VLOOKUP(I517,$C$3:$L$6,5,0)=Variables!$B$5,B517&gt;VLOOKUP(I517,$C$3:$L$6,8,0)),IF(VLOOKUP(I517,$C$3:$L$6,5,0)=Variables!$B$5,((YEAR(B517)-YEAR($B$12))*12+MONTH(B517)-MONTH($B$12)),((YEAR(B517)-YEAR(VLOOKUP(I517,$C$3:$L$6,8,0)))*12+MONTH(B517)-MONTH(VLOOKUP(I517,$C$3:$L$6,8,0))))*(VLOOKUP(I517,$C$3:$L$6,10,0)*VLOOKUP(I517,$C$3:$L$6,6,0)/12),0))</f>
        <v/>
      </c>
      <c r="K517" s="29" t="str">
        <f ca="1">IF(C517&lt;&gt;"",IF(I517&lt;&gt;"",IF(ISERROR(VLOOKUP(I517,$C$3:$L$6,10,0)),"",VLOOKUP(I517,$C$3:$L$6,10,0)+J517+IF(OR(VLOOKUP(I517,$C$3:$L$6,5,0)=Variables!$B$5,B517&gt;VLOOKUP(I517,$C$3:$L$6,8,0)),IF(VLOOKUP(I517,$C$3:$L$6,5,0)=Variables!$B$5,((YEAR(B517)-YEAR($B$12))*12+MONTH(B517)-MONTH($B$12)),((YEAR(B517)-YEAR(VLOOKUP(I517,$C$3:$L$6,8,0)))*12+MONTH(B517)-MONTH(VLOOKUP(I517,$C$3:$L$6,8,0))))*VLOOKUP(I517,$C$3:$L$6,7,0),0)),""),"")</f>
        <v/>
      </c>
      <c r="L517" s="29" t="str">
        <f t="shared" ca="1" si="49"/>
        <v/>
      </c>
      <c r="M517" s="10"/>
      <c r="N517" s="10"/>
    </row>
    <row r="518" spans="1:14" x14ac:dyDescent="0.25">
      <c r="A518" s="10"/>
      <c r="B518" s="14" t="str">
        <f t="shared" ca="1" si="50"/>
        <v/>
      </c>
      <c r="C518" s="14" t="str">
        <f ca="1">IF(I517&lt;&gt;Variables!$B$1,IF(H517&lt;&gt;0,C517,I517),"")</f>
        <v/>
      </c>
      <c r="D518" s="29" t="str">
        <f t="shared" ca="1" si="47"/>
        <v/>
      </c>
      <c r="E518" s="29" t="str">
        <f t="shared" ca="1" si="48"/>
        <v/>
      </c>
      <c r="F518" s="29" t="str">
        <f ca="1">IF(C518&lt;&gt;"",IF(OR(VLOOKUP(C518,$C$3:$L$6,5,0)=Variables!$B$5,B518&gt;VLOOKUP(C518,$C$3:$L$6,8,0)),-D518*VLOOKUP(C518,$C$3:$L$6,6,0)/12,0),"")</f>
        <v/>
      </c>
      <c r="G518" s="29" t="str">
        <f ca="1">IF(I518&lt;&gt;Variables!$B$1,IF(C518&lt;&gt;"",$I$9-E518-F518,""),-D518)</f>
        <v/>
      </c>
      <c r="H518" s="29" t="str">
        <f t="shared" ca="1" si="51"/>
        <v/>
      </c>
      <c r="I518" s="31" t="str">
        <f ca="1">IF(C518&lt;&gt;"",IF(D518+$I$9-E518-F518&gt;=0,IF(ISERROR(INDEX($C$3:$C$6,MATCH(C518,$C$3:$C$6,0)+1,0)),Variables!$B$1,INDEX($C$3:$C$6,MATCH(C518,$C$3:$C$6,0)+1,0)),""),"")</f>
        <v/>
      </c>
      <c r="J518" s="29" t="str">
        <f ca="1">IF(ISERROR(VLOOKUP(I518,$C$3:$L$6,5,0)),"",IF(OR(VLOOKUP(I518,$C$3:$L$6,5,0)=Variables!$B$5,B518&gt;VLOOKUP(I518,$C$3:$L$6,8,0)),IF(VLOOKUP(I518,$C$3:$L$6,5,0)=Variables!$B$5,((YEAR(B518)-YEAR($B$12))*12+MONTH(B518)-MONTH($B$12)),((YEAR(B518)-YEAR(VLOOKUP(I518,$C$3:$L$6,8,0)))*12+MONTH(B518)-MONTH(VLOOKUP(I518,$C$3:$L$6,8,0))))*(VLOOKUP(I518,$C$3:$L$6,10,0)*VLOOKUP(I518,$C$3:$L$6,6,0)/12),0))</f>
        <v/>
      </c>
      <c r="K518" s="29" t="str">
        <f ca="1">IF(C518&lt;&gt;"",IF(I518&lt;&gt;"",IF(ISERROR(VLOOKUP(I518,$C$3:$L$6,10,0)),"",VLOOKUP(I518,$C$3:$L$6,10,0)+J518+IF(OR(VLOOKUP(I518,$C$3:$L$6,5,0)=Variables!$B$5,B518&gt;VLOOKUP(I518,$C$3:$L$6,8,0)),IF(VLOOKUP(I518,$C$3:$L$6,5,0)=Variables!$B$5,((YEAR(B518)-YEAR($B$12))*12+MONTH(B518)-MONTH($B$12)),((YEAR(B518)-YEAR(VLOOKUP(I518,$C$3:$L$6,8,0)))*12+MONTH(B518)-MONTH(VLOOKUP(I518,$C$3:$L$6,8,0))))*VLOOKUP(I518,$C$3:$L$6,7,0),0)),""),"")</f>
        <v/>
      </c>
      <c r="L518" s="29" t="str">
        <f t="shared" ca="1" si="49"/>
        <v/>
      </c>
      <c r="M518" s="10"/>
      <c r="N518" s="10"/>
    </row>
    <row r="519" spans="1:14" x14ac:dyDescent="0.25">
      <c r="A519" s="10"/>
      <c r="B519" s="14" t="str">
        <f t="shared" ca="1" si="50"/>
        <v/>
      </c>
      <c r="C519" s="14" t="str">
        <f ca="1">IF(I518&lt;&gt;Variables!$B$1,IF(H518&lt;&gt;0,C518,I518),"")</f>
        <v/>
      </c>
      <c r="D519" s="29" t="str">
        <f t="shared" ca="1" si="47"/>
        <v/>
      </c>
      <c r="E519" s="29" t="str">
        <f t="shared" ca="1" si="48"/>
        <v/>
      </c>
      <c r="F519" s="29" t="str">
        <f ca="1">IF(C519&lt;&gt;"",IF(OR(VLOOKUP(C519,$C$3:$L$6,5,0)=Variables!$B$5,B519&gt;VLOOKUP(C519,$C$3:$L$6,8,0)),-D519*VLOOKUP(C519,$C$3:$L$6,6,0)/12,0),"")</f>
        <v/>
      </c>
      <c r="G519" s="29" t="str">
        <f ca="1">IF(I519&lt;&gt;Variables!$B$1,IF(C519&lt;&gt;"",$I$9-E519-F519,""),-D519)</f>
        <v/>
      </c>
      <c r="H519" s="29" t="str">
        <f t="shared" ca="1" si="51"/>
        <v/>
      </c>
      <c r="I519" s="31" t="str">
        <f ca="1">IF(C519&lt;&gt;"",IF(D519+$I$9-E519-F519&gt;=0,IF(ISERROR(INDEX($C$3:$C$6,MATCH(C519,$C$3:$C$6,0)+1,0)),Variables!$B$1,INDEX($C$3:$C$6,MATCH(C519,$C$3:$C$6,0)+1,0)),""),"")</f>
        <v/>
      </c>
      <c r="J519" s="29" t="str">
        <f ca="1">IF(ISERROR(VLOOKUP(I519,$C$3:$L$6,5,0)),"",IF(OR(VLOOKUP(I519,$C$3:$L$6,5,0)=Variables!$B$5,B519&gt;VLOOKUP(I519,$C$3:$L$6,8,0)),IF(VLOOKUP(I519,$C$3:$L$6,5,0)=Variables!$B$5,((YEAR(B519)-YEAR($B$12))*12+MONTH(B519)-MONTH($B$12)),((YEAR(B519)-YEAR(VLOOKUP(I519,$C$3:$L$6,8,0)))*12+MONTH(B519)-MONTH(VLOOKUP(I519,$C$3:$L$6,8,0))))*(VLOOKUP(I519,$C$3:$L$6,10,0)*VLOOKUP(I519,$C$3:$L$6,6,0)/12),0))</f>
        <v/>
      </c>
      <c r="K519" s="29" t="str">
        <f ca="1">IF(C519&lt;&gt;"",IF(I519&lt;&gt;"",IF(ISERROR(VLOOKUP(I519,$C$3:$L$6,10,0)),"",VLOOKUP(I519,$C$3:$L$6,10,0)+J519+IF(OR(VLOOKUP(I519,$C$3:$L$6,5,0)=Variables!$B$5,B519&gt;VLOOKUP(I519,$C$3:$L$6,8,0)),IF(VLOOKUP(I519,$C$3:$L$6,5,0)=Variables!$B$5,((YEAR(B519)-YEAR($B$12))*12+MONTH(B519)-MONTH($B$12)),((YEAR(B519)-YEAR(VLOOKUP(I519,$C$3:$L$6,8,0)))*12+MONTH(B519)-MONTH(VLOOKUP(I519,$C$3:$L$6,8,0))))*VLOOKUP(I519,$C$3:$L$6,7,0),0)),""),"")</f>
        <v/>
      </c>
      <c r="L519" s="29" t="str">
        <f t="shared" ca="1" si="49"/>
        <v/>
      </c>
      <c r="M519" s="10"/>
      <c r="N519" s="10"/>
    </row>
    <row r="520" spans="1:14" x14ac:dyDescent="0.25">
      <c r="A520" s="10"/>
      <c r="B520" s="14" t="str">
        <f t="shared" ca="1" si="50"/>
        <v/>
      </c>
      <c r="C520" s="14" t="str">
        <f ca="1">IF(I519&lt;&gt;Variables!$B$1,IF(H519&lt;&gt;0,C519,I519),"")</f>
        <v/>
      </c>
      <c r="D520" s="29" t="str">
        <f t="shared" ca="1" si="47"/>
        <v/>
      </c>
      <c r="E520" s="29" t="str">
        <f t="shared" ca="1" si="48"/>
        <v/>
      </c>
      <c r="F520" s="29" t="str">
        <f ca="1">IF(C520&lt;&gt;"",IF(OR(VLOOKUP(C520,$C$3:$L$6,5,0)=Variables!$B$5,B520&gt;VLOOKUP(C520,$C$3:$L$6,8,0)),-D520*VLOOKUP(C520,$C$3:$L$6,6,0)/12,0),"")</f>
        <v/>
      </c>
      <c r="G520" s="29" t="str">
        <f ca="1">IF(I520&lt;&gt;Variables!$B$1,IF(C520&lt;&gt;"",$I$9-E520-F520,""),-D520)</f>
        <v/>
      </c>
      <c r="H520" s="29" t="str">
        <f t="shared" ca="1" si="51"/>
        <v/>
      </c>
      <c r="I520" s="31" t="str">
        <f ca="1">IF(C520&lt;&gt;"",IF(D520+$I$9-E520-F520&gt;=0,IF(ISERROR(INDEX($C$3:$C$6,MATCH(C520,$C$3:$C$6,0)+1,0)),Variables!$B$1,INDEX($C$3:$C$6,MATCH(C520,$C$3:$C$6,0)+1,0)),""),"")</f>
        <v/>
      </c>
      <c r="J520" s="29" t="str">
        <f ca="1">IF(ISERROR(VLOOKUP(I520,$C$3:$L$6,5,0)),"",IF(OR(VLOOKUP(I520,$C$3:$L$6,5,0)=Variables!$B$5,B520&gt;VLOOKUP(I520,$C$3:$L$6,8,0)),IF(VLOOKUP(I520,$C$3:$L$6,5,0)=Variables!$B$5,((YEAR(B520)-YEAR($B$12))*12+MONTH(B520)-MONTH($B$12)),((YEAR(B520)-YEAR(VLOOKUP(I520,$C$3:$L$6,8,0)))*12+MONTH(B520)-MONTH(VLOOKUP(I520,$C$3:$L$6,8,0))))*(VLOOKUP(I520,$C$3:$L$6,10,0)*VLOOKUP(I520,$C$3:$L$6,6,0)/12),0))</f>
        <v/>
      </c>
      <c r="K520" s="29" t="str">
        <f ca="1">IF(C520&lt;&gt;"",IF(I520&lt;&gt;"",IF(ISERROR(VLOOKUP(I520,$C$3:$L$6,10,0)),"",VLOOKUP(I520,$C$3:$L$6,10,0)+J520+IF(OR(VLOOKUP(I520,$C$3:$L$6,5,0)=Variables!$B$5,B520&gt;VLOOKUP(I520,$C$3:$L$6,8,0)),IF(VLOOKUP(I520,$C$3:$L$6,5,0)=Variables!$B$5,((YEAR(B520)-YEAR($B$12))*12+MONTH(B520)-MONTH($B$12)),((YEAR(B520)-YEAR(VLOOKUP(I520,$C$3:$L$6,8,0)))*12+MONTH(B520)-MONTH(VLOOKUP(I520,$C$3:$L$6,8,0))))*VLOOKUP(I520,$C$3:$L$6,7,0),0)),""),"")</f>
        <v/>
      </c>
      <c r="L520" s="29" t="str">
        <f t="shared" ca="1" si="49"/>
        <v/>
      </c>
      <c r="M520" s="10"/>
      <c r="N520" s="10"/>
    </row>
    <row r="521" spans="1:14" x14ac:dyDescent="0.25">
      <c r="A521" s="10"/>
      <c r="B521" s="14" t="str">
        <f t="shared" ca="1" si="50"/>
        <v/>
      </c>
      <c r="C521" s="14" t="str">
        <f ca="1">IF(I520&lt;&gt;Variables!$B$1,IF(H520&lt;&gt;0,C520,I520),"")</f>
        <v/>
      </c>
      <c r="D521" s="29" t="str">
        <f t="shared" ca="1" si="47"/>
        <v/>
      </c>
      <c r="E521" s="29" t="str">
        <f t="shared" ca="1" si="48"/>
        <v/>
      </c>
      <c r="F521" s="29" t="str">
        <f ca="1">IF(C521&lt;&gt;"",IF(OR(VLOOKUP(C521,$C$3:$L$6,5,0)=Variables!$B$5,B521&gt;VLOOKUP(C521,$C$3:$L$6,8,0)),-D521*VLOOKUP(C521,$C$3:$L$6,6,0)/12,0),"")</f>
        <v/>
      </c>
      <c r="G521" s="29" t="str">
        <f ca="1">IF(I521&lt;&gt;Variables!$B$1,IF(C521&lt;&gt;"",$I$9-E521-F521,""),-D521)</f>
        <v/>
      </c>
      <c r="H521" s="29" t="str">
        <f t="shared" ca="1" si="51"/>
        <v/>
      </c>
      <c r="I521" s="31" t="str">
        <f ca="1">IF(C521&lt;&gt;"",IF(D521+$I$9-E521-F521&gt;=0,IF(ISERROR(INDEX($C$3:$C$6,MATCH(C521,$C$3:$C$6,0)+1,0)),Variables!$B$1,INDEX($C$3:$C$6,MATCH(C521,$C$3:$C$6,0)+1,0)),""),"")</f>
        <v/>
      </c>
      <c r="J521" s="29" t="str">
        <f ca="1">IF(ISERROR(VLOOKUP(I521,$C$3:$L$6,5,0)),"",IF(OR(VLOOKUP(I521,$C$3:$L$6,5,0)=Variables!$B$5,B521&gt;VLOOKUP(I521,$C$3:$L$6,8,0)),IF(VLOOKUP(I521,$C$3:$L$6,5,0)=Variables!$B$5,((YEAR(B521)-YEAR($B$12))*12+MONTH(B521)-MONTH($B$12)),((YEAR(B521)-YEAR(VLOOKUP(I521,$C$3:$L$6,8,0)))*12+MONTH(B521)-MONTH(VLOOKUP(I521,$C$3:$L$6,8,0))))*(VLOOKUP(I521,$C$3:$L$6,10,0)*VLOOKUP(I521,$C$3:$L$6,6,0)/12),0))</f>
        <v/>
      </c>
      <c r="K521" s="29" t="str">
        <f ca="1">IF(C521&lt;&gt;"",IF(I521&lt;&gt;"",IF(ISERROR(VLOOKUP(I521,$C$3:$L$6,10,0)),"",VLOOKUP(I521,$C$3:$L$6,10,0)+J521+IF(OR(VLOOKUP(I521,$C$3:$L$6,5,0)=Variables!$B$5,B521&gt;VLOOKUP(I521,$C$3:$L$6,8,0)),IF(VLOOKUP(I521,$C$3:$L$6,5,0)=Variables!$B$5,((YEAR(B521)-YEAR($B$12))*12+MONTH(B521)-MONTH($B$12)),((YEAR(B521)-YEAR(VLOOKUP(I521,$C$3:$L$6,8,0)))*12+MONTH(B521)-MONTH(VLOOKUP(I521,$C$3:$L$6,8,0))))*VLOOKUP(I521,$C$3:$L$6,7,0),0)),""),"")</f>
        <v/>
      </c>
      <c r="L521" s="29" t="str">
        <f t="shared" ca="1" si="49"/>
        <v/>
      </c>
      <c r="M521" s="10"/>
      <c r="N521" s="10"/>
    </row>
    <row r="522" spans="1:14" x14ac:dyDescent="0.25">
      <c r="A522" s="10"/>
      <c r="B522" s="14" t="str">
        <f t="shared" ca="1" si="50"/>
        <v/>
      </c>
      <c r="C522" s="14" t="str">
        <f ca="1">IF(I521&lt;&gt;Variables!$B$1,IF(H521&lt;&gt;0,C521,I521),"")</f>
        <v/>
      </c>
      <c r="D522" s="29" t="str">
        <f t="shared" ca="1" si="47"/>
        <v/>
      </c>
      <c r="E522" s="29" t="str">
        <f t="shared" ca="1" si="48"/>
        <v/>
      </c>
      <c r="F522" s="29" t="str">
        <f ca="1">IF(C522&lt;&gt;"",IF(OR(VLOOKUP(C522,$C$3:$L$6,5,0)=Variables!$B$5,B522&gt;VLOOKUP(C522,$C$3:$L$6,8,0)),-D522*VLOOKUP(C522,$C$3:$L$6,6,0)/12,0),"")</f>
        <v/>
      </c>
      <c r="G522" s="29" t="str">
        <f ca="1">IF(I522&lt;&gt;Variables!$B$1,IF(C522&lt;&gt;"",$I$9-E522-F522,""),-D522)</f>
        <v/>
      </c>
      <c r="H522" s="29" t="str">
        <f t="shared" ca="1" si="51"/>
        <v/>
      </c>
      <c r="I522" s="31" t="str">
        <f ca="1">IF(C522&lt;&gt;"",IF(D522+$I$9-E522-F522&gt;=0,IF(ISERROR(INDEX($C$3:$C$6,MATCH(C522,$C$3:$C$6,0)+1,0)),Variables!$B$1,INDEX($C$3:$C$6,MATCH(C522,$C$3:$C$6,0)+1,0)),""),"")</f>
        <v/>
      </c>
      <c r="J522" s="29" t="str">
        <f ca="1">IF(ISERROR(VLOOKUP(I522,$C$3:$L$6,5,0)),"",IF(OR(VLOOKUP(I522,$C$3:$L$6,5,0)=Variables!$B$5,B522&gt;VLOOKUP(I522,$C$3:$L$6,8,0)),IF(VLOOKUP(I522,$C$3:$L$6,5,0)=Variables!$B$5,((YEAR(B522)-YEAR($B$12))*12+MONTH(B522)-MONTH($B$12)),((YEAR(B522)-YEAR(VLOOKUP(I522,$C$3:$L$6,8,0)))*12+MONTH(B522)-MONTH(VLOOKUP(I522,$C$3:$L$6,8,0))))*(VLOOKUP(I522,$C$3:$L$6,10,0)*VLOOKUP(I522,$C$3:$L$6,6,0)/12),0))</f>
        <v/>
      </c>
      <c r="K522" s="29" t="str">
        <f ca="1">IF(C522&lt;&gt;"",IF(I522&lt;&gt;"",IF(ISERROR(VLOOKUP(I522,$C$3:$L$6,10,0)),"",VLOOKUP(I522,$C$3:$L$6,10,0)+J522+IF(OR(VLOOKUP(I522,$C$3:$L$6,5,0)=Variables!$B$5,B522&gt;VLOOKUP(I522,$C$3:$L$6,8,0)),IF(VLOOKUP(I522,$C$3:$L$6,5,0)=Variables!$B$5,((YEAR(B522)-YEAR($B$12))*12+MONTH(B522)-MONTH($B$12)),((YEAR(B522)-YEAR(VLOOKUP(I522,$C$3:$L$6,8,0)))*12+MONTH(B522)-MONTH(VLOOKUP(I522,$C$3:$L$6,8,0))))*VLOOKUP(I522,$C$3:$L$6,7,0),0)),""),"")</f>
        <v/>
      </c>
      <c r="L522" s="29" t="str">
        <f t="shared" ca="1" si="49"/>
        <v/>
      </c>
      <c r="M522" s="10"/>
      <c r="N522" s="10"/>
    </row>
    <row r="523" spans="1:14" x14ac:dyDescent="0.25">
      <c r="A523" s="10"/>
      <c r="B523" s="14" t="str">
        <f t="shared" ca="1" si="50"/>
        <v/>
      </c>
      <c r="C523" s="14" t="str">
        <f ca="1">IF(I522&lt;&gt;Variables!$B$1,IF(H522&lt;&gt;0,C522,I522),"")</f>
        <v/>
      </c>
      <c r="D523" s="29" t="str">
        <f t="shared" ca="1" si="47"/>
        <v/>
      </c>
      <c r="E523" s="29" t="str">
        <f t="shared" ca="1" si="48"/>
        <v/>
      </c>
      <c r="F523" s="29" t="str">
        <f ca="1">IF(C523&lt;&gt;"",IF(OR(VLOOKUP(C523,$C$3:$L$6,5,0)=Variables!$B$5,B523&gt;VLOOKUP(C523,$C$3:$L$6,8,0)),-D523*VLOOKUP(C523,$C$3:$L$6,6,0)/12,0),"")</f>
        <v/>
      </c>
      <c r="G523" s="29" t="str">
        <f ca="1">IF(I523&lt;&gt;Variables!$B$1,IF(C523&lt;&gt;"",$I$9-E523-F523,""),-D523)</f>
        <v/>
      </c>
      <c r="H523" s="29" t="str">
        <f t="shared" ca="1" si="51"/>
        <v/>
      </c>
      <c r="I523" s="31" t="str">
        <f ca="1">IF(C523&lt;&gt;"",IF(D523+$I$9-E523-F523&gt;=0,IF(ISERROR(INDEX($C$3:$C$6,MATCH(C523,$C$3:$C$6,0)+1,0)),Variables!$B$1,INDEX($C$3:$C$6,MATCH(C523,$C$3:$C$6,0)+1,0)),""),"")</f>
        <v/>
      </c>
      <c r="J523" s="29" t="str">
        <f ca="1">IF(ISERROR(VLOOKUP(I523,$C$3:$L$6,5,0)),"",IF(OR(VLOOKUP(I523,$C$3:$L$6,5,0)=Variables!$B$5,B523&gt;VLOOKUP(I523,$C$3:$L$6,8,0)),IF(VLOOKUP(I523,$C$3:$L$6,5,0)=Variables!$B$5,((YEAR(B523)-YEAR($B$12))*12+MONTH(B523)-MONTH($B$12)),((YEAR(B523)-YEAR(VLOOKUP(I523,$C$3:$L$6,8,0)))*12+MONTH(B523)-MONTH(VLOOKUP(I523,$C$3:$L$6,8,0))))*(VLOOKUP(I523,$C$3:$L$6,10,0)*VLOOKUP(I523,$C$3:$L$6,6,0)/12),0))</f>
        <v/>
      </c>
      <c r="K523" s="29" t="str">
        <f ca="1">IF(C523&lt;&gt;"",IF(I523&lt;&gt;"",IF(ISERROR(VLOOKUP(I523,$C$3:$L$6,10,0)),"",VLOOKUP(I523,$C$3:$L$6,10,0)+J523+IF(OR(VLOOKUP(I523,$C$3:$L$6,5,0)=Variables!$B$5,B523&gt;VLOOKUP(I523,$C$3:$L$6,8,0)),IF(VLOOKUP(I523,$C$3:$L$6,5,0)=Variables!$B$5,((YEAR(B523)-YEAR($B$12))*12+MONTH(B523)-MONTH($B$12)),((YEAR(B523)-YEAR(VLOOKUP(I523,$C$3:$L$6,8,0)))*12+MONTH(B523)-MONTH(VLOOKUP(I523,$C$3:$L$6,8,0))))*VLOOKUP(I523,$C$3:$L$6,7,0),0)),""),"")</f>
        <v/>
      </c>
      <c r="L523" s="29" t="str">
        <f t="shared" ca="1" si="49"/>
        <v/>
      </c>
      <c r="M523" s="10"/>
      <c r="N523" s="10"/>
    </row>
    <row r="524" spans="1:14" x14ac:dyDescent="0.25">
      <c r="A524" s="10"/>
      <c r="B524" s="14" t="str">
        <f t="shared" ca="1" si="50"/>
        <v/>
      </c>
      <c r="C524" s="14" t="str">
        <f ca="1">IF(I523&lt;&gt;Variables!$B$1,IF(H523&lt;&gt;0,C523,I523),"")</f>
        <v/>
      </c>
      <c r="D524" s="29" t="str">
        <f t="shared" ca="1" si="47"/>
        <v/>
      </c>
      <c r="E524" s="29" t="str">
        <f t="shared" ca="1" si="48"/>
        <v/>
      </c>
      <c r="F524" s="29" t="str">
        <f ca="1">IF(C524&lt;&gt;"",IF(OR(VLOOKUP(C524,$C$3:$L$6,5,0)=Variables!$B$5,B524&gt;VLOOKUP(C524,$C$3:$L$6,8,0)),-D524*VLOOKUP(C524,$C$3:$L$6,6,0)/12,0),"")</f>
        <v/>
      </c>
      <c r="G524" s="29" t="str">
        <f ca="1">IF(I524&lt;&gt;Variables!$B$1,IF(C524&lt;&gt;"",$I$9-E524-F524,""),-D524)</f>
        <v/>
      </c>
      <c r="H524" s="29" t="str">
        <f t="shared" ca="1" si="51"/>
        <v/>
      </c>
      <c r="I524" s="31" t="str">
        <f ca="1">IF(C524&lt;&gt;"",IF(D524+$I$9-E524-F524&gt;=0,IF(ISERROR(INDEX($C$3:$C$6,MATCH(C524,$C$3:$C$6,0)+1,0)),Variables!$B$1,INDEX($C$3:$C$6,MATCH(C524,$C$3:$C$6,0)+1,0)),""),"")</f>
        <v/>
      </c>
      <c r="J524" s="29" t="str">
        <f ca="1">IF(ISERROR(VLOOKUP(I524,$C$3:$L$6,5,0)),"",IF(OR(VLOOKUP(I524,$C$3:$L$6,5,0)=Variables!$B$5,B524&gt;VLOOKUP(I524,$C$3:$L$6,8,0)),IF(VLOOKUP(I524,$C$3:$L$6,5,0)=Variables!$B$5,((YEAR(B524)-YEAR($B$12))*12+MONTH(B524)-MONTH($B$12)),((YEAR(B524)-YEAR(VLOOKUP(I524,$C$3:$L$6,8,0)))*12+MONTH(B524)-MONTH(VLOOKUP(I524,$C$3:$L$6,8,0))))*(VLOOKUP(I524,$C$3:$L$6,10,0)*VLOOKUP(I524,$C$3:$L$6,6,0)/12),0))</f>
        <v/>
      </c>
      <c r="K524" s="29" t="str">
        <f ca="1">IF(C524&lt;&gt;"",IF(I524&lt;&gt;"",IF(ISERROR(VLOOKUP(I524,$C$3:$L$6,10,0)),"",VLOOKUP(I524,$C$3:$L$6,10,0)+J524+IF(OR(VLOOKUP(I524,$C$3:$L$6,5,0)=Variables!$B$5,B524&gt;VLOOKUP(I524,$C$3:$L$6,8,0)),IF(VLOOKUP(I524,$C$3:$L$6,5,0)=Variables!$B$5,((YEAR(B524)-YEAR($B$12))*12+MONTH(B524)-MONTH($B$12)),((YEAR(B524)-YEAR(VLOOKUP(I524,$C$3:$L$6,8,0)))*12+MONTH(B524)-MONTH(VLOOKUP(I524,$C$3:$L$6,8,0))))*VLOOKUP(I524,$C$3:$L$6,7,0),0)),""),"")</f>
        <v/>
      </c>
      <c r="L524" s="29" t="str">
        <f t="shared" ca="1" si="49"/>
        <v/>
      </c>
      <c r="M524" s="10"/>
      <c r="N524" s="10"/>
    </row>
    <row r="525" spans="1:14" x14ac:dyDescent="0.25">
      <c r="A525" s="10"/>
      <c r="B525" s="14" t="str">
        <f t="shared" ca="1" si="50"/>
        <v/>
      </c>
      <c r="C525" s="14" t="str">
        <f ca="1">IF(I524&lt;&gt;Variables!$B$1,IF(H524&lt;&gt;0,C524,I524),"")</f>
        <v/>
      </c>
      <c r="D525" s="29" t="str">
        <f t="shared" ca="1" si="47"/>
        <v/>
      </c>
      <c r="E525" s="29" t="str">
        <f t="shared" ca="1" si="48"/>
        <v/>
      </c>
      <c r="F525" s="29" t="str">
        <f ca="1">IF(C525&lt;&gt;"",IF(OR(VLOOKUP(C525,$C$3:$L$6,5,0)=Variables!$B$5,B525&gt;VLOOKUP(C525,$C$3:$L$6,8,0)),-D525*VLOOKUP(C525,$C$3:$L$6,6,0)/12,0),"")</f>
        <v/>
      </c>
      <c r="G525" s="29" t="str">
        <f ca="1">IF(I525&lt;&gt;Variables!$B$1,IF(C525&lt;&gt;"",$I$9-E525-F525,""),-D525)</f>
        <v/>
      </c>
      <c r="H525" s="29" t="str">
        <f t="shared" ca="1" si="51"/>
        <v/>
      </c>
      <c r="I525" s="31" t="str">
        <f ca="1">IF(C525&lt;&gt;"",IF(D525+$I$9-E525-F525&gt;=0,IF(ISERROR(INDEX($C$3:$C$6,MATCH(C525,$C$3:$C$6,0)+1,0)),Variables!$B$1,INDEX($C$3:$C$6,MATCH(C525,$C$3:$C$6,0)+1,0)),""),"")</f>
        <v/>
      </c>
      <c r="J525" s="29" t="str">
        <f ca="1">IF(ISERROR(VLOOKUP(I525,$C$3:$L$6,5,0)),"",IF(OR(VLOOKUP(I525,$C$3:$L$6,5,0)=Variables!$B$5,B525&gt;VLOOKUP(I525,$C$3:$L$6,8,0)),IF(VLOOKUP(I525,$C$3:$L$6,5,0)=Variables!$B$5,((YEAR(B525)-YEAR($B$12))*12+MONTH(B525)-MONTH($B$12)),((YEAR(B525)-YEAR(VLOOKUP(I525,$C$3:$L$6,8,0)))*12+MONTH(B525)-MONTH(VLOOKUP(I525,$C$3:$L$6,8,0))))*(VLOOKUP(I525,$C$3:$L$6,10,0)*VLOOKUP(I525,$C$3:$L$6,6,0)/12),0))</f>
        <v/>
      </c>
      <c r="K525" s="29" t="str">
        <f ca="1">IF(C525&lt;&gt;"",IF(I525&lt;&gt;"",IF(ISERROR(VLOOKUP(I525,$C$3:$L$6,10,0)),"",VLOOKUP(I525,$C$3:$L$6,10,0)+J525+IF(OR(VLOOKUP(I525,$C$3:$L$6,5,0)=Variables!$B$5,B525&gt;VLOOKUP(I525,$C$3:$L$6,8,0)),IF(VLOOKUP(I525,$C$3:$L$6,5,0)=Variables!$B$5,((YEAR(B525)-YEAR($B$12))*12+MONTH(B525)-MONTH($B$12)),((YEAR(B525)-YEAR(VLOOKUP(I525,$C$3:$L$6,8,0)))*12+MONTH(B525)-MONTH(VLOOKUP(I525,$C$3:$L$6,8,0))))*VLOOKUP(I525,$C$3:$L$6,7,0),0)),""),"")</f>
        <v/>
      </c>
      <c r="L525" s="29" t="str">
        <f t="shared" ca="1" si="49"/>
        <v/>
      </c>
      <c r="M525" s="10"/>
      <c r="N525" s="10"/>
    </row>
    <row r="526" spans="1:14" x14ac:dyDescent="0.25">
      <c r="A526" s="10"/>
      <c r="B526" s="14" t="str">
        <f t="shared" ca="1" si="50"/>
        <v/>
      </c>
      <c r="C526" s="14" t="str">
        <f ca="1">IF(I525&lt;&gt;Variables!$B$1,IF(H525&lt;&gt;0,C525,I525),"")</f>
        <v/>
      </c>
      <c r="D526" s="29" t="str">
        <f t="shared" ca="1" si="47"/>
        <v/>
      </c>
      <c r="E526" s="29" t="str">
        <f t="shared" ca="1" si="48"/>
        <v/>
      </c>
      <c r="F526" s="29" t="str">
        <f ca="1">IF(C526&lt;&gt;"",IF(OR(VLOOKUP(C526,$C$3:$L$6,5,0)=Variables!$B$5,B526&gt;VLOOKUP(C526,$C$3:$L$6,8,0)),-D526*VLOOKUP(C526,$C$3:$L$6,6,0)/12,0),"")</f>
        <v/>
      </c>
      <c r="G526" s="29" t="str">
        <f ca="1">IF(I526&lt;&gt;Variables!$B$1,IF(C526&lt;&gt;"",$I$9-E526-F526,""),-D526)</f>
        <v/>
      </c>
      <c r="H526" s="29" t="str">
        <f t="shared" ca="1" si="51"/>
        <v/>
      </c>
      <c r="I526" s="31" t="str">
        <f ca="1">IF(C526&lt;&gt;"",IF(D526+$I$9-E526-F526&gt;=0,IF(ISERROR(INDEX($C$3:$C$6,MATCH(C526,$C$3:$C$6,0)+1,0)),Variables!$B$1,INDEX($C$3:$C$6,MATCH(C526,$C$3:$C$6,0)+1,0)),""),"")</f>
        <v/>
      </c>
      <c r="J526" s="29" t="str">
        <f ca="1">IF(ISERROR(VLOOKUP(I526,$C$3:$L$6,5,0)),"",IF(OR(VLOOKUP(I526,$C$3:$L$6,5,0)=Variables!$B$5,B526&gt;VLOOKUP(I526,$C$3:$L$6,8,0)),IF(VLOOKUP(I526,$C$3:$L$6,5,0)=Variables!$B$5,((YEAR(B526)-YEAR($B$12))*12+MONTH(B526)-MONTH($B$12)),((YEAR(B526)-YEAR(VLOOKUP(I526,$C$3:$L$6,8,0)))*12+MONTH(B526)-MONTH(VLOOKUP(I526,$C$3:$L$6,8,0))))*(VLOOKUP(I526,$C$3:$L$6,10,0)*VLOOKUP(I526,$C$3:$L$6,6,0)/12),0))</f>
        <v/>
      </c>
      <c r="K526" s="29" t="str">
        <f ca="1">IF(C526&lt;&gt;"",IF(I526&lt;&gt;"",IF(ISERROR(VLOOKUP(I526,$C$3:$L$6,10,0)),"",VLOOKUP(I526,$C$3:$L$6,10,0)+J526+IF(OR(VLOOKUP(I526,$C$3:$L$6,5,0)=Variables!$B$5,B526&gt;VLOOKUP(I526,$C$3:$L$6,8,0)),IF(VLOOKUP(I526,$C$3:$L$6,5,0)=Variables!$B$5,((YEAR(B526)-YEAR($B$12))*12+MONTH(B526)-MONTH($B$12)),((YEAR(B526)-YEAR(VLOOKUP(I526,$C$3:$L$6,8,0)))*12+MONTH(B526)-MONTH(VLOOKUP(I526,$C$3:$L$6,8,0))))*VLOOKUP(I526,$C$3:$L$6,7,0),0)),""),"")</f>
        <v/>
      </c>
      <c r="L526" s="29" t="str">
        <f t="shared" ca="1" si="49"/>
        <v/>
      </c>
      <c r="M526" s="10"/>
      <c r="N526" s="10"/>
    </row>
    <row r="527" spans="1:14" x14ac:dyDescent="0.25">
      <c r="A527" s="10"/>
      <c r="B527" s="14" t="str">
        <f t="shared" ca="1" si="50"/>
        <v/>
      </c>
      <c r="C527" s="14" t="str">
        <f ca="1">IF(I526&lt;&gt;Variables!$B$1,IF(H526&lt;&gt;0,C526,I526),"")</f>
        <v/>
      </c>
      <c r="D527" s="29" t="str">
        <f t="shared" ca="1" si="47"/>
        <v/>
      </c>
      <c r="E527" s="29" t="str">
        <f t="shared" ca="1" si="48"/>
        <v/>
      </c>
      <c r="F527" s="29" t="str">
        <f ca="1">IF(C527&lt;&gt;"",IF(OR(VLOOKUP(C527,$C$3:$L$6,5,0)=Variables!$B$5,B527&gt;VLOOKUP(C527,$C$3:$L$6,8,0)),-D527*VLOOKUP(C527,$C$3:$L$6,6,0)/12,0),"")</f>
        <v/>
      </c>
      <c r="G527" s="29" t="str">
        <f ca="1">IF(I527&lt;&gt;Variables!$B$1,IF(C527&lt;&gt;"",$I$9-E527-F527,""),-D527)</f>
        <v/>
      </c>
      <c r="H527" s="29" t="str">
        <f t="shared" ca="1" si="51"/>
        <v/>
      </c>
      <c r="I527" s="31" t="str">
        <f ca="1">IF(C527&lt;&gt;"",IF(D527+$I$9-E527-F527&gt;=0,IF(ISERROR(INDEX($C$3:$C$6,MATCH(C527,$C$3:$C$6,0)+1,0)),Variables!$B$1,INDEX($C$3:$C$6,MATCH(C527,$C$3:$C$6,0)+1,0)),""),"")</f>
        <v/>
      </c>
      <c r="J527" s="29" t="str">
        <f ca="1">IF(ISERROR(VLOOKUP(I527,$C$3:$L$6,5,0)),"",IF(OR(VLOOKUP(I527,$C$3:$L$6,5,0)=Variables!$B$5,B527&gt;VLOOKUP(I527,$C$3:$L$6,8,0)),IF(VLOOKUP(I527,$C$3:$L$6,5,0)=Variables!$B$5,((YEAR(B527)-YEAR($B$12))*12+MONTH(B527)-MONTH($B$12)),((YEAR(B527)-YEAR(VLOOKUP(I527,$C$3:$L$6,8,0)))*12+MONTH(B527)-MONTH(VLOOKUP(I527,$C$3:$L$6,8,0))))*(VLOOKUP(I527,$C$3:$L$6,10,0)*VLOOKUP(I527,$C$3:$L$6,6,0)/12),0))</f>
        <v/>
      </c>
      <c r="K527" s="29" t="str">
        <f ca="1">IF(C527&lt;&gt;"",IF(I527&lt;&gt;"",IF(ISERROR(VLOOKUP(I527,$C$3:$L$6,10,0)),"",VLOOKUP(I527,$C$3:$L$6,10,0)+J527+IF(OR(VLOOKUP(I527,$C$3:$L$6,5,0)=Variables!$B$5,B527&gt;VLOOKUP(I527,$C$3:$L$6,8,0)),IF(VLOOKUP(I527,$C$3:$L$6,5,0)=Variables!$B$5,((YEAR(B527)-YEAR($B$12))*12+MONTH(B527)-MONTH($B$12)),((YEAR(B527)-YEAR(VLOOKUP(I527,$C$3:$L$6,8,0)))*12+MONTH(B527)-MONTH(VLOOKUP(I527,$C$3:$L$6,8,0))))*VLOOKUP(I527,$C$3:$L$6,7,0),0)),""),"")</f>
        <v/>
      </c>
      <c r="L527" s="29" t="str">
        <f t="shared" ca="1" si="49"/>
        <v/>
      </c>
      <c r="M527" s="10"/>
      <c r="N527" s="10"/>
    </row>
    <row r="528" spans="1:14" x14ac:dyDescent="0.25">
      <c r="A528" s="10"/>
      <c r="B528" s="14" t="str">
        <f t="shared" ca="1" si="50"/>
        <v/>
      </c>
      <c r="C528" s="14" t="str">
        <f ca="1">IF(I527&lt;&gt;Variables!$B$1,IF(H527&lt;&gt;0,C527,I527),"")</f>
        <v/>
      </c>
      <c r="D528" s="29" t="str">
        <f t="shared" ca="1" si="47"/>
        <v/>
      </c>
      <c r="E528" s="29" t="str">
        <f t="shared" ca="1" si="48"/>
        <v/>
      </c>
      <c r="F528" s="29" t="str">
        <f ca="1">IF(C528&lt;&gt;"",IF(OR(VLOOKUP(C528,$C$3:$L$6,5,0)=Variables!$B$5,B528&gt;VLOOKUP(C528,$C$3:$L$6,8,0)),-D528*VLOOKUP(C528,$C$3:$L$6,6,0)/12,0),"")</f>
        <v/>
      </c>
      <c r="G528" s="29" t="str">
        <f ca="1">IF(I528&lt;&gt;Variables!$B$1,IF(C528&lt;&gt;"",$I$9-E528-F528,""),-D528)</f>
        <v/>
      </c>
      <c r="H528" s="29" t="str">
        <f t="shared" ca="1" si="51"/>
        <v/>
      </c>
      <c r="I528" s="31" t="str">
        <f ca="1">IF(C528&lt;&gt;"",IF(D528+$I$9-E528-F528&gt;=0,IF(ISERROR(INDEX($C$3:$C$6,MATCH(C528,$C$3:$C$6,0)+1,0)),Variables!$B$1,INDEX($C$3:$C$6,MATCH(C528,$C$3:$C$6,0)+1,0)),""),"")</f>
        <v/>
      </c>
      <c r="J528" s="29" t="str">
        <f ca="1">IF(ISERROR(VLOOKUP(I528,$C$3:$L$6,5,0)),"",IF(OR(VLOOKUP(I528,$C$3:$L$6,5,0)=Variables!$B$5,B528&gt;VLOOKUP(I528,$C$3:$L$6,8,0)),IF(VLOOKUP(I528,$C$3:$L$6,5,0)=Variables!$B$5,((YEAR(B528)-YEAR($B$12))*12+MONTH(B528)-MONTH($B$12)),((YEAR(B528)-YEAR(VLOOKUP(I528,$C$3:$L$6,8,0)))*12+MONTH(B528)-MONTH(VLOOKUP(I528,$C$3:$L$6,8,0))))*(VLOOKUP(I528,$C$3:$L$6,10,0)*VLOOKUP(I528,$C$3:$L$6,6,0)/12),0))</f>
        <v/>
      </c>
      <c r="K528" s="29" t="str">
        <f ca="1">IF(C528&lt;&gt;"",IF(I528&lt;&gt;"",IF(ISERROR(VLOOKUP(I528,$C$3:$L$6,10,0)),"",VLOOKUP(I528,$C$3:$L$6,10,0)+J528+IF(OR(VLOOKUP(I528,$C$3:$L$6,5,0)=Variables!$B$5,B528&gt;VLOOKUP(I528,$C$3:$L$6,8,0)),IF(VLOOKUP(I528,$C$3:$L$6,5,0)=Variables!$B$5,((YEAR(B528)-YEAR($B$12))*12+MONTH(B528)-MONTH($B$12)),((YEAR(B528)-YEAR(VLOOKUP(I528,$C$3:$L$6,8,0)))*12+MONTH(B528)-MONTH(VLOOKUP(I528,$C$3:$L$6,8,0))))*VLOOKUP(I528,$C$3:$L$6,7,0),0)),""),"")</f>
        <v/>
      </c>
      <c r="L528" s="29" t="str">
        <f t="shared" ca="1" si="49"/>
        <v/>
      </c>
      <c r="M528" s="10"/>
      <c r="N528" s="10"/>
    </row>
    <row r="529" spans="1:14" x14ac:dyDescent="0.25">
      <c r="A529" s="10"/>
      <c r="B529" s="14" t="str">
        <f t="shared" ca="1" si="50"/>
        <v/>
      </c>
      <c r="C529" s="14" t="str">
        <f ca="1">IF(I528&lt;&gt;Variables!$B$1,IF(H528&lt;&gt;0,C528,I528),"")</f>
        <v/>
      </c>
      <c r="D529" s="29" t="str">
        <f t="shared" ca="1" si="47"/>
        <v/>
      </c>
      <c r="E529" s="29" t="str">
        <f t="shared" ca="1" si="48"/>
        <v/>
      </c>
      <c r="F529" s="29" t="str">
        <f ca="1">IF(C529&lt;&gt;"",IF(OR(VLOOKUP(C529,$C$3:$L$6,5,0)=Variables!$B$5,B529&gt;VLOOKUP(C529,$C$3:$L$6,8,0)),-D529*VLOOKUP(C529,$C$3:$L$6,6,0)/12,0),"")</f>
        <v/>
      </c>
      <c r="G529" s="29" t="str">
        <f ca="1">IF(I529&lt;&gt;Variables!$B$1,IF(C529&lt;&gt;"",$I$9-E529-F529,""),-D529)</f>
        <v/>
      </c>
      <c r="H529" s="29" t="str">
        <f t="shared" ca="1" si="51"/>
        <v/>
      </c>
      <c r="I529" s="31" t="str">
        <f ca="1">IF(C529&lt;&gt;"",IF(D529+$I$9-E529-F529&gt;=0,IF(ISERROR(INDEX($C$3:$C$6,MATCH(C529,$C$3:$C$6,0)+1,0)),Variables!$B$1,INDEX($C$3:$C$6,MATCH(C529,$C$3:$C$6,0)+1,0)),""),"")</f>
        <v/>
      </c>
      <c r="J529" s="29" t="str">
        <f ca="1">IF(ISERROR(VLOOKUP(I529,$C$3:$L$6,5,0)),"",IF(OR(VLOOKUP(I529,$C$3:$L$6,5,0)=Variables!$B$5,B529&gt;VLOOKUP(I529,$C$3:$L$6,8,0)),IF(VLOOKUP(I529,$C$3:$L$6,5,0)=Variables!$B$5,((YEAR(B529)-YEAR($B$12))*12+MONTH(B529)-MONTH($B$12)),((YEAR(B529)-YEAR(VLOOKUP(I529,$C$3:$L$6,8,0)))*12+MONTH(B529)-MONTH(VLOOKUP(I529,$C$3:$L$6,8,0))))*(VLOOKUP(I529,$C$3:$L$6,10,0)*VLOOKUP(I529,$C$3:$L$6,6,0)/12),0))</f>
        <v/>
      </c>
      <c r="K529" s="29" t="str">
        <f ca="1">IF(C529&lt;&gt;"",IF(I529&lt;&gt;"",IF(ISERROR(VLOOKUP(I529,$C$3:$L$6,10,0)),"",VLOOKUP(I529,$C$3:$L$6,10,0)+J529+IF(OR(VLOOKUP(I529,$C$3:$L$6,5,0)=Variables!$B$5,B529&gt;VLOOKUP(I529,$C$3:$L$6,8,0)),IF(VLOOKUP(I529,$C$3:$L$6,5,0)=Variables!$B$5,((YEAR(B529)-YEAR($B$12))*12+MONTH(B529)-MONTH($B$12)),((YEAR(B529)-YEAR(VLOOKUP(I529,$C$3:$L$6,8,0)))*12+MONTH(B529)-MONTH(VLOOKUP(I529,$C$3:$L$6,8,0))))*VLOOKUP(I529,$C$3:$L$6,7,0),0)),""),"")</f>
        <v/>
      </c>
      <c r="L529" s="29" t="str">
        <f t="shared" ca="1" si="49"/>
        <v/>
      </c>
      <c r="M529" s="10"/>
      <c r="N529" s="10"/>
    </row>
    <row r="530" spans="1:14" x14ac:dyDescent="0.25">
      <c r="A530" s="10"/>
      <c r="B530" s="14" t="str">
        <f t="shared" ca="1" si="50"/>
        <v/>
      </c>
      <c r="C530" s="14" t="str">
        <f ca="1">IF(I529&lt;&gt;Variables!$B$1,IF(H529&lt;&gt;0,C529,I529),"")</f>
        <v/>
      </c>
      <c r="D530" s="29" t="str">
        <f t="shared" ca="1" si="47"/>
        <v/>
      </c>
      <c r="E530" s="29" t="str">
        <f t="shared" ca="1" si="48"/>
        <v/>
      </c>
      <c r="F530" s="29" t="str">
        <f ca="1">IF(C530&lt;&gt;"",IF(OR(VLOOKUP(C530,$C$3:$L$6,5,0)=Variables!$B$5,B530&gt;VLOOKUP(C530,$C$3:$L$6,8,0)),-D530*VLOOKUP(C530,$C$3:$L$6,6,0)/12,0),"")</f>
        <v/>
      </c>
      <c r="G530" s="29" t="str">
        <f ca="1">IF(I530&lt;&gt;Variables!$B$1,IF(C530&lt;&gt;"",$I$9-E530-F530,""),-D530)</f>
        <v/>
      </c>
      <c r="H530" s="29" t="str">
        <f t="shared" ca="1" si="51"/>
        <v/>
      </c>
      <c r="I530" s="31" t="str">
        <f ca="1">IF(C530&lt;&gt;"",IF(D530+$I$9-E530-F530&gt;=0,IF(ISERROR(INDEX($C$3:$C$6,MATCH(C530,$C$3:$C$6,0)+1,0)),Variables!$B$1,INDEX($C$3:$C$6,MATCH(C530,$C$3:$C$6,0)+1,0)),""),"")</f>
        <v/>
      </c>
      <c r="J530" s="29" t="str">
        <f ca="1">IF(ISERROR(VLOOKUP(I530,$C$3:$L$6,5,0)),"",IF(OR(VLOOKUP(I530,$C$3:$L$6,5,0)=Variables!$B$5,B530&gt;VLOOKUP(I530,$C$3:$L$6,8,0)),IF(VLOOKUP(I530,$C$3:$L$6,5,0)=Variables!$B$5,((YEAR(B530)-YEAR($B$12))*12+MONTH(B530)-MONTH($B$12)),((YEAR(B530)-YEAR(VLOOKUP(I530,$C$3:$L$6,8,0)))*12+MONTH(B530)-MONTH(VLOOKUP(I530,$C$3:$L$6,8,0))))*(VLOOKUP(I530,$C$3:$L$6,10,0)*VLOOKUP(I530,$C$3:$L$6,6,0)/12),0))</f>
        <v/>
      </c>
      <c r="K530" s="29" t="str">
        <f ca="1">IF(C530&lt;&gt;"",IF(I530&lt;&gt;"",IF(ISERROR(VLOOKUP(I530,$C$3:$L$6,10,0)),"",VLOOKUP(I530,$C$3:$L$6,10,0)+J530+IF(OR(VLOOKUP(I530,$C$3:$L$6,5,0)=Variables!$B$5,B530&gt;VLOOKUP(I530,$C$3:$L$6,8,0)),IF(VLOOKUP(I530,$C$3:$L$6,5,0)=Variables!$B$5,((YEAR(B530)-YEAR($B$12))*12+MONTH(B530)-MONTH($B$12)),((YEAR(B530)-YEAR(VLOOKUP(I530,$C$3:$L$6,8,0)))*12+MONTH(B530)-MONTH(VLOOKUP(I530,$C$3:$L$6,8,0))))*VLOOKUP(I530,$C$3:$L$6,7,0),0)),""),"")</f>
        <v/>
      </c>
      <c r="L530" s="29" t="str">
        <f t="shared" ca="1" si="49"/>
        <v/>
      </c>
      <c r="M530" s="10"/>
      <c r="N530" s="10"/>
    </row>
    <row r="531" spans="1:14" x14ac:dyDescent="0.25">
      <c r="A531" s="10"/>
      <c r="B531" s="14" t="str">
        <f t="shared" ca="1" si="50"/>
        <v/>
      </c>
      <c r="C531" s="14" t="str">
        <f ca="1">IF(I530&lt;&gt;Variables!$B$1,IF(H530&lt;&gt;0,C530,I530),"")</f>
        <v/>
      </c>
      <c r="D531" s="29" t="str">
        <f t="shared" ca="1" si="47"/>
        <v/>
      </c>
      <c r="E531" s="29" t="str">
        <f t="shared" ca="1" si="48"/>
        <v/>
      </c>
      <c r="F531" s="29" t="str">
        <f ca="1">IF(C531&lt;&gt;"",IF(OR(VLOOKUP(C531,$C$3:$L$6,5,0)=Variables!$B$5,B531&gt;VLOOKUP(C531,$C$3:$L$6,8,0)),-D531*VLOOKUP(C531,$C$3:$L$6,6,0)/12,0),"")</f>
        <v/>
      </c>
      <c r="G531" s="29" t="str">
        <f ca="1">IF(I531&lt;&gt;Variables!$B$1,IF(C531&lt;&gt;"",$I$9-E531-F531,""),-D531)</f>
        <v/>
      </c>
      <c r="H531" s="29" t="str">
        <f t="shared" ca="1" si="51"/>
        <v/>
      </c>
      <c r="I531" s="31" t="str">
        <f ca="1">IF(C531&lt;&gt;"",IF(D531+$I$9-E531-F531&gt;=0,IF(ISERROR(INDEX($C$3:$C$6,MATCH(C531,$C$3:$C$6,0)+1,0)),Variables!$B$1,INDEX($C$3:$C$6,MATCH(C531,$C$3:$C$6,0)+1,0)),""),"")</f>
        <v/>
      </c>
      <c r="J531" s="29" t="str">
        <f ca="1">IF(ISERROR(VLOOKUP(I531,$C$3:$L$6,5,0)),"",IF(OR(VLOOKUP(I531,$C$3:$L$6,5,0)=Variables!$B$5,B531&gt;VLOOKUP(I531,$C$3:$L$6,8,0)),IF(VLOOKUP(I531,$C$3:$L$6,5,0)=Variables!$B$5,((YEAR(B531)-YEAR($B$12))*12+MONTH(B531)-MONTH($B$12)),((YEAR(B531)-YEAR(VLOOKUP(I531,$C$3:$L$6,8,0)))*12+MONTH(B531)-MONTH(VLOOKUP(I531,$C$3:$L$6,8,0))))*(VLOOKUP(I531,$C$3:$L$6,10,0)*VLOOKUP(I531,$C$3:$L$6,6,0)/12),0))</f>
        <v/>
      </c>
      <c r="K531" s="29" t="str">
        <f ca="1">IF(C531&lt;&gt;"",IF(I531&lt;&gt;"",IF(ISERROR(VLOOKUP(I531,$C$3:$L$6,10,0)),"",VLOOKUP(I531,$C$3:$L$6,10,0)+J531+IF(OR(VLOOKUP(I531,$C$3:$L$6,5,0)=Variables!$B$5,B531&gt;VLOOKUP(I531,$C$3:$L$6,8,0)),IF(VLOOKUP(I531,$C$3:$L$6,5,0)=Variables!$B$5,((YEAR(B531)-YEAR($B$12))*12+MONTH(B531)-MONTH($B$12)),((YEAR(B531)-YEAR(VLOOKUP(I531,$C$3:$L$6,8,0)))*12+MONTH(B531)-MONTH(VLOOKUP(I531,$C$3:$L$6,8,0))))*VLOOKUP(I531,$C$3:$L$6,7,0),0)),""),"")</f>
        <v/>
      </c>
      <c r="L531" s="29" t="str">
        <f t="shared" ca="1" si="49"/>
        <v/>
      </c>
      <c r="M531" s="10"/>
      <c r="N531" s="10"/>
    </row>
    <row r="532" spans="1:14" x14ac:dyDescent="0.25">
      <c r="A532" s="10"/>
      <c r="B532" s="14" t="str">
        <f t="shared" ca="1" si="50"/>
        <v/>
      </c>
      <c r="C532" s="14" t="str">
        <f ca="1">IF(I531&lt;&gt;Variables!$B$1,IF(H531&lt;&gt;0,C531,I531),"")</f>
        <v/>
      </c>
      <c r="D532" s="29" t="str">
        <f t="shared" ca="1" si="47"/>
        <v/>
      </c>
      <c r="E532" s="29" t="str">
        <f t="shared" ca="1" si="48"/>
        <v/>
      </c>
      <c r="F532" s="29" t="str">
        <f ca="1">IF(C532&lt;&gt;"",IF(OR(VLOOKUP(C532,$C$3:$L$6,5,0)=Variables!$B$5,B532&gt;VLOOKUP(C532,$C$3:$L$6,8,0)),-D532*VLOOKUP(C532,$C$3:$L$6,6,0)/12,0),"")</f>
        <v/>
      </c>
      <c r="G532" s="29" t="str">
        <f ca="1">IF(I532&lt;&gt;Variables!$B$1,IF(C532&lt;&gt;"",$I$9-E532-F532,""),-D532)</f>
        <v/>
      </c>
      <c r="H532" s="29" t="str">
        <f t="shared" ca="1" si="51"/>
        <v/>
      </c>
      <c r="I532" s="31" t="str">
        <f ca="1">IF(C532&lt;&gt;"",IF(D532+$I$9-E532-F532&gt;=0,IF(ISERROR(INDEX($C$3:$C$6,MATCH(C532,$C$3:$C$6,0)+1,0)),Variables!$B$1,INDEX($C$3:$C$6,MATCH(C532,$C$3:$C$6,0)+1,0)),""),"")</f>
        <v/>
      </c>
      <c r="J532" s="29" t="str">
        <f ca="1">IF(ISERROR(VLOOKUP(I532,$C$3:$L$6,5,0)),"",IF(OR(VLOOKUP(I532,$C$3:$L$6,5,0)=Variables!$B$5,B532&gt;VLOOKUP(I532,$C$3:$L$6,8,0)),IF(VLOOKUP(I532,$C$3:$L$6,5,0)=Variables!$B$5,((YEAR(B532)-YEAR($B$12))*12+MONTH(B532)-MONTH($B$12)),((YEAR(B532)-YEAR(VLOOKUP(I532,$C$3:$L$6,8,0)))*12+MONTH(B532)-MONTH(VLOOKUP(I532,$C$3:$L$6,8,0))))*(VLOOKUP(I532,$C$3:$L$6,10,0)*VLOOKUP(I532,$C$3:$L$6,6,0)/12),0))</f>
        <v/>
      </c>
      <c r="K532" s="29" t="str">
        <f ca="1">IF(C532&lt;&gt;"",IF(I532&lt;&gt;"",IF(ISERROR(VLOOKUP(I532,$C$3:$L$6,10,0)),"",VLOOKUP(I532,$C$3:$L$6,10,0)+J532+IF(OR(VLOOKUP(I532,$C$3:$L$6,5,0)=Variables!$B$5,B532&gt;VLOOKUP(I532,$C$3:$L$6,8,0)),IF(VLOOKUP(I532,$C$3:$L$6,5,0)=Variables!$B$5,((YEAR(B532)-YEAR($B$12))*12+MONTH(B532)-MONTH($B$12)),((YEAR(B532)-YEAR(VLOOKUP(I532,$C$3:$L$6,8,0)))*12+MONTH(B532)-MONTH(VLOOKUP(I532,$C$3:$L$6,8,0))))*VLOOKUP(I532,$C$3:$L$6,7,0),0)),""),"")</f>
        <v/>
      </c>
      <c r="L532" s="29" t="str">
        <f t="shared" ca="1" si="49"/>
        <v/>
      </c>
      <c r="M532" s="10"/>
      <c r="N532" s="10"/>
    </row>
    <row r="533" spans="1:14" x14ac:dyDescent="0.25">
      <c r="A533" s="10"/>
      <c r="B533" s="14" t="str">
        <f t="shared" ca="1" si="50"/>
        <v/>
      </c>
      <c r="C533" s="14" t="str">
        <f ca="1">IF(I532&lt;&gt;Variables!$B$1,IF(H532&lt;&gt;0,C532,I532),"")</f>
        <v/>
      </c>
      <c r="D533" s="29" t="str">
        <f t="shared" ca="1" si="47"/>
        <v/>
      </c>
      <c r="E533" s="29" t="str">
        <f t="shared" ca="1" si="48"/>
        <v/>
      </c>
      <c r="F533" s="29" t="str">
        <f ca="1">IF(C533&lt;&gt;"",IF(OR(VLOOKUP(C533,$C$3:$L$6,5,0)=Variables!$B$5,B533&gt;VLOOKUP(C533,$C$3:$L$6,8,0)),-D533*VLOOKUP(C533,$C$3:$L$6,6,0)/12,0),"")</f>
        <v/>
      </c>
      <c r="G533" s="29" t="str">
        <f ca="1">IF(I533&lt;&gt;Variables!$B$1,IF(C533&lt;&gt;"",$I$9-E533-F533,""),-D533)</f>
        <v/>
      </c>
      <c r="H533" s="29" t="str">
        <f t="shared" ca="1" si="51"/>
        <v/>
      </c>
      <c r="I533" s="31" t="str">
        <f ca="1">IF(C533&lt;&gt;"",IF(D533+$I$9-E533-F533&gt;=0,IF(ISERROR(INDEX($C$3:$C$6,MATCH(C533,$C$3:$C$6,0)+1,0)),Variables!$B$1,INDEX($C$3:$C$6,MATCH(C533,$C$3:$C$6,0)+1,0)),""),"")</f>
        <v/>
      </c>
      <c r="J533" s="29" t="str">
        <f ca="1">IF(ISERROR(VLOOKUP(I533,$C$3:$L$6,5,0)),"",IF(OR(VLOOKUP(I533,$C$3:$L$6,5,0)=Variables!$B$5,B533&gt;VLOOKUP(I533,$C$3:$L$6,8,0)),IF(VLOOKUP(I533,$C$3:$L$6,5,0)=Variables!$B$5,((YEAR(B533)-YEAR($B$12))*12+MONTH(B533)-MONTH($B$12)),((YEAR(B533)-YEAR(VLOOKUP(I533,$C$3:$L$6,8,0)))*12+MONTH(B533)-MONTH(VLOOKUP(I533,$C$3:$L$6,8,0))))*(VLOOKUP(I533,$C$3:$L$6,10,0)*VLOOKUP(I533,$C$3:$L$6,6,0)/12),0))</f>
        <v/>
      </c>
      <c r="K533" s="29" t="str">
        <f ca="1">IF(C533&lt;&gt;"",IF(I533&lt;&gt;"",IF(ISERROR(VLOOKUP(I533,$C$3:$L$6,10,0)),"",VLOOKUP(I533,$C$3:$L$6,10,0)+J533+IF(OR(VLOOKUP(I533,$C$3:$L$6,5,0)=Variables!$B$5,B533&gt;VLOOKUP(I533,$C$3:$L$6,8,0)),IF(VLOOKUP(I533,$C$3:$L$6,5,0)=Variables!$B$5,((YEAR(B533)-YEAR($B$12))*12+MONTH(B533)-MONTH($B$12)),((YEAR(B533)-YEAR(VLOOKUP(I533,$C$3:$L$6,8,0)))*12+MONTH(B533)-MONTH(VLOOKUP(I533,$C$3:$L$6,8,0))))*VLOOKUP(I533,$C$3:$L$6,7,0),0)),""),"")</f>
        <v/>
      </c>
      <c r="L533" s="29" t="str">
        <f t="shared" ca="1" si="49"/>
        <v/>
      </c>
      <c r="M533" s="10"/>
      <c r="N533" s="10"/>
    </row>
    <row r="534" spans="1:14" x14ac:dyDescent="0.25">
      <c r="A534" s="10"/>
      <c r="B534" s="14" t="str">
        <f t="shared" ca="1" si="50"/>
        <v/>
      </c>
      <c r="C534" s="14" t="str">
        <f ca="1">IF(I533&lt;&gt;Variables!$B$1,IF(H533&lt;&gt;0,C533,I533),"")</f>
        <v/>
      </c>
      <c r="D534" s="29" t="str">
        <f t="shared" ca="1" si="47"/>
        <v/>
      </c>
      <c r="E534" s="29" t="str">
        <f t="shared" ca="1" si="48"/>
        <v/>
      </c>
      <c r="F534" s="29" t="str">
        <f ca="1">IF(C534&lt;&gt;"",IF(OR(VLOOKUP(C534,$C$3:$L$6,5,0)=Variables!$B$5,B534&gt;VLOOKUP(C534,$C$3:$L$6,8,0)),-D534*VLOOKUP(C534,$C$3:$L$6,6,0)/12,0),"")</f>
        <v/>
      </c>
      <c r="G534" s="29" t="str">
        <f ca="1">IF(I534&lt;&gt;Variables!$B$1,IF(C534&lt;&gt;"",$I$9-E534-F534,""),-D534)</f>
        <v/>
      </c>
      <c r="H534" s="29" t="str">
        <f t="shared" ca="1" si="51"/>
        <v/>
      </c>
      <c r="I534" s="31" t="str">
        <f ca="1">IF(C534&lt;&gt;"",IF(D534+$I$9-E534-F534&gt;=0,IF(ISERROR(INDEX($C$3:$C$6,MATCH(C534,$C$3:$C$6,0)+1,0)),Variables!$B$1,INDEX($C$3:$C$6,MATCH(C534,$C$3:$C$6,0)+1,0)),""),"")</f>
        <v/>
      </c>
      <c r="J534" s="29" t="str">
        <f ca="1">IF(ISERROR(VLOOKUP(I534,$C$3:$L$6,5,0)),"",IF(OR(VLOOKUP(I534,$C$3:$L$6,5,0)=Variables!$B$5,B534&gt;VLOOKUP(I534,$C$3:$L$6,8,0)),IF(VLOOKUP(I534,$C$3:$L$6,5,0)=Variables!$B$5,((YEAR(B534)-YEAR($B$12))*12+MONTH(B534)-MONTH($B$12)),((YEAR(B534)-YEAR(VLOOKUP(I534,$C$3:$L$6,8,0)))*12+MONTH(B534)-MONTH(VLOOKUP(I534,$C$3:$L$6,8,0))))*(VLOOKUP(I534,$C$3:$L$6,10,0)*VLOOKUP(I534,$C$3:$L$6,6,0)/12),0))</f>
        <v/>
      </c>
      <c r="K534" s="29" t="str">
        <f ca="1">IF(C534&lt;&gt;"",IF(I534&lt;&gt;"",IF(ISERROR(VLOOKUP(I534,$C$3:$L$6,10,0)),"",VLOOKUP(I534,$C$3:$L$6,10,0)+J534+IF(OR(VLOOKUP(I534,$C$3:$L$6,5,0)=Variables!$B$5,B534&gt;VLOOKUP(I534,$C$3:$L$6,8,0)),IF(VLOOKUP(I534,$C$3:$L$6,5,0)=Variables!$B$5,((YEAR(B534)-YEAR($B$12))*12+MONTH(B534)-MONTH($B$12)),((YEAR(B534)-YEAR(VLOOKUP(I534,$C$3:$L$6,8,0)))*12+MONTH(B534)-MONTH(VLOOKUP(I534,$C$3:$L$6,8,0))))*VLOOKUP(I534,$C$3:$L$6,7,0),0)),""),"")</f>
        <v/>
      </c>
      <c r="L534" s="29" t="str">
        <f t="shared" ca="1" si="49"/>
        <v/>
      </c>
      <c r="M534" s="10"/>
      <c r="N534" s="10"/>
    </row>
    <row r="535" spans="1:14" x14ac:dyDescent="0.25">
      <c r="A535" s="10"/>
      <c r="B535" s="14" t="str">
        <f t="shared" ca="1" si="50"/>
        <v/>
      </c>
      <c r="C535" s="14" t="str">
        <f ca="1">IF(I534&lt;&gt;Variables!$B$1,IF(H534&lt;&gt;0,C534,I534),"")</f>
        <v/>
      </c>
      <c r="D535" s="29" t="str">
        <f t="shared" ca="1" si="47"/>
        <v/>
      </c>
      <c r="E535" s="29" t="str">
        <f t="shared" ca="1" si="48"/>
        <v/>
      </c>
      <c r="F535" s="29" t="str">
        <f ca="1">IF(C535&lt;&gt;"",IF(OR(VLOOKUP(C535,$C$3:$L$6,5,0)=Variables!$B$5,B535&gt;VLOOKUP(C535,$C$3:$L$6,8,0)),-D535*VLOOKUP(C535,$C$3:$L$6,6,0)/12,0),"")</f>
        <v/>
      </c>
      <c r="G535" s="29" t="str">
        <f ca="1">IF(I535&lt;&gt;Variables!$B$1,IF(C535&lt;&gt;"",$I$9-E535-F535,""),-D535)</f>
        <v/>
      </c>
      <c r="H535" s="29" t="str">
        <f t="shared" ca="1" si="51"/>
        <v/>
      </c>
      <c r="I535" s="31" t="str">
        <f ca="1">IF(C535&lt;&gt;"",IF(D535+$I$9-E535-F535&gt;=0,IF(ISERROR(INDEX($C$3:$C$6,MATCH(C535,$C$3:$C$6,0)+1,0)),Variables!$B$1,INDEX($C$3:$C$6,MATCH(C535,$C$3:$C$6,0)+1,0)),""),"")</f>
        <v/>
      </c>
      <c r="J535" s="29" t="str">
        <f ca="1">IF(ISERROR(VLOOKUP(I535,$C$3:$L$6,5,0)),"",IF(OR(VLOOKUP(I535,$C$3:$L$6,5,0)=Variables!$B$5,B535&gt;VLOOKUP(I535,$C$3:$L$6,8,0)),IF(VLOOKUP(I535,$C$3:$L$6,5,0)=Variables!$B$5,((YEAR(B535)-YEAR($B$12))*12+MONTH(B535)-MONTH($B$12)),((YEAR(B535)-YEAR(VLOOKUP(I535,$C$3:$L$6,8,0)))*12+MONTH(B535)-MONTH(VLOOKUP(I535,$C$3:$L$6,8,0))))*(VLOOKUP(I535,$C$3:$L$6,10,0)*VLOOKUP(I535,$C$3:$L$6,6,0)/12),0))</f>
        <v/>
      </c>
      <c r="K535" s="29" t="str">
        <f ca="1">IF(C535&lt;&gt;"",IF(I535&lt;&gt;"",IF(ISERROR(VLOOKUP(I535,$C$3:$L$6,10,0)),"",VLOOKUP(I535,$C$3:$L$6,10,0)+J535+IF(OR(VLOOKUP(I535,$C$3:$L$6,5,0)=Variables!$B$5,B535&gt;VLOOKUP(I535,$C$3:$L$6,8,0)),IF(VLOOKUP(I535,$C$3:$L$6,5,0)=Variables!$B$5,((YEAR(B535)-YEAR($B$12))*12+MONTH(B535)-MONTH($B$12)),((YEAR(B535)-YEAR(VLOOKUP(I535,$C$3:$L$6,8,0)))*12+MONTH(B535)-MONTH(VLOOKUP(I535,$C$3:$L$6,8,0))))*VLOOKUP(I535,$C$3:$L$6,7,0),0)),""),"")</f>
        <v/>
      </c>
      <c r="L535" s="29" t="str">
        <f t="shared" ca="1" si="49"/>
        <v/>
      </c>
      <c r="M535" s="10"/>
      <c r="N535" s="10"/>
    </row>
    <row r="536" spans="1:14" x14ac:dyDescent="0.25">
      <c r="A536" s="10"/>
      <c r="B536" s="14" t="str">
        <f t="shared" ca="1" si="50"/>
        <v/>
      </c>
      <c r="C536" s="14" t="str">
        <f ca="1">IF(I535&lt;&gt;Variables!$B$1,IF(H535&lt;&gt;0,C535,I535),"")</f>
        <v/>
      </c>
      <c r="D536" s="29" t="str">
        <f t="shared" ca="1" si="47"/>
        <v/>
      </c>
      <c r="E536" s="29" t="str">
        <f t="shared" ca="1" si="48"/>
        <v/>
      </c>
      <c r="F536" s="29" t="str">
        <f ca="1">IF(C536&lt;&gt;"",IF(OR(VLOOKUP(C536,$C$3:$L$6,5,0)=Variables!$B$5,B536&gt;VLOOKUP(C536,$C$3:$L$6,8,0)),-D536*VLOOKUP(C536,$C$3:$L$6,6,0)/12,0),"")</f>
        <v/>
      </c>
      <c r="G536" s="29" t="str">
        <f ca="1">IF(I536&lt;&gt;Variables!$B$1,IF(C536&lt;&gt;"",$I$9-E536-F536,""),-D536)</f>
        <v/>
      </c>
      <c r="H536" s="29" t="str">
        <f t="shared" ca="1" si="51"/>
        <v/>
      </c>
      <c r="I536" s="31" t="str">
        <f ca="1">IF(C536&lt;&gt;"",IF(D536+$I$9-E536-F536&gt;=0,IF(ISERROR(INDEX($C$3:$C$6,MATCH(C536,$C$3:$C$6,0)+1,0)),Variables!$B$1,INDEX($C$3:$C$6,MATCH(C536,$C$3:$C$6,0)+1,0)),""),"")</f>
        <v/>
      </c>
      <c r="J536" s="29" t="str">
        <f ca="1">IF(ISERROR(VLOOKUP(I536,$C$3:$L$6,5,0)),"",IF(OR(VLOOKUP(I536,$C$3:$L$6,5,0)=Variables!$B$5,B536&gt;VLOOKUP(I536,$C$3:$L$6,8,0)),IF(VLOOKUP(I536,$C$3:$L$6,5,0)=Variables!$B$5,((YEAR(B536)-YEAR($B$12))*12+MONTH(B536)-MONTH($B$12)),((YEAR(B536)-YEAR(VLOOKUP(I536,$C$3:$L$6,8,0)))*12+MONTH(B536)-MONTH(VLOOKUP(I536,$C$3:$L$6,8,0))))*(VLOOKUP(I536,$C$3:$L$6,10,0)*VLOOKUP(I536,$C$3:$L$6,6,0)/12),0))</f>
        <v/>
      </c>
      <c r="K536" s="29" t="str">
        <f ca="1">IF(C536&lt;&gt;"",IF(I536&lt;&gt;"",IF(ISERROR(VLOOKUP(I536,$C$3:$L$6,10,0)),"",VLOOKUP(I536,$C$3:$L$6,10,0)+J536+IF(OR(VLOOKUP(I536,$C$3:$L$6,5,0)=Variables!$B$5,B536&gt;VLOOKUP(I536,$C$3:$L$6,8,0)),IF(VLOOKUP(I536,$C$3:$L$6,5,0)=Variables!$B$5,((YEAR(B536)-YEAR($B$12))*12+MONTH(B536)-MONTH($B$12)),((YEAR(B536)-YEAR(VLOOKUP(I536,$C$3:$L$6,8,0)))*12+MONTH(B536)-MONTH(VLOOKUP(I536,$C$3:$L$6,8,0))))*VLOOKUP(I536,$C$3:$L$6,7,0),0)),""),"")</f>
        <v/>
      </c>
      <c r="L536" s="29" t="str">
        <f t="shared" ca="1" si="49"/>
        <v/>
      </c>
      <c r="M536" s="10"/>
      <c r="N536" s="10"/>
    </row>
    <row r="537" spans="1:14" x14ac:dyDescent="0.25">
      <c r="A537" s="10"/>
      <c r="B537" s="14" t="str">
        <f t="shared" ca="1" si="50"/>
        <v/>
      </c>
      <c r="C537" s="14" t="str">
        <f ca="1">IF(I536&lt;&gt;Variables!$B$1,IF(H536&lt;&gt;0,C536,I536),"")</f>
        <v/>
      </c>
      <c r="D537" s="29" t="str">
        <f t="shared" ca="1" si="47"/>
        <v/>
      </c>
      <c r="E537" s="29" t="str">
        <f t="shared" ca="1" si="48"/>
        <v/>
      </c>
      <c r="F537" s="29" t="str">
        <f ca="1">IF(C537&lt;&gt;"",IF(OR(VLOOKUP(C537,$C$3:$L$6,5,0)=Variables!$B$5,B537&gt;VLOOKUP(C537,$C$3:$L$6,8,0)),-D537*VLOOKUP(C537,$C$3:$L$6,6,0)/12,0),"")</f>
        <v/>
      </c>
      <c r="G537" s="29" t="str">
        <f ca="1">IF(I537&lt;&gt;Variables!$B$1,IF(C537&lt;&gt;"",$I$9-E537-F537,""),-D537)</f>
        <v/>
      </c>
      <c r="H537" s="29" t="str">
        <f t="shared" ca="1" si="51"/>
        <v/>
      </c>
      <c r="I537" s="31" t="str">
        <f ca="1">IF(C537&lt;&gt;"",IF(D537+$I$9-E537-F537&gt;=0,IF(ISERROR(INDEX($C$3:$C$6,MATCH(C537,$C$3:$C$6,0)+1,0)),Variables!$B$1,INDEX($C$3:$C$6,MATCH(C537,$C$3:$C$6,0)+1,0)),""),"")</f>
        <v/>
      </c>
      <c r="J537" s="29" t="str">
        <f ca="1">IF(ISERROR(VLOOKUP(I537,$C$3:$L$6,5,0)),"",IF(OR(VLOOKUP(I537,$C$3:$L$6,5,0)=Variables!$B$5,B537&gt;VLOOKUP(I537,$C$3:$L$6,8,0)),IF(VLOOKUP(I537,$C$3:$L$6,5,0)=Variables!$B$5,((YEAR(B537)-YEAR($B$12))*12+MONTH(B537)-MONTH($B$12)),((YEAR(B537)-YEAR(VLOOKUP(I537,$C$3:$L$6,8,0)))*12+MONTH(B537)-MONTH(VLOOKUP(I537,$C$3:$L$6,8,0))))*(VLOOKUP(I537,$C$3:$L$6,10,0)*VLOOKUP(I537,$C$3:$L$6,6,0)/12),0))</f>
        <v/>
      </c>
      <c r="K537" s="29" t="str">
        <f ca="1">IF(C537&lt;&gt;"",IF(I537&lt;&gt;"",IF(ISERROR(VLOOKUP(I537,$C$3:$L$6,10,0)),"",VLOOKUP(I537,$C$3:$L$6,10,0)+J537+IF(OR(VLOOKUP(I537,$C$3:$L$6,5,0)=Variables!$B$5,B537&gt;VLOOKUP(I537,$C$3:$L$6,8,0)),IF(VLOOKUP(I537,$C$3:$L$6,5,0)=Variables!$B$5,((YEAR(B537)-YEAR($B$12))*12+MONTH(B537)-MONTH($B$12)),((YEAR(B537)-YEAR(VLOOKUP(I537,$C$3:$L$6,8,0)))*12+MONTH(B537)-MONTH(VLOOKUP(I537,$C$3:$L$6,8,0))))*VLOOKUP(I537,$C$3:$L$6,7,0),0)),""),"")</f>
        <v/>
      </c>
      <c r="L537" s="29" t="str">
        <f t="shared" ca="1" si="49"/>
        <v/>
      </c>
      <c r="M537" s="10"/>
      <c r="N537" s="10"/>
    </row>
    <row r="538" spans="1:14" x14ac:dyDescent="0.25">
      <c r="A538" s="10"/>
      <c r="B538" s="14" t="str">
        <f t="shared" ca="1" si="50"/>
        <v/>
      </c>
      <c r="C538" s="14" t="str">
        <f ca="1">IF(I537&lt;&gt;Variables!$B$1,IF(H537&lt;&gt;0,C537,I537),"")</f>
        <v/>
      </c>
      <c r="D538" s="29" t="str">
        <f t="shared" ca="1" si="47"/>
        <v/>
      </c>
      <c r="E538" s="29" t="str">
        <f t="shared" ca="1" si="48"/>
        <v/>
      </c>
      <c r="F538" s="29" t="str">
        <f ca="1">IF(C538&lt;&gt;"",IF(OR(VLOOKUP(C538,$C$3:$L$6,5,0)=Variables!$B$5,B538&gt;VLOOKUP(C538,$C$3:$L$6,8,0)),-D538*VLOOKUP(C538,$C$3:$L$6,6,0)/12,0),"")</f>
        <v/>
      </c>
      <c r="G538" s="29" t="str">
        <f ca="1">IF(I538&lt;&gt;Variables!$B$1,IF(C538&lt;&gt;"",$I$9-E538-F538,""),-D538)</f>
        <v/>
      </c>
      <c r="H538" s="29" t="str">
        <f t="shared" ca="1" si="51"/>
        <v/>
      </c>
      <c r="I538" s="31" t="str">
        <f ca="1">IF(C538&lt;&gt;"",IF(D538+$I$9-E538-F538&gt;=0,IF(ISERROR(INDEX($C$3:$C$6,MATCH(C538,$C$3:$C$6,0)+1,0)),Variables!$B$1,INDEX($C$3:$C$6,MATCH(C538,$C$3:$C$6,0)+1,0)),""),"")</f>
        <v/>
      </c>
      <c r="J538" s="29" t="str">
        <f ca="1">IF(ISERROR(VLOOKUP(I538,$C$3:$L$6,5,0)),"",IF(OR(VLOOKUP(I538,$C$3:$L$6,5,0)=Variables!$B$5,B538&gt;VLOOKUP(I538,$C$3:$L$6,8,0)),IF(VLOOKUP(I538,$C$3:$L$6,5,0)=Variables!$B$5,((YEAR(B538)-YEAR($B$12))*12+MONTH(B538)-MONTH($B$12)),((YEAR(B538)-YEAR(VLOOKUP(I538,$C$3:$L$6,8,0)))*12+MONTH(B538)-MONTH(VLOOKUP(I538,$C$3:$L$6,8,0))))*(VLOOKUP(I538,$C$3:$L$6,10,0)*VLOOKUP(I538,$C$3:$L$6,6,0)/12),0))</f>
        <v/>
      </c>
      <c r="K538" s="29" t="str">
        <f ca="1">IF(C538&lt;&gt;"",IF(I538&lt;&gt;"",IF(ISERROR(VLOOKUP(I538,$C$3:$L$6,10,0)),"",VLOOKUP(I538,$C$3:$L$6,10,0)+J538+IF(OR(VLOOKUP(I538,$C$3:$L$6,5,0)=Variables!$B$5,B538&gt;VLOOKUP(I538,$C$3:$L$6,8,0)),IF(VLOOKUP(I538,$C$3:$L$6,5,0)=Variables!$B$5,((YEAR(B538)-YEAR($B$12))*12+MONTH(B538)-MONTH($B$12)),((YEAR(B538)-YEAR(VLOOKUP(I538,$C$3:$L$6,8,0)))*12+MONTH(B538)-MONTH(VLOOKUP(I538,$C$3:$L$6,8,0))))*VLOOKUP(I538,$C$3:$L$6,7,0),0)),""),"")</f>
        <v/>
      </c>
      <c r="L538" s="29" t="str">
        <f t="shared" ca="1" si="49"/>
        <v/>
      </c>
      <c r="M538" s="10"/>
      <c r="N538" s="10"/>
    </row>
    <row r="539" spans="1:14" x14ac:dyDescent="0.25">
      <c r="A539" s="10"/>
      <c r="B539" s="14" t="str">
        <f t="shared" ca="1" si="50"/>
        <v/>
      </c>
      <c r="C539" s="14" t="str">
        <f ca="1">IF(I538&lt;&gt;Variables!$B$1,IF(H538&lt;&gt;0,C538,I538),"")</f>
        <v/>
      </c>
      <c r="D539" s="29" t="str">
        <f t="shared" ca="1" si="47"/>
        <v/>
      </c>
      <c r="E539" s="29" t="str">
        <f t="shared" ca="1" si="48"/>
        <v/>
      </c>
      <c r="F539" s="29" t="str">
        <f ca="1">IF(C539&lt;&gt;"",IF(OR(VLOOKUP(C539,$C$3:$L$6,5,0)=Variables!$B$5,B539&gt;VLOOKUP(C539,$C$3:$L$6,8,0)),-D539*VLOOKUP(C539,$C$3:$L$6,6,0)/12,0),"")</f>
        <v/>
      </c>
      <c r="G539" s="29" t="str">
        <f ca="1">IF(I539&lt;&gt;Variables!$B$1,IF(C539&lt;&gt;"",$I$9-E539-F539,""),-D539)</f>
        <v/>
      </c>
      <c r="H539" s="29" t="str">
        <f t="shared" ca="1" si="51"/>
        <v/>
      </c>
      <c r="I539" s="31" t="str">
        <f ca="1">IF(C539&lt;&gt;"",IF(D539+$I$9-E539-F539&gt;=0,IF(ISERROR(INDEX($C$3:$C$6,MATCH(C539,$C$3:$C$6,0)+1,0)),Variables!$B$1,INDEX($C$3:$C$6,MATCH(C539,$C$3:$C$6,0)+1,0)),""),"")</f>
        <v/>
      </c>
      <c r="J539" s="29" t="str">
        <f ca="1">IF(ISERROR(VLOOKUP(I539,$C$3:$L$6,5,0)),"",IF(OR(VLOOKUP(I539,$C$3:$L$6,5,0)=Variables!$B$5,B539&gt;VLOOKUP(I539,$C$3:$L$6,8,0)),IF(VLOOKUP(I539,$C$3:$L$6,5,0)=Variables!$B$5,((YEAR(B539)-YEAR($B$12))*12+MONTH(B539)-MONTH($B$12)),((YEAR(B539)-YEAR(VLOOKUP(I539,$C$3:$L$6,8,0)))*12+MONTH(B539)-MONTH(VLOOKUP(I539,$C$3:$L$6,8,0))))*(VLOOKUP(I539,$C$3:$L$6,10,0)*VLOOKUP(I539,$C$3:$L$6,6,0)/12),0))</f>
        <v/>
      </c>
      <c r="K539" s="29" t="str">
        <f ca="1">IF(C539&lt;&gt;"",IF(I539&lt;&gt;"",IF(ISERROR(VLOOKUP(I539,$C$3:$L$6,10,0)),"",VLOOKUP(I539,$C$3:$L$6,10,0)+J539+IF(OR(VLOOKUP(I539,$C$3:$L$6,5,0)=Variables!$B$5,B539&gt;VLOOKUP(I539,$C$3:$L$6,8,0)),IF(VLOOKUP(I539,$C$3:$L$6,5,0)=Variables!$B$5,((YEAR(B539)-YEAR($B$12))*12+MONTH(B539)-MONTH($B$12)),((YEAR(B539)-YEAR(VLOOKUP(I539,$C$3:$L$6,8,0)))*12+MONTH(B539)-MONTH(VLOOKUP(I539,$C$3:$L$6,8,0))))*VLOOKUP(I539,$C$3:$L$6,7,0),0)),""),"")</f>
        <v/>
      </c>
      <c r="L539" s="29" t="str">
        <f t="shared" ca="1" si="49"/>
        <v/>
      </c>
      <c r="M539" s="10"/>
      <c r="N539" s="10"/>
    </row>
    <row r="540" spans="1:14" x14ac:dyDescent="0.25">
      <c r="A540" s="10"/>
      <c r="B540" s="14" t="str">
        <f t="shared" ca="1" si="50"/>
        <v/>
      </c>
      <c r="C540" s="14" t="str">
        <f ca="1">IF(I539&lt;&gt;Variables!$B$1,IF(H539&lt;&gt;0,C539,I539),"")</f>
        <v/>
      </c>
      <c r="D540" s="29" t="str">
        <f t="shared" ref="D540:D603" ca="1" si="52">IF(C540&lt;&gt;"",IF(H539&lt;&gt;0,H539,L539),"")</f>
        <v/>
      </c>
      <c r="E540" s="29" t="str">
        <f t="shared" ref="E540:E603" ca="1" si="53">IF(C540&lt;&gt;"",MINPAYMENT(C540,ROW(B540),COLUMN(B540)),"")</f>
        <v/>
      </c>
      <c r="F540" s="29" t="str">
        <f ca="1">IF(C540&lt;&gt;"",IF(OR(VLOOKUP(C540,$C$3:$L$6,5,0)=Variables!$B$5,B540&gt;VLOOKUP(C540,$C$3:$L$6,8,0)),-D540*VLOOKUP(C540,$C$3:$L$6,6,0)/12,0),"")</f>
        <v/>
      </c>
      <c r="G540" s="29" t="str">
        <f ca="1">IF(I540&lt;&gt;Variables!$B$1,IF(C540&lt;&gt;"",$I$9-E540-F540,""),-D540)</f>
        <v/>
      </c>
      <c r="H540" s="29" t="str">
        <f t="shared" ca="1" si="51"/>
        <v/>
      </c>
      <c r="I540" s="31" t="str">
        <f ca="1">IF(C540&lt;&gt;"",IF(D540+$I$9-E540-F540&gt;=0,IF(ISERROR(INDEX($C$3:$C$6,MATCH(C540,$C$3:$C$6,0)+1,0)),Variables!$B$1,INDEX($C$3:$C$6,MATCH(C540,$C$3:$C$6,0)+1,0)),""),"")</f>
        <v/>
      </c>
      <c r="J540" s="29" t="str">
        <f ca="1">IF(ISERROR(VLOOKUP(I540,$C$3:$L$6,5,0)),"",IF(OR(VLOOKUP(I540,$C$3:$L$6,5,0)=Variables!$B$5,B540&gt;VLOOKUP(I540,$C$3:$L$6,8,0)),IF(VLOOKUP(I540,$C$3:$L$6,5,0)=Variables!$B$5,((YEAR(B540)-YEAR($B$12))*12+MONTH(B540)-MONTH($B$12)),((YEAR(B540)-YEAR(VLOOKUP(I540,$C$3:$L$6,8,0)))*12+MONTH(B540)-MONTH(VLOOKUP(I540,$C$3:$L$6,8,0))))*(VLOOKUP(I540,$C$3:$L$6,10,0)*VLOOKUP(I540,$C$3:$L$6,6,0)/12),0))</f>
        <v/>
      </c>
      <c r="K540" s="29" t="str">
        <f ca="1">IF(C540&lt;&gt;"",IF(I540&lt;&gt;"",IF(ISERROR(VLOOKUP(I540,$C$3:$L$6,10,0)),"",VLOOKUP(I540,$C$3:$L$6,10,0)+J540+IF(OR(VLOOKUP(I540,$C$3:$L$6,5,0)=Variables!$B$5,B540&gt;VLOOKUP(I540,$C$3:$L$6,8,0)),IF(VLOOKUP(I540,$C$3:$L$6,5,0)=Variables!$B$5,((YEAR(B540)-YEAR($B$12))*12+MONTH(B540)-MONTH($B$12)),((YEAR(B540)-YEAR(VLOOKUP(I540,$C$3:$L$6,8,0)))*12+MONTH(B540)-MONTH(VLOOKUP(I540,$C$3:$L$6,8,0))))*VLOOKUP(I540,$C$3:$L$6,7,0),0)),""),"")</f>
        <v/>
      </c>
      <c r="L540" s="29" t="str">
        <f t="shared" ref="L540:L603" ca="1" si="54">IF(C540&lt;&gt;"",IF(ISERROR(IF(D540+G540&gt;=0,K540+D540+G540,"")),"",IF(D540+G540&gt;=0,K540+D540+G540,"")),"")</f>
        <v/>
      </c>
      <c r="M540" s="10"/>
      <c r="N540" s="10"/>
    </row>
    <row r="541" spans="1:14" x14ac:dyDescent="0.25">
      <c r="A541" s="10"/>
      <c r="B541" s="14" t="str">
        <f t="shared" ref="B541:B604" ca="1" si="55">IF(C541&lt;&gt;"",DATE(YEAR(B540),MONTH(B540)+1,DAY(B540)),"")</f>
        <v/>
      </c>
      <c r="C541" s="14" t="str">
        <f ca="1">IF(I540&lt;&gt;Variables!$B$1,IF(H540&lt;&gt;0,C540,I540),"")</f>
        <v/>
      </c>
      <c r="D541" s="29" t="str">
        <f t="shared" ca="1" si="52"/>
        <v/>
      </c>
      <c r="E541" s="29" t="str">
        <f t="shared" ca="1" si="53"/>
        <v/>
      </c>
      <c r="F541" s="29" t="str">
        <f ca="1">IF(C541&lt;&gt;"",IF(OR(VLOOKUP(C541,$C$3:$L$6,5,0)=Variables!$B$5,B541&gt;VLOOKUP(C541,$C$3:$L$6,8,0)),-D541*VLOOKUP(C541,$C$3:$L$6,6,0)/12,0),"")</f>
        <v/>
      </c>
      <c r="G541" s="29" t="str">
        <f ca="1">IF(I541&lt;&gt;Variables!$B$1,IF(C541&lt;&gt;"",$I$9-E541-F541,""),-D541)</f>
        <v/>
      </c>
      <c r="H541" s="29" t="str">
        <f t="shared" ref="H541:H604" ca="1" si="56">IF(C541&lt;&gt;"",IF(D541+G541&lt;0,D541+G541,0),"")</f>
        <v/>
      </c>
      <c r="I541" s="31" t="str">
        <f ca="1">IF(C541&lt;&gt;"",IF(D541+$I$9-E541-F541&gt;=0,IF(ISERROR(INDEX($C$3:$C$6,MATCH(C541,$C$3:$C$6,0)+1,0)),Variables!$B$1,INDEX($C$3:$C$6,MATCH(C541,$C$3:$C$6,0)+1,0)),""),"")</f>
        <v/>
      </c>
      <c r="J541" s="29" t="str">
        <f ca="1">IF(ISERROR(VLOOKUP(I541,$C$3:$L$6,5,0)),"",IF(OR(VLOOKUP(I541,$C$3:$L$6,5,0)=Variables!$B$5,B541&gt;VLOOKUP(I541,$C$3:$L$6,8,0)),IF(VLOOKUP(I541,$C$3:$L$6,5,0)=Variables!$B$5,((YEAR(B541)-YEAR($B$12))*12+MONTH(B541)-MONTH($B$12)),((YEAR(B541)-YEAR(VLOOKUP(I541,$C$3:$L$6,8,0)))*12+MONTH(B541)-MONTH(VLOOKUP(I541,$C$3:$L$6,8,0))))*(VLOOKUP(I541,$C$3:$L$6,10,0)*VLOOKUP(I541,$C$3:$L$6,6,0)/12),0))</f>
        <v/>
      </c>
      <c r="K541" s="29" t="str">
        <f ca="1">IF(C541&lt;&gt;"",IF(I541&lt;&gt;"",IF(ISERROR(VLOOKUP(I541,$C$3:$L$6,10,0)),"",VLOOKUP(I541,$C$3:$L$6,10,0)+J541+IF(OR(VLOOKUP(I541,$C$3:$L$6,5,0)=Variables!$B$5,B541&gt;VLOOKUP(I541,$C$3:$L$6,8,0)),IF(VLOOKUP(I541,$C$3:$L$6,5,0)=Variables!$B$5,((YEAR(B541)-YEAR($B$12))*12+MONTH(B541)-MONTH($B$12)),((YEAR(B541)-YEAR(VLOOKUP(I541,$C$3:$L$6,8,0)))*12+MONTH(B541)-MONTH(VLOOKUP(I541,$C$3:$L$6,8,0))))*VLOOKUP(I541,$C$3:$L$6,7,0),0)),""),"")</f>
        <v/>
      </c>
      <c r="L541" s="29" t="str">
        <f t="shared" ca="1" si="54"/>
        <v/>
      </c>
      <c r="M541" s="10"/>
      <c r="N541" s="10"/>
    </row>
    <row r="542" spans="1:14" x14ac:dyDescent="0.25">
      <c r="A542" s="10"/>
      <c r="B542" s="14" t="str">
        <f t="shared" ca="1" si="55"/>
        <v/>
      </c>
      <c r="C542" s="14" t="str">
        <f ca="1">IF(I541&lt;&gt;Variables!$B$1,IF(H541&lt;&gt;0,C541,I541),"")</f>
        <v/>
      </c>
      <c r="D542" s="29" t="str">
        <f t="shared" ca="1" si="52"/>
        <v/>
      </c>
      <c r="E542" s="29" t="str">
        <f t="shared" ca="1" si="53"/>
        <v/>
      </c>
      <c r="F542" s="29" t="str">
        <f ca="1">IF(C542&lt;&gt;"",IF(OR(VLOOKUP(C542,$C$3:$L$6,5,0)=Variables!$B$5,B542&gt;VLOOKUP(C542,$C$3:$L$6,8,0)),-D542*VLOOKUP(C542,$C$3:$L$6,6,0)/12,0),"")</f>
        <v/>
      </c>
      <c r="G542" s="29" t="str">
        <f ca="1">IF(I542&lt;&gt;Variables!$B$1,IF(C542&lt;&gt;"",$I$9-E542-F542,""),-D542)</f>
        <v/>
      </c>
      <c r="H542" s="29" t="str">
        <f t="shared" ca="1" si="56"/>
        <v/>
      </c>
      <c r="I542" s="31" t="str">
        <f ca="1">IF(C542&lt;&gt;"",IF(D542+$I$9-E542-F542&gt;=0,IF(ISERROR(INDEX($C$3:$C$6,MATCH(C542,$C$3:$C$6,0)+1,0)),Variables!$B$1,INDEX($C$3:$C$6,MATCH(C542,$C$3:$C$6,0)+1,0)),""),"")</f>
        <v/>
      </c>
      <c r="J542" s="29" t="str">
        <f ca="1">IF(ISERROR(VLOOKUP(I542,$C$3:$L$6,5,0)),"",IF(OR(VLOOKUP(I542,$C$3:$L$6,5,0)=Variables!$B$5,B542&gt;VLOOKUP(I542,$C$3:$L$6,8,0)),IF(VLOOKUP(I542,$C$3:$L$6,5,0)=Variables!$B$5,((YEAR(B542)-YEAR($B$12))*12+MONTH(B542)-MONTH($B$12)),((YEAR(B542)-YEAR(VLOOKUP(I542,$C$3:$L$6,8,0)))*12+MONTH(B542)-MONTH(VLOOKUP(I542,$C$3:$L$6,8,0))))*(VLOOKUP(I542,$C$3:$L$6,10,0)*VLOOKUP(I542,$C$3:$L$6,6,0)/12),0))</f>
        <v/>
      </c>
      <c r="K542" s="29" t="str">
        <f ca="1">IF(C542&lt;&gt;"",IF(I542&lt;&gt;"",IF(ISERROR(VLOOKUP(I542,$C$3:$L$6,10,0)),"",VLOOKUP(I542,$C$3:$L$6,10,0)+J542+IF(OR(VLOOKUP(I542,$C$3:$L$6,5,0)=Variables!$B$5,B542&gt;VLOOKUP(I542,$C$3:$L$6,8,0)),IF(VLOOKUP(I542,$C$3:$L$6,5,0)=Variables!$B$5,((YEAR(B542)-YEAR($B$12))*12+MONTH(B542)-MONTH($B$12)),((YEAR(B542)-YEAR(VLOOKUP(I542,$C$3:$L$6,8,0)))*12+MONTH(B542)-MONTH(VLOOKUP(I542,$C$3:$L$6,8,0))))*VLOOKUP(I542,$C$3:$L$6,7,0),0)),""),"")</f>
        <v/>
      </c>
      <c r="L542" s="29" t="str">
        <f t="shared" ca="1" si="54"/>
        <v/>
      </c>
      <c r="M542" s="10"/>
      <c r="N542" s="10"/>
    </row>
    <row r="543" spans="1:14" x14ac:dyDescent="0.25">
      <c r="A543" s="10"/>
      <c r="B543" s="14" t="str">
        <f t="shared" ca="1" si="55"/>
        <v/>
      </c>
      <c r="C543" s="14" t="str">
        <f ca="1">IF(I542&lt;&gt;Variables!$B$1,IF(H542&lt;&gt;0,C542,I542),"")</f>
        <v/>
      </c>
      <c r="D543" s="29" t="str">
        <f t="shared" ca="1" si="52"/>
        <v/>
      </c>
      <c r="E543" s="29" t="str">
        <f t="shared" ca="1" si="53"/>
        <v/>
      </c>
      <c r="F543" s="29" t="str">
        <f ca="1">IF(C543&lt;&gt;"",IF(OR(VLOOKUP(C543,$C$3:$L$6,5,0)=Variables!$B$5,B543&gt;VLOOKUP(C543,$C$3:$L$6,8,0)),-D543*VLOOKUP(C543,$C$3:$L$6,6,0)/12,0),"")</f>
        <v/>
      </c>
      <c r="G543" s="29" t="str">
        <f ca="1">IF(I543&lt;&gt;Variables!$B$1,IF(C543&lt;&gt;"",$I$9-E543-F543,""),-D543)</f>
        <v/>
      </c>
      <c r="H543" s="29" t="str">
        <f t="shared" ca="1" si="56"/>
        <v/>
      </c>
      <c r="I543" s="31" t="str">
        <f ca="1">IF(C543&lt;&gt;"",IF(D543+$I$9-E543-F543&gt;=0,IF(ISERROR(INDEX($C$3:$C$6,MATCH(C543,$C$3:$C$6,0)+1,0)),Variables!$B$1,INDEX($C$3:$C$6,MATCH(C543,$C$3:$C$6,0)+1,0)),""),"")</f>
        <v/>
      </c>
      <c r="J543" s="29" t="str">
        <f ca="1">IF(ISERROR(VLOOKUP(I543,$C$3:$L$6,5,0)),"",IF(OR(VLOOKUP(I543,$C$3:$L$6,5,0)=Variables!$B$5,B543&gt;VLOOKUP(I543,$C$3:$L$6,8,0)),IF(VLOOKUP(I543,$C$3:$L$6,5,0)=Variables!$B$5,((YEAR(B543)-YEAR($B$12))*12+MONTH(B543)-MONTH($B$12)),((YEAR(B543)-YEAR(VLOOKUP(I543,$C$3:$L$6,8,0)))*12+MONTH(B543)-MONTH(VLOOKUP(I543,$C$3:$L$6,8,0))))*(VLOOKUP(I543,$C$3:$L$6,10,0)*VLOOKUP(I543,$C$3:$L$6,6,0)/12),0))</f>
        <v/>
      </c>
      <c r="K543" s="29" t="str">
        <f ca="1">IF(C543&lt;&gt;"",IF(I543&lt;&gt;"",IF(ISERROR(VLOOKUP(I543,$C$3:$L$6,10,0)),"",VLOOKUP(I543,$C$3:$L$6,10,0)+J543+IF(OR(VLOOKUP(I543,$C$3:$L$6,5,0)=Variables!$B$5,B543&gt;VLOOKUP(I543,$C$3:$L$6,8,0)),IF(VLOOKUP(I543,$C$3:$L$6,5,0)=Variables!$B$5,((YEAR(B543)-YEAR($B$12))*12+MONTH(B543)-MONTH($B$12)),((YEAR(B543)-YEAR(VLOOKUP(I543,$C$3:$L$6,8,0)))*12+MONTH(B543)-MONTH(VLOOKUP(I543,$C$3:$L$6,8,0))))*VLOOKUP(I543,$C$3:$L$6,7,0),0)),""),"")</f>
        <v/>
      </c>
      <c r="L543" s="29" t="str">
        <f t="shared" ca="1" si="54"/>
        <v/>
      </c>
      <c r="M543" s="10"/>
      <c r="N543" s="10"/>
    </row>
    <row r="544" spans="1:14" x14ac:dyDescent="0.25">
      <c r="A544" s="10"/>
      <c r="B544" s="14" t="str">
        <f t="shared" ca="1" si="55"/>
        <v/>
      </c>
      <c r="C544" s="14" t="str">
        <f ca="1">IF(I543&lt;&gt;Variables!$B$1,IF(H543&lt;&gt;0,C543,I543),"")</f>
        <v/>
      </c>
      <c r="D544" s="29" t="str">
        <f t="shared" ca="1" si="52"/>
        <v/>
      </c>
      <c r="E544" s="29" t="str">
        <f t="shared" ca="1" si="53"/>
        <v/>
      </c>
      <c r="F544" s="29" t="str">
        <f ca="1">IF(C544&lt;&gt;"",IF(OR(VLOOKUP(C544,$C$3:$L$6,5,0)=Variables!$B$5,B544&gt;VLOOKUP(C544,$C$3:$L$6,8,0)),-D544*VLOOKUP(C544,$C$3:$L$6,6,0)/12,0),"")</f>
        <v/>
      </c>
      <c r="G544" s="29" t="str">
        <f ca="1">IF(I544&lt;&gt;Variables!$B$1,IF(C544&lt;&gt;"",$I$9-E544-F544,""),-D544)</f>
        <v/>
      </c>
      <c r="H544" s="29" t="str">
        <f t="shared" ca="1" si="56"/>
        <v/>
      </c>
      <c r="I544" s="31" t="str">
        <f ca="1">IF(C544&lt;&gt;"",IF(D544+$I$9-E544-F544&gt;=0,IF(ISERROR(INDEX($C$3:$C$6,MATCH(C544,$C$3:$C$6,0)+1,0)),Variables!$B$1,INDEX($C$3:$C$6,MATCH(C544,$C$3:$C$6,0)+1,0)),""),"")</f>
        <v/>
      </c>
      <c r="J544" s="29" t="str">
        <f ca="1">IF(ISERROR(VLOOKUP(I544,$C$3:$L$6,5,0)),"",IF(OR(VLOOKUP(I544,$C$3:$L$6,5,0)=Variables!$B$5,B544&gt;VLOOKUP(I544,$C$3:$L$6,8,0)),IF(VLOOKUP(I544,$C$3:$L$6,5,0)=Variables!$B$5,((YEAR(B544)-YEAR($B$12))*12+MONTH(B544)-MONTH($B$12)),((YEAR(B544)-YEAR(VLOOKUP(I544,$C$3:$L$6,8,0)))*12+MONTH(B544)-MONTH(VLOOKUP(I544,$C$3:$L$6,8,0))))*(VLOOKUP(I544,$C$3:$L$6,10,0)*VLOOKUP(I544,$C$3:$L$6,6,0)/12),0))</f>
        <v/>
      </c>
      <c r="K544" s="29" t="str">
        <f ca="1">IF(C544&lt;&gt;"",IF(I544&lt;&gt;"",IF(ISERROR(VLOOKUP(I544,$C$3:$L$6,10,0)),"",VLOOKUP(I544,$C$3:$L$6,10,0)+J544+IF(OR(VLOOKUP(I544,$C$3:$L$6,5,0)=Variables!$B$5,B544&gt;VLOOKUP(I544,$C$3:$L$6,8,0)),IF(VLOOKUP(I544,$C$3:$L$6,5,0)=Variables!$B$5,((YEAR(B544)-YEAR($B$12))*12+MONTH(B544)-MONTH($B$12)),((YEAR(B544)-YEAR(VLOOKUP(I544,$C$3:$L$6,8,0)))*12+MONTH(B544)-MONTH(VLOOKUP(I544,$C$3:$L$6,8,0))))*VLOOKUP(I544,$C$3:$L$6,7,0),0)),""),"")</f>
        <v/>
      </c>
      <c r="L544" s="29" t="str">
        <f t="shared" ca="1" si="54"/>
        <v/>
      </c>
      <c r="M544" s="10"/>
      <c r="N544" s="10"/>
    </row>
    <row r="545" spans="1:14" x14ac:dyDescent="0.25">
      <c r="A545" s="10"/>
      <c r="B545" s="14" t="str">
        <f t="shared" ca="1" si="55"/>
        <v/>
      </c>
      <c r="C545" s="14" t="str">
        <f ca="1">IF(I544&lt;&gt;Variables!$B$1,IF(H544&lt;&gt;0,C544,I544),"")</f>
        <v/>
      </c>
      <c r="D545" s="29" t="str">
        <f t="shared" ca="1" si="52"/>
        <v/>
      </c>
      <c r="E545" s="29" t="str">
        <f t="shared" ca="1" si="53"/>
        <v/>
      </c>
      <c r="F545" s="29" t="str">
        <f ca="1">IF(C545&lt;&gt;"",IF(OR(VLOOKUP(C545,$C$3:$L$6,5,0)=Variables!$B$5,B545&gt;VLOOKUP(C545,$C$3:$L$6,8,0)),-D545*VLOOKUP(C545,$C$3:$L$6,6,0)/12,0),"")</f>
        <v/>
      </c>
      <c r="G545" s="29" t="str">
        <f ca="1">IF(I545&lt;&gt;Variables!$B$1,IF(C545&lt;&gt;"",$I$9-E545-F545,""),-D545)</f>
        <v/>
      </c>
      <c r="H545" s="29" t="str">
        <f t="shared" ca="1" si="56"/>
        <v/>
      </c>
      <c r="I545" s="31" t="str">
        <f ca="1">IF(C545&lt;&gt;"",IF(D545+$I$9-E545-F545&gt;=0,IF(ISERROR(INDEX($C$3:$C$6,MATCH(C545,$C$3:$C$6,0)+1,0)),Variables!$B$1,INDEX($C$3:$C$6,MATCH(C545,$C$3:$C$6,0)+1,0)),""),"")</f>
        <v/>
      </c>
      <c r="J545" s="29" t="str">
        <f ca="1">IF(ISERROR(VLOOKUP(I545,$C$3:$L$6,5,0)),"",IF(OR(VLOOKUP(I545,$C$3:$L$6,5,0)=Variables!$B$5,B545&gt;VLOOKUP(I545,$C$3:$L$6,8,0)),IF(VLOOKUP(I545,$C$3:$L$6,5,0)=Variables!$B$5,((YEAR(B545)-YEAR($B$12))*12+MONTH(B545)-MONTH($B$12)),((YEAR(B545)-YEAR(VLOOKUP(I545,$C$3:$L$6,8,0)))*12+MONTH(B545)-MONTH(VLOOKUP(I545,$C$3:$L$6,8,0))))*(VLOOKUP(I545,$C$3:$L$6,10,0)*VLOOKUP(I545,$C$3:$L$6,6,0)/12),0))</f>
        <v/>
      </c>
      <c r="K545" s="29" t="str">
        <f ca="1">IF(C545&lt;&gt;"",IF(I545&lt;&gt;"",IF(ISERROR(VLOOKUP(I545,$C$3:$L$6,10,0)),"",VLOOKUP(I545,$C$3:$L$6,10,0)+J545+IF(OR(VLOOKUP(I545,$C$3:$L$6,5,0)=Variables!$B$5,B545&gt;VLOOKUP(I545,$C$3:$L$6,8,0)),IF(VLOOKUP(I545,$C$3:$L$6,5,0)=Variables!$B$5,((YEAR(B545)-YEAR($B$12))*12+MONTH(B545)-MONTH($B$12)),((YEAR(B545)-YEAR(VLOOKUP(I545,$C$3:$L$6,8,0)))*12+MONTH(B545)-MONTH(VLOOKUP(I545,$C$3:$L$6,8,0))))*VLOOKUP(I545,$C$3:$L$6,7,0),0)),""),"")</f>
        <v/>
      </c>
      <c r="L545" s="29" t="str">
        <f t="shared" ca="1" si="54"/>
        <v/>
      </c>
      <c r="M545" s="10"/>
      <c r="N545" s="10"/>
    </row>
    <row r="546" spans="1:14" x14ac:dyDescent="0.25">
      <c r="A546" s="10"/>
      <c r="B546" s="14" t="str">
        <f t="shared" ca="1" si="55"/>
        <v/>
      </c>
      <c r="C546" s="14" t="str">
        <f ca="1">IF(I545&lt;&gt;Variables!$B$1,IF(H545&lt;&gt;0,C545,I545),"")</f>
        <v/>
      </c>
      <c r="D546" s="29" t="str">
        <f t="shared" ca="1" si="52"/>
        <v/>
      </c>
      <c r="E546" s="29" t="str">
        <f t="shared" ca="1" si="53"/>
        <v/>
      </c>
      <c r="F546" s="29" t="str">
        <f ca="1">IF(C546&lt;&gt;"",IF(OR(VLOOKUP(C546,$C$3:$L$6,5,0)=Variables!$B$5,B546&gt;VLOOKUP(C546,$C$3:$L$6,8,0)),-D546*VLOOKUP(C546,$C$3:$L$6,6,0)/12,0),"")</f>
        <v/>
      </c>
      <c r="G546" s="29" t="str">
        <f ca="1">IF(I546&lt;&gt;Variables!$B$1,IF(C546&lt;&gt;"",$I$9-E546-F546,""),-D546)</f>
        <v/>
      </c>
      <c r="H546" s="29" t="str">
        <f t="shared" ca="1" si="56"/>
        <v/>
      </c>
      <c r="I546" s="31" t="str">
        <f ca="1">IF(C546&lt;&gt;"",IF(D546+$I$9-E546-F546&gt;=0,IF(ISERROR(INDEX($C$3:$C$6,MATCH(C546,$C$3:$C$6,0)+1,0)),Variables!$B$1,INDEX($C$3:$C$6,MATCH(C546,$C$3:$C$6,0)+1,0)),""),"")</f>
        <v/>
      </c>
      <c r="J546" s="29" t="str">
        <f ca="1">IF(ISERROR(VLOOKUP(I546,$C$3:$L$6,5,0)),"",IF(OR(VLOOKUP(I546,$C$3:$L$6,5,0)=Variables!$B$5,B546&gt;VLOOKUP(I546,$C$3:$L$6,8,0)),IF(VLOOKUP(I546,$C$3:$L$6,5,0)=Variables!$B$5,((YEAR(B546)-YEAR($B$12))*12+MONTH(B546)-MONTH($B$12)),((YEAR(B546)-YEAR(VLOOKUP(I546,$C$3:$L$6,8,0)))*12+MONTH(B546)-MONTH(VLOOKUP(I546,$C$3:$L$6,8,0))))*(VLOOKUP(I546,$C$3:$L$6,10,0)*VLOOKUP(I546,$C$3:$L$6,6,0)/12),0))</f>
        <v/>
      </c>
      <c r="K546" s="29" t="str">
        <f ca="1">IF(C546&lt;&gt;"",IF(I546&lt;&gt;"",IF(ISERROR(VLOOKUP(I546,$C$3:$L$6,10,0)),"",VLOOKUP(I546,$C$3:$L$6,10,0)+J546+IF(OR(VLOOKUP(I546,$C$3:$L$6,5,0)=Variables!$B$5,B546&gt;VLOOKUP(I546,$C$3:$L$6,8,0)),IF(VLOOKUP(I546,$C$3:$L$6,5,0)=Variables!$B$5,((YEAR(B546)-YEAR($B$12))*12+MONTH(B546)-MONTH($B$12)),((YEAR(B546)-YEAR(VLOOKUP(I546,$C$3:$L$6,8,0)))*12+MONTH(B546)-MONTH(VLOOKUP(I546,$C$3:$L$6,8,0))))*VLOOKUP(I546,$C$3:$L$6,7,0),0)),""),"")</f>
        <v/>
      </c>
      <c r="L546" s="29" t="str">
        <f t="shared" ca="1" si="54"/>
        <v/>
      </c>
      <c r="M546" s="10"/>
      <c r="N546" s="10"/>
    </row>
    <row r="547" spans="1:14" x14ac:dyDescent="0.25">
      <c r="A547" s="10"/>
      <c r="B547" s="14" t="str">
        <f t="shared" ca="1" si="55"/>
        <v/>
      </c>
      <c r="C547" s="14" t="str">
        <f ca="1">IF(I546&lt;&gt;Variables!$B$1,IF(H546&lt;&gt;0,C546,I546),"")</f>
        <v/>
      </c>
      <c r="D547" s="29" t="str">
        <f t="shared" ca="1" si="52"/>
        <v/>
      </c>
      <c r="E547" s="29" t="str">
        <f t="shared" ca="1" si="53"/>
        <v/>
      </c>
      <c r="F547" s="29" t="str">
        <f ca="1">IF(C547&lt;&gt;"",IF(OR(VLOOKUP(C547,$C$3:$L$6,5,0)=Variables!$B$5,B547&gt;VLOOKUP(C547,$C$3:$L$6,8,0)),-D547*VLOOKUP(C547,$C$3:$L$6,6,0)/12,0),"")</f>
        <v/>
      </c>
      <c r="G547" s="29" t="str">
        <f ca="1">IF(I547&lt;&gt;Variables!$B$1,IF(C547&lt;&gt;"",$I$9-E547-F547,""),-D547)</f>
        <v/>
      </c>
      <c r="H547" s="29" t="str">
        <f t="shared" ca="1" si="56"/>
        <v/>
      </c>
      <c r="I547" s="31" t="str">
        <f ca="1">IF(C547&lt;&gt;"",IF(D547+$I$9-E547-F547&gt;=0,IF(ISERROR(INDEX($C$3:$C$6,MATCH(C547,$C$3:$C$6,0)+1,0)),Variables!$B$1,INDEX($C$3:$C$6,MATCH(C547,$C$3:$C$6,0)+1,0)),""),"")</f>
        <v/>
      </c>
      <c r="J547" s="29" t="str">
        <f ca="1">IF(ISERROR(VLOOKUP(I547,$C$3:$L$6,5,0)),"",IF(OR(VLOOKUP(I547,$C$3:$L$6,5,0)=Variables!$B$5,B547&gt;VLOOKUP(I547,$C$3:$L$6,8,0)),IF(VLOOKUP(I547,$C$3:$L$6,5,0)=Variables!$B$5,((YEAR(B547)-YEAR($B$12))*12+MONTH(B547)-MONTH($B$12)),((YEAR(B547)-YEAR(VLOOKUP(I547,$C$3:$L$6,8,0)))*12+MONTH(B547)-MONTH(VLOOKUP(I547,$C$3:$L$6,8,0))))*(VLOOKUP(I547,$C$3:$L$6,10,0)*VLOOKUP(I547,$C$3:$L$6,6,0)/12),0))</f>
        <v/>
      </c>
      <c r="K547" s="29" t="str">
        <f ca="1">IF(C547&lt;&gt;"",IF(I547&lt;&gt;"",IF(ISERROR(VLOOKUP(I547,$C$3:$L$6,10,0)),"",VLOOKUP(I547,$C$3:$L$6,10,0)+J547+IF(OR(VLOOKUP(I547,$C$3:$L$6,5,0)=Variables!$B$5,B547&gt;VLOOKUP(I547,$C$3:$L$6,8,0)),IF(VLOOKUP(I547,$C$3:$L$6,5,0)=Variables!$B$5,((YEAR(B547)-YEAR($B$12))*12+MONTH(B547)-MONTH($B$12)),((YEAR(B547)-YEAR(VLOOKUP(I547,$C$3:$L$6,8,0)))*12+MONTH(B547)-MONTH(VLOOKUP(I547,$C$3:$L$6,8,0))))*VLOOKUP(I547,$C$3:$L$6,7,0),0)),""),"")</f>
        <v/>
      </c>
      <c r="L547" s="29" t="str">
        <f t="shared" ca="1" si="54"/>
        <v/>
      </c>
      <c r="M547" s="10"/>
      <c r="N547" s="10"/>
    </row>
    <row r="548" spans="1:14" x14ac:dyDescent="0.25">
      <c r="A548" s="10"/>
      <c r="B548" s="14" t="str">
        <f t="shared" ca="1" si="55"/>
        <v/>
      </c>
      <c r="C548" s="14" t="str">
        <f ca="1">IF(I547&lt;&gt;Variables!$B$1,IF(H547&lt;&gt;0,C547,I547),"")</f>
        <v/>
      </c>
      <c r="D548" s="29" t="str">
        <f t="shared" ca="1" si="52"/>
        <v/>
      </c>
      <c r="E548" s="29" t="str">
        <f t="shared" ca="1" si="53"/>
        <v/>
      </c>
      <c r="F548" s="29" t="str">
        <f ca="1">IF(C548&lt;&gt;"",IF(OR(VLOOKUP(C548,$C$3:$L$6,5,0)=Variables!$B$5,B548&gt;VLOOKUP(C548,$C$3:$L$6,8,0)),-D548*VLOOKUP(C548,$C$3:$L$6,6,0)/12,0),"")</f>
        <v/>
      </c>
      <c r="G548" s="29" t="str">
        <f ca="1">IF(I548&lt;&gt;Variables!$B$1,IF(C548&lt;&gt;"",$I$9-E548-F548,""),-D548)</f>
        <v/>
      </c>
      <c r="H548" s="29" t="str">
        <f t="shared" ca="1" si="56"/>
        <v/>
      </c>
      <c r="I548" s="31" t="str">
        <f ca="1">IF(C548&lt;&gt;"",IF(D548+$I$9-E548-F548&gt;=0,IF(ISERROR(INDEX($C$3:$C$6,MATCH(C548,$C$3:$C$6,0)+1,0)),Variables!$B$1,INDEX($C$3:$C$6,MATCH(C548,$C$3:$C$6,0)+1,0)),""),"")</f>
        <v/>
      </c>
      <c r="J548" s="29" t="str">
        <f ca="1">IF(ISERROR(VLOOKUP(I548,$C$3:$L$6,5,0)),"",IF(OR(VLOOKUP(I548,$C$3:$L$6,5,0)=Variables!$B$5,B548&gt;VLOOKUP(I548,$C$3:$L$6,8,0)),IF(VLOOKUP(I548,$C$3:$L$6,5,0)=Variables!$B$5,((YEAR(B548)-YEAR($B$12))*12+MONTH(B548)-MONTH($B$12)),((YEAR(B548)-YEAR(VLOOKUP(I548,$C$3:$L$6,8,0)))*12+MONTH(B548)-MONTH(VLOOKUP(I548,$C$3:$L$6,8,0))))*(VLOOKUP(I548,$C$3:$L$6,10,0)*VLOOKUP(I548,$C$3:$L$6,6,0)/12),0))</f>
        <v/>
      </c>
      <c r="K548" s="29" t="str">
        <f ca="1">IF(C548&lt;&gt;"",IF(I548&lt;&gt;"",IF(ISERROR(VLOOKUP(I548,$C$3:$L$6,10,0)),"",VLOOKUP(I548,$C$3:$L$6,10,0)+J548+IF(OR(VLOOKUP(I548,$C$3:$L$6,5,0)=Variables!$B$5,B548&gt;VLOOKUP(I548,$C$3:$L$6,8,0)),IF(VLOOKUP(I548,$C$3:$L$6,5,0)=Variables!$B$5,((YEAR(B548)-YEAR($B$12))*12+MONTH(B548)-MONTH($B$12)),((YEAR(B548)-YEAR(VLOOKUP(I548,$C$3:$L$6,8,0)))*12+MONTH(B548)-MONTH(VLOOKUP(I548,$C$3:$L$6,8,0))))*VLOOKUP(I548,$C$3:$L$6,7,0),0)),""),"")</f>
        <v/>
      </c>
      <c r="L548" s="29" t="str">
        <f t="shared" ca="1" si="54"/>
        <v/>
      </c>
      <c r="M548" s="10"/>
      <c r="N548" s="10"/>
    </row>
    <row r="549" spans="1:14" x14ac:dyDescent="0.25">
      <c r="A549" s="10"/>
      <c r="B549" s="14" t="str">
        <f t="shared" ca="1" si="55"/>
        <v/>
      </c>
      <c r="C549" s="14" t="str">
        <f ca="1">IF(I548&lt;&gt;Variables!$B$1,IF(H548&lt;&gt;0,C548,I548),"")</f>
        <v/>
      </c>
      <c r="D549" s="29" t="str">
        <f t="shared" ca="1" si="52"/>
        <v/>
      </c>
      <c r="E549" s="29" t="str">
        <f t="shared" ca="1" si="53"/>
        <v/>
      </c>
      <c r="F549" s="29" t="str">
        <f ca="1">IF(C549&lt;&gt;"",IF(OR(VLOOKUP(C549,$C$3:$L$6,5,0)=Variables!$B$5,B549&gt;VLOOKUP(C549,$C$3:$L$6,8,0)),-D549*VLOOKUP(C549,$C$3:$L$6,6,0)/12,0),"")</f>
        <v/>
      </c>
      <c r="G549" s="29" t="str">
        <f ca="1">IF(I549&lt;&gt;Variables!$B$1,IF(C549&lt;&gt;"",$I$9-E549-F549,""),-D549)</f>
        <v/>
      </c>
      <c r="H549" s="29" t="str">
        <f t="shared" ca="1" si="56"/>
        <v/>
      </c>
      <c r="I549" s="31" t="str">
        <f ca="1">IF(C549&lt;&gt;"",IF(D549+$I$9-E549-F549&gt;=0,IF(ISERROR(INDEX($C$3:$C$6,MATCH(C549,$C$3:$C$6,0)+1,0)),Variables!$B$1,INDEX($C$3:$C$6,MATCH(C549,$C$3:$C$6,0)+1,0)),""),"")</f>
        <v/>
      </c>
      <c r="J549" s="29" t="str">
        <f ca="1">IF(ISERROR(VLOOKUP(I549,$C$3:$L$6,5,0)),"",IF(OR(VLOOKUP(I549,$C$3:$L$6,5,0)=Variables!$B$5,B549&gt;VLOOKUP(I549,$C$3:$L$6,8,0)),IF(VLOOKUP(I549,$C$3:$L$6,5,0)=Variables!$B$5,((YEAR(B549)-YEAR($B$12))*12+MONTH(B549)-MONTH($B$12)),((YEAR(B549)-YEAR(VLOOKUP(I549,$C$3:$L$6,8,0)))*12+MONTH(B549)-MONTH(VLOOKUP(I549,$C$3:$L$6,8,0))))*(VLOOKUP(I549,$C$3:$L$6,10,0)*VLOOKUP(I549,$C$3:$L$6,6,0)/12),0))</f>
        <v/>
      </c>
      <c r="K549" s="29" t="str">
        <f ca="1">IF(C549&lt;&gt;"",IF(I549&lt;&gt;"",IF(ISERROR(VLOOKUP(I549,$C$3:$L$6,10,0)),"",VLOOKUP(I549,$C$3:$L$6,10,0)+J549+IF(OR(VLOOKUP(I549,$C$3:$L$6,5,0)=Variables!$B$5,B549&gt;VLOOKUP(I549,$C$3:$L$6,8,0)),IF(VLOOKUP(I549,$C$3:$L$6,5,0)=Variables!$B$5,((YEAR(B549)-YEAR($B$12))*12+MONTH(B549)-MONTH($B$12)),((YEAR(B549)-YEAR(VLOOKUP(I549,$C$3:$L$6,8,0)))*12+MONTH(B549)-MONTH(VLOOKUP(I549,$C$3:$L$6,8,0))))*VLOOKUP(I549,$C$3:$L$6,7,0),0)),""),"")</f>
        <v/>
      </c>
      <c r="L549" s="29" t="str">
        <f t="shared" ca="1" si="54"/>
        <v/>
      </c>
      <c r="M549" s="10"/>
      <c r="N549" s="10"/>
    </row>
    <row r="550" spans="1:14" x14ac:dyDescent="0.25">
      <c r="A550" s="10"/>
      <c r="B550" s="14" t="str">
        <f t="shared" ca="1" si="55"/>
        <v/>
      </c>
      <c r="C550" s="14" t="str">
        <f ca="1">IF(I549&lt;&gt;Variables!$B$1,IF(H549&lt;&gt;0,C549,I549),"")</f>
        <v/>
      </c>
      <c r="D550" s="29" t="str">
        <f t="shared" ca="1" si="52"/>
        <v/>
      </c>
      <c r="E550" s="29" t="str">
        <f t="shared" ca="1" si="53"/>
        <v/>
      </c>
      <c r="F550" s="29" t="str">
        <f ca="1">IF(C550&lt;&gt;"",IF(OR(VLOOKUP(C550,$C$3:$L$6,5,0)=Variables!$B$5,B550&gt;VLOOKUP(C550,$C$3:$L$6,8,0)),-D550*VLOOKUP(C550,$C$3:$L$6,6,0)/12,0),"")</f>
        <v/>
      </c>
      <c r="G550" s="29" t="str">
        <f ca="1">IF(I550&lt;&gt;Variables!$B$1,IF(C550&lt;&gt;"",$I$9-E550-F550,""),-D550)</f>
        <v/>
      </c>
      <c r="H550" s="29" t="str">
        <f t="shared" ca="1" si="56"/>
        <v/>
      </c>
      <c r="I550" s="31" t="str">
        <f ca="1">IF(C550&lt;&gt;"",IF(D550+$I$9-E550-F550&gt;=0,IF(ISERROR(INDEX($C$3:$C$6,MATCH(C550,$C$3:$C$6,0)+1,0)),Variables!$B$1,INDEX($C$3:$C$6,MATCH(C550,$C$3:$C$6,0)+1,0)),""),"")</f>
        <v/>
      </c>
      <c r="J550" s="29" t="str">
        <f ca="1">IF(ISERROR(VLOOKUP(I550,$C$3:$L$6,5,0)),"",IF(OR(VLOOKUP(I550,$C$3:$L$6,5,0)=Variables!$B$5,B550&gt;VLOOKUP(I550,$C$3:$L$6,8,0)),IF(VLOOKUP(I550,$C$3:$L$6,5,0)=Variables!$B$5,((YEAR(B550)-YEAR($B$12))*12+MONTH(B550)-MONTH($B$12)),((YEAR(B550)-YEAR(VLOOKUP(I550,$C$3:$L$6,8,0)))*12+MONTH(B550)-MONTH(VLOOKUP(I550,$C$3:$L$6,8,0))))*(VLOOKUP(I550,$C$3:$L$6,10,0)*VLOOKUP(I550,$C$3:$L$6,6,0)/12),0))</f>
        <v/>
      </c>
      <c r="K550" s="29" t="str">
        <f ca="1">IF(C550&lt;&gt;"",IF(I550&lt;&gt;"",IF(ISERROR(VLOOKUP(I550,$C$3:$L$6,10,0)),"",VLOOKUP(I550,$C$3:$L$6,10,0)+J550+IF(OR(VLOOKUP(I550,$C$3:$L$6,5,0)=Variables!$B$5,B550&gt;VLOOKUP(I550,$C$3:$L$6,8,0)),IF(VLOOKUP(I550,$C$3:$L$6,5,0)=Variables!$B$5,((YEAR(B550)-YEAR($B$12))*12+MONTH(B550)-MONTH($B$12)),((YEAR(B550)-YEAR(VLOOKUP(I550,$C$3:$L$6,8,0)))*12+MONTH(B550)-MONTH(VLOOKUP(I550,$C$3:$L$6,8,0))))*VLOOKUP(I550,$C$3:$L$6,7,0),0)),""),"")</f>
        <v/>
      </c>
      <c r="L550" s="29" t="str">
        <f t="shared" ca="1" si="54"/>
        <v/>
      </c>
      <c r="M550" s="10"/>
      <c r="N550" s="10"/>
    </row>
    <row r="551" spans="1:14" x14ac:dyDescent="0.25">
      <c r="A551" s="10"/>
      <c r="B551" s="14" t="str">
        <f t="shared" ca="1" si="55"/>
        <v/>
      </c>
      <c r="C551" s="14" t="str">
        <f ca="1">IF(I550&lt;&gt;Variables!$B$1,IF(H550&lt;&gt;0,C550,I550),"")</f>
        <v/>
      </c>
      <c r="D551" s="29" t="str">
        <f t="shared" ca="1" si="52"/>
        <v/>
      </c>
      <c r="E551" s="29" t="str">
        <f t="shared" ca="1" si="53"/>
        <v/>
      </c>
      <c r="F551" s="29" t="str">
        <f ca="1">IF(C551&lt;&gt;"",IF(OR(VLOOKUP(C551,$C$3:$L$6,5,0)=Variables!$B$5,B551&gt;VLOOKUP(C551,$C$3:$L$6,8,0)),-D551*VLOOKUP(C551,$C$3:$L$6,6,0)/12,0),"")</f>
        <v/>
      </c>
      <c r="G551" s="29" t="str">
        <f ca="1">IF(I551&lt;&gt;Variables!$B$1,IF(C551&lt;&gt;"",$I$9-E551-F551,""),-D551)</f>
        <v/>
      </c>
      <c r="H551" s="29" t="str">
        <f t="shared" ca="1" si="56"/>
        <v/>
      </c>
      <c r="I551" s="31" t="str">
        <f ca="1">IF(C551&lt;&gt;"",IF(D551+$I$9-E551-F551&gt;=0,IF(ISERROR(INDEX($C$3:$C$6,MATCH(C551,$C$3:$C$6,0)+1,0)),Variables!$B$1,INDEX($C$3:$C$6,MATCH(C551,$C$3:$C$6,0)+1,0)),""),"")</f>
        <v/>
      </c>
      <c r="J551" s="29" t="str">
        <f ca="1">IF(ISERROR(VLOOKUP(I551,$C$3:$L$6,5,0)),"",IF(OR(VLOOKUP(I551,$C$3:$L$6,5,0)=Variables!$B$5,B551&gt;VLOOKUP(I551,$C$3:$L$6,8,0)),IF(VLOOKUP(I551,$C$3:$L$6,5,0)=Variables!$B$5,((YEAR(B551)-YEAR($B$12))*12+MONTH(B551)-MONTH($B$12)),((YEAR(B551)-YEAR(VLOOKUP(I551,$C$3:$L$6,8,0)))*12+MONTH(B551)-MONTH(VLOOKUP(I551,$C$3:$L$6,8,0))))*(VLOOKUP(I551,$C$3:$L$6,10,0)*VLOOKUP(I551,$C$3:$L$6,6,0)/12),0))</f>
        <v/>
      </c>
      <c r="K551" s="29" t="str">
        <f ca="1">IF(C551&lt;&gt;"",IF(I551&lt;&gt;"",IF(ISERROR(VLOOKUP(I551,$C$3:$L$6,10,0)),"",VLOOKUP(I551,$C$3:$L$6,10,0)+J551+IF(OR(VLOOKUP(I551,$C$3:$L$6,5,0)=Variables!$B$5,B551&gt;VLOOKUP(I551,$C$3:$L$6,8,0)),IF(VLOOKUP(I551,$C$3:$L$6,5,0)=Variables!$B$5,((YEAR(B551)-YEAR($B$12))*12+MONTH(B551)-MONTH($B$12)),((YEAR(B551)-YEAR(VLOOKUP(I551,$C$3:$L$6,8,0)))*12+MONTH(B551)-MONTH(VLOOKUP(I551,$C$3:$L$6,8,0))))*VLOOKUP(I551,$C$3:$L$6,7,0),0)),""),"")</f>
        <v/>
      </c>
      <c r="L551" s="29" t="str">
        <f t="shared" ca="1" si="54"/>
        <v/>
      </c>
      <c r="M551" s="10"/>
      <c r="N551" s="10"/>
    </row>
    <row r="552" spans="1:14" x14ac:dyDescent="0.25">
      <c r="A552" s="10"/>
      <c r="B552" s="14" t="str">
        <f t="shared" ca="1" si="55"/>
        <v/>
      </c>
      <c r="C552" s="14" t="str">
        <f ca="1">IF(I551&lt;&gt;Variables!$B$1,IF(H551&lt;&gt;0,C551,I551),"")</f>
        <v/>
      </c>
      <c r="D552" s="29" t="str">
        <f t="shared" ca="1" si="52"/>
        <v/>
      </c>
      <c r="E552" s="29" t="str">
        <f t="shared" ca="1" si="53"/>
        <v/>
      </c>
      <c r="F552" s="29" t="str">
        <f ca="1">IF(C552&lt;&gt;"",IF(OR(VLOOKUP(C552,$C$3:$L$6,5,0)=Variables!$B$5,B552&gt;VLOOKUP(C552,$C$3:$L$6,8,0)),-D552*VLOOKUP(C552,$C$3:$L$6,6,0)/12,0),"")</f>
        <v/>
      </c>
      <c r="G552" s="29" t="str">
        <f ca="1">IF(I552&lt;&gt;Variables!$B$1,IF(C552&lt;&gt;"",$I$9-E552-F552,""),-D552)</f>
        <v/>
      </c>
      <c r="H552" s="29" t="str">
        <f t="shared" ca="1" si="56"/>
        <v/>
      </c>
      <c r="I552" s="31" t="str">
        <f ca="1">IF(C552&lt;&gt;"",IF(D552+$I$9-E552-F552&gt;=0,IF(ISERROR(INDEX($C$3:$C$6,MATCH(C552,$C$3:$C$6,0)+1,0)),Variables!$B$1,INDEX($C$3:$C$6,MATCH(C552,$C$3:$C$6,0)+1,0)),""),"")</f>
        <v/>
      </c>
      <c r="J552" s="29" t="str">
        <f ca="1">IF(ISERROR(VLOOKUP(I552,$C$3:$L$6,5,0)),"",IF(OR(VLOOKUP(I552,$C$3:$L$6,5,0)=Variables!$B$5,B552&gt;VLOOKUP(I552,$C$3:$L$6,8,0)),IF(VLOOKUP(I552,$C$3:$L$6,5,0)=Variables!$B$5,((YEAR(B552)-YEAR($B$12))*12+MONTH(B552)-MONTH($B$12)),((YEAR(B552)-YEAR(VLOOKUP(I552,$C$3:$L$6,8,0)))*12+MONTH(B552)-MONTH(VLOOKUP(I552,$C$3:$L$6,8,0))))*(VLOOKUP(I552,$C$3:$L$6,10,0)*VLOOKUP(I552,$C$3:$L$6,6,0)/12),0))</f>
        <v/>
      </c>
      <c r="K552" s="29" t="str">
        <f ca="1">IF(C552&lt;&gt;"",IF(I552&lt;&gt;"",IF(ISERROR(VLOOKUP(I552,$C$3:$L$6,10,0)),"",VLOOKUP(I552,$C$3:$L$6,10,0)+J552+IF(OR(VLOOKUP(I552,$C$3:$L$6,5,0)=Variables!$B$5,B552&gt;VLOOKUP(I552,$C$3:$L$6,8,0)),IF(VLOOKUP(I552,$C$3:$L$6,5,0)=Variables!$B$5,((YEAR(B552)-YEAR($B$12))*12+MONTH(B552)-MONTH($B$12)),((YEAR(B552)-YEAR(VLOOKUP(I552,$C$3:$L$6,8,0)))*12+MONTH(B552)-MONTH(VLOOKUP(I552,$C$3:$L$6,8,0))))*VLOOKUP(I552,$C$3:$L$6,7,0),0)),""),"")</f>
        <v/>
      </c>
      <c r="L552" s="29" t="str">
        <f t="shared" ca="1" si="54"/>
        <v/>
      </c>
      <c r="M552" s="10"/>
      <c r="N552" s="10"/>
    </row>
    <row r="553" spans="1:14" x14ac:dyDescent="0.25">
      <c r="A553" s="10"/>
      <c r="B553" s="14" t="str">
        <f t="shared" ca="1" si="55"/>
        <v/>
      </c>
      <c r="C553" s="14" t="str">
        <f ca="1">IF(I552&lt;&gt;Variables!$B$1,IF(H552&lt;&gt;0,C552,I552),"")</f>
        <v/>
      </c>
      <c r="D553" s="29" t="str">
        <f t="shared" ca="1" si="52"/>
        <v/>
      </c>
      <c r="E553" s="29" t="str">
        <f t="shared" ca="1" si="53"/>
        <v/>
      </c>
      <c r="F553" s="29" t="str">
        <f ca="1">IF(C553&lt;&gt;"",IF(OR(VLOOKUP(C553,$C$3:$L$6,5,0)=Variables!$B$5,B553&gt;VLOOKUP(C553,$C$3:$L$6,8,0)),-D553*VLOOKUP(C553,$C$3:$L$6,6,0)/12,0),"")</f>
        <v/>
      </c>
      <c r="G553" s="29" t="str">
        <f ca="1">IF(I553&lt;&gt;Variables!$B$1,IF(C553&lt;&gt;"",$I$9-E553-F553,""),-D553)</f>
        <v/>
      </c>
      <c r="H553" s="29" t="str">
        <f t="shared" ca="1" si="56"/>
        <v/>
      </c>
      <c r="I553" s="31" t="str">
        <f ca="1">IF(C553&lt;&gt;"",IF(D553+$I$9-E553-F553&gt;=0,IF(ISERROR(INDEX($C$3:$C$6,MATCH(C553,$C$3:$C$6,0)+1,0)),Variables!$B$1,INDEX($C$3:$C$6,MATCH(C553,$C$3:$C$6,0)+1,0)),""),"")</f>
        <v/>
      </c>
      <c r="J553" s="29" t="str">
        <f ca="1">IF(ISERROR(VLOOKUP(I553,$C$3:$L$6,5,0)),"",IF(OR(VLOOKUP(I553,$C$3:$L$6,5,0)=Variables!$B$5,B553&gt;VLOOKUP(I553,$C$3:$L$6,8,0)),IF(VLOOKUP(I553,$C$3:$L$6,5,0)=Variables!$B$5,((YEAR(B553)-YEAR($B$12))*12+MONTH(B553)-MONTH($B$12)),((YEAR(B553)-YEAR(VLOOKUP(I553,$C$3:$L$6,8,0)))*12+MONTH(B553)-MONTH(VLOOKUP(I553,$C$3:$L$6,8,0))))*(VLOOKUP(I553,$C$3:$L$6,10,0)*VLOOKUP(I553,$C$3:$L$6,6,0)/12),0))</f>
        <v/>
      </c>
      <c r="K553" s="29" t="str">
        <f ca="1">IF(C553&lt;&gt;"",IF(I553&lt;&gt;"",IF(ISERROR(VLOOKUP(I553,$C$3:$L$6,10,0)),"",VLOOKUP(I553,$C$3:$L$6,10,0)+J553+IF(OR(VLOOKUP(I553,$C$3:$L$6,5,0)=Variables!$B$5,B553&gt;VLOOKUP(I553,$C$3:$L$6,8,0)),IF(VLOOKUP(I553,$C$3:$L$6,5,0)=Variables!$B$5,((YEAR(B553)-YEAR($B$12))*12+MONTH(B553)-MONTH($B$12)),((YEAR(B553)-YEAR(VLOOKUP(I553,$C$3:$L$6,8,0)))*12+MONTH(B553)-MONTH(VLOOKUP(I553,$C$3:$L$6,8,0))))*VLOOKUP(I553,$C$3:$L$6,7,0),0)),""),"")</f>
        <v/>
      </c>
      <c r="L553" s="29" t="str">
        <f t="shared" ca="1" si="54"/>
        <v/>
      </c>
      <c r="M553" s="10"/>
      <c r="N553" s="10"/>
    </row>
    <row r="554" spans="1:14" x14ac:dyDescent="0.25">
      <c r="A554" s="10"/>
      <c r="B554" s="14" t="str">
        <f t="shared" ca="1" si="55"/>
        <v/>
      </c>
      <c r="C554" s="14" t="str">
        <f ca="1">IF(I553&lt;&gt;Variables!$B$1,IF(H553&lt;&gt;0,C553,I553),"")</f>
        <v/>
      </c>
      <c r="D554" s="29" t="str">
        <f t="shared" ca="1" si="52"/>
        <v/>
      </c>
      <c r="E554" s="29" t="str">
        <f t="shared" ca="1" si="53"/>
        <v/>
      </c>
      <c r="F554" s="29" t="str">
        <f ca="1">IF(C554&lt;&gt;"",IF(OR(VLOOKUP(C554,$C$3:$L$6,5,0)=Variables!$B$5,B554&gt;VLOOKUP(C554,$C$3:$L$6,8,0)),-D554*VLOOKUP(C554,$C$3:$L$6,6,0)/12,0),"")</f>
        <v/>
      </c>
      <c r="G554" s="29" t="str">
        <f ca="1">IF(I554&lt;&gt;Variables!$B$1,IF(C554&lt;&gt;"",$I$9-E554-F554,""),-D554)</f>
        <v/>
      </c>
      <c r="H554" s="29" t="str">
        <f t="shared" ca="1" si="56"/>
        <v/>
      </c>
      <c r="I554" s="31" t="str">
        <f ca="1">IF(C554&lt;&gt;"",IF(D554+$I$9-E554-F554&gt;=0,IF(ISERROR(INDEX($C$3:$C$6,MATCH(C554,$C$3:$C$6,0)+1,0)),Variables!$B$1,INDEX($C$3:$C$6,MATCH(C554,$C$3:$C$6,0)+1,0)),""),"")</f>
        <v/>
      </c>
      <c r="J554" s="29" t="str">
        <f ca="1">IF(ISERROR(VLOOKUP(I554,$C$3:$L$6,5,0)),"",IF(OR(VLOOKUP(I554,$C$3:$L$6,5,0)=Variables!$B$5,B554&gt;VLOOKUP(I554,$C$3:$L$6,8,0)),IF(VLOOKUP(I554,$C$3:$L$6,5,0)=Variables!$B$5,((YEAR(B554)-YEAR($B$12))*12+MONTH(B554)-MONTH($B$12)),((YEAR(B554)-YEAR(VLOOKUP(I554,$C$3:$L$6,8,0)))*12+MONTH(B554)-MONTH(VLOOKUP(I554,$C$3:$L$6,8,0))))*(VLOOKUP(I554,$C$3:$L$6,10,0)*VLOOKUP(I554,$C$3:$L$6,6,0)/12),0))</f>
        <v/>
      </c>
      <c r="K554" s="29" t="str">
        <f ca="1">IF(C554&lt;&gt;"",IF(I554&lt;&gt;"",IF(ISERROR(VLOOKUP(I554,$C$3:$L$6,10,0)),"",VLOOKUP(I554,$C$3:$L$6,10,0)+J554+IF(OR(VLOOKUP(I554,$C$3:$L$6,5,0)=Variables!$B$5,B554&gt;VLOOKUP(I554,$C$3:$L$6,8,0)),IF(VLOOKUP(I554,$C$3:$L$6,5,0)=Variables!$B$5,((YEAR(B554)-YEAR($B$12))*12+MONTH(B554)-MONTH($B$12)),((YEAR(B554)-YEAR(VLOOKUP(I554,$C$3:$L$6,8,0)))*12+MONTH(B554)-MONTH(VLOOKUP(I554,$C$3:$L$6,8,0))))*VLOOKUP(I554,$C$3:$L$6,7,0),0)),""),"")</f>
        <v/>
      </c>
      <c r="L554" s="29" t="str">
        <f t="shared" ca="1" si="54"/>
        <v/>
      </c>
      <c r="M554" s="10"/>
      <c r="N554" s="10"/>
    </row>
    <row r="555" spans="1:14" x14ac:dyDescent="0.25">
      <c r="A555" s="10"/>
      <c r="B555" s="14" t="str">
        <f t="shared" ca="1" si="55"/>
        <v/>
      </c>
      <c r="C555" s="14" t="str">
        <f ca="1">IF(I554&lt;&gt;Variables!$B$1,IF(H554&lt;&gt;0,C554,I554),"")</f>
        <v/>
      </c>
      <c r="D555" s="29" t="str">
        <f t="shared" ca="1" si="52"/>
        <v/>
      </c>
      <c r="E555" s="29" t="str">
        <f t="shared" ca="1" si="53"/>
        <v/>
      </c>
      <c r="F555" s="29" t="str">
        <f ca="1">IF(C555&lt;&gt;"",IF(OR(VLOOKUP(C555,$C$3:$L$6,5,0)=Variables!$B$5,B555&gt;VLOOKUP(C555,$C$3:$L$6,8,0)),-D555*VLOOKUP(C555,$C$3:$L$6,6,0)/12,0),"")</f>
        <v/>
      </c>
      <c r="G555" s="29" t="str">
        <f ca="1">IF(I555&lt;&gt;Variables!$B$1,IF(C555&lt;&gt;"",$I$9-E555-F555,""),-D555)</f>
        <v/>
      </c>
      <c r="H555" s="29" t="str">
        <f t="shared" ca="1" si="56"/>
        <v/>
      </c>
      <c r="I555" s="31" t="str">
        <f ca="1">IF(C555&lt;&gt;"",IF(D555+$I$9-E555-F555&gt;=0,IF(ISERROR(INDEX($C$3:$C$6,MATCH(C555,$C$3:$C$6,0)+1,0)),Variables!$B$1,INDEX($C$3:$C$6,MATCH(C555,$C$3:$C$6,0)+1,0)),""),"")</f>
        <v/>
      </c>
      <c r="J555" s="29" t="str">
        <f ca="1">IF(ISERROR(VLOOKUP(I555,$C$3:$L$6,5,0)),"",IF(OR(VLOOKUP(I555,$C$3:$L$6,5,0)=Variables!$B$5,B555&gt;VLOOKUP(I555,$C$3:$L$6,8,0)),IF(VLOOKUP(I555,$C$3:$L$6,5,0)=Variables!$B$5,((YEAR(B555)-YEAR($B$12))*12+MONTH(B555)-MONTH($B$12)),((YEAR(B555)-YEAR(VLOOKUP(I555,$C$3:$L$6,8,0)))*12+MONTH(B555)-MONTH(VLOOKUP(I555,$C$3:$L$6,8,0))))*(VLOOKUP(I555,$C$3:$L$6,10,0)*VLOOKUP(I555,$C$3:$L$6,6,0)/12),0))</f>
        <v/>
      </c>
      <c r="K555" s="29" t="str">
        <f ca="1">IF(C555&lt;&gt;"",IF(I555&lt;&gt;"",IF(ISERROR(VLOOKUP(I555,$C$3:$L$6,10,0)),"",VLOOKUP(I555,$C$3:$L$6,10,0)+J555+IF(OR(VLOOKUP(I555,$C$3:$L$6,5,0)=Variables!$B$5,B555&gt;VLOOKUP(I555,$C$3:$L$6,8,0)),IF(VLOOKUP(I555,$C$3:$L$6,5,0)=Variables!$B$5,((YEAR(B555)-YEAR($B$12))*12+MONTH(B555)-MONTH($B$12)),((YEAR(B555)-YEAR(VLOOKUP(I555,$C$3:$L$6,8,0)))*12+MONTH(B555)-MONTH(VLOOKUP(I555,$C$3:$L$6,8,0))))*VLOOKUP(I555,$C$3:$L$6,7,0),0)),""),"")</f>
        <v/>
      </c>
      <c r="L555" s="29" t="str">
        <f t="shared" ca="1" si="54"/>
        <v/>
      </c>
      <c r="M555" s="10"/>
      <c r="N555" s="10"/>
    </row>
    <row r="556" spans="1:14" x14ac:dyDescent="0.25">
      <c r="A556" s="10"/>
      <c r="B556" s="14" t="str">
        <f t="shared" ca="1" si="55"/>
        <v/>
      </c>
      <c r="C556" s="14" t="str">
        <f ca="1">IF(I555&lt;&gt;Variables!$B$1,IF(H555&lt;&gt;0,C555,I555),"")</f>
        <v/>
      </c>
      <c r="D556" s="29" t="str">
        <f t="shared" ca="1" si="52"/>
        <v/>
      </c>
      <c r="E556" s="29" t="str">
        <f t="shared" ca="1" si="53"/>
        <v/>
      </c>
      <c r="F556" s="29" t="str">
        <f ca="1">IF(C556&lt;&gt;"",IF(OR(VLOOKUP(C556,$C$3:$L$6,5,0)=Variables!$B$5,B556&gt;VLOOKUP(C556,$C$3:$L$6,8,0)),-D556*VLOOKUP(C556,$C$3:$L$6,6,0)/12,0),"")</f>
        <v/>
      </c>
      <c r="G556" s="29" t="str">
        <f ca="1">IF(I556&lt;&gt;Variables!$B$1,IF(C556&lt;&gt;"",$I$9-E556-F556,""),-D556)</f>
        <v/>
      </c>
      <c r="H556" s="29" t="str">
        <f t="shared" ca="1" si="56"/>
        <v/>
      </c>
      <c r="I556" s="31" t="str">
        <f ca="1">IF(C556&lt;&gt;"",IF(D556+$I$9-E556-F556&gt;=0,IF(ISERROR(INDEX($C$3:$C$6,MATCH(C556,$C$3:$C$6,0)+1,0)),Variables!$B$1,INDEX($C$3:$C$6,MATCH(C556,$C$3:$C$6,0)+1,0)),""),"")</f>
        <v/>
      </c>
      <c r="J556" s="29" t="str">
        <f ca="1">IF(ISERROR(VLOOKUP(I556,$C$3:$L$6,5,0)),"",IF(OR(VLOOKUP(I556,$C$3:$L$6,5,0)=Variables!$B$5,B556&gt;VLOOKUP(I556,$C$3:$L$6,8,0)),IF(VLOOKUP(I556,$C$3:$L$6,5,0)=Variables!$B$5,((YEAR(B556)-YEAR($B$12))*12+MONTH(B556)-MONTH($B$12)),((YEAR(B556)-YEAR(VLOOKUP(I556,$C$3:$L$6,8,0)))*12+MONTH(B556)-MONTH(VLOOKUP(I556,$C$3:$L$6,8,0))))*(VLOOKUP(I556,$C$3:$L$6,10,0)*VLOOKUP(I556,$C$3:$L$6,6,0)/12),0))</f>
        <v/>
      </c>
      <c r="K556" s="29" t="str">
        <f ca="1">IF(C556&lt;&gt;"",IF(I556&lt;&gt;"",IF(ISERROR(VLOOKUP(I556,$C$3:$L$6,10,0)),"",VLOOKUP(I556,$C$3:$L$6,10,0)+J556+IF(OR(VLOOKUP(I556,$C$3:$L$6,5,0)=Variables!$B$5,B556&gt;VLOOKUP(I556,$C$3:$L$6,8,0)),IF(VLOOKUP(I556,$C$3:$L$6,5,0)=Variables!$B$5,((YEAR(B556)-YEAR($B$12))*12+MONTH(B556)-MONTH($B$12)),((YEAR(B556)-YEAR(VLOOKUP(I556,$C$3:$L$6,8,0)))*12+MONTH(B556)-MONTH(VLOOKUP(I556,$C$3:$L$6,8,0))))*VLOOKUP(I556,$C$3:$L$6,7,0),0)),""),"")</f>
        <v/>
      </c>
      <c r="L556" s="29" t="str">
        <f t="shared" ca="1" si="54"/>
        <v/>
      </c>
      <c r="M556" s="10"/>
      <c r="N556" s="10"/>
    </row>
    <row r="557" spans="1:14" x14ac:dyDescent="0.25">
      <c r="A557" s="10"/>
      <c r="B557" s="14" t="str">
        <f t="shared" ca="1" si="55"/>
        <v/>
      </c>
      <c r="C557" s="14" t="str">
        <f ca="1">IF(I556&lt;&gt;Variables!$B$1,IF(H556&lt;&gt;0,C556,I556),"")</f>
        <v/>
      </c>
      <c r="D557" s="29" t="str">
        <f t="shared" ca="1" si="52"/>
        <v/>
      </c>
      <c r="E557" s="29" t="str">
        <f t="shared" ca="1" si="53"/>
        <v/>
      </c>
      <c r="F557" s="29" t="str">
        <f ca="1">IF(C557&lt;&gt;"",IF(OR(VLOOKUP(C557,$C$3:$L$6,5,0)=Variables!$B$5,B557&gt;VLOOKUP(C557,$C$3:$L$6,8,0)),-D557*VLOOKUP(C557,$C$3:$L$6,6,0)/12,0),"")</f>
        <v/>
      </c>
      <c r="G557" s="29" t="str">
        <f ca="1">IF(I557&lt;&gt;Variables!$B$1,IF(C557&lt;&gt;"",$I$9-E557-F557,""),-D557)</f>
        <v/>
      </c>
      <c r="H557" s="29" t="str">
        <f t="shared" ca="1" si="56"/>
        <v/>
      </c>
      <c r="I557" s="31" t="str">
        <f ca="1">IF(C557&lt;&gt;"",IF(D557+$I$9-E557-F557&gt;=0,IF(ISERROR(INDEX($C$3:$C$6,MATCH(C557,$C$3:$C$6,0)+1,0)),Variables!$B$1,INDEX($C$3:$C$6,MATCH(C557,$C$3:$C$6,0)+1,0)),""),"")</f>
        <v/>
      </c>
      <c r="J557" s="29" t="str">
        <f ca="1">IF(ISERROR(VLOOKUP(I557,$C$3:$L$6,5,0)),"",IF(OR(VLOOKUP(I557,$C$3:$L$6,5,0)=Variables!$B$5,B557&gt;VLOOKUP(I557,$C$3:$L$6,8,0)),IF(VLOOKUP(I557,$C$3:$L$6,5,0)=Variables!$B$5,((YEAR(B557)-YEAR($B$12))*12+MONTH(B557)-MONTH($B$12)),((YEAR(B557)-YEAR(VLOOKUP(I557,$C$3:$L$6,8,0)))*12+MONTH(B557)-MONTH(VLOOKUP(I557,$C$3:$L$6,8,0))))*(VLOOKUP(I557,$C$3:$L$6,10,0)*VLOOKUP(I557,$C$3:$L$6,6,0)/12),0))</f>
        <v/>
      </c>
      <c r="K557" s="29" t="str">
        <f ca="1">IF(C557&lt;&gt;"",IF(I557&lt;&gt;"",IF(ISERROR(VLOOKUP(I557,$C$3:$L$6,10,0)),"",VLOOKUP(I557,$C$3:$L$6,10,0)+J557+IF(OR(VLOOKUP(I557,$C$3:$L$6,5,0)=Variables!$B$5,B557&gt;VLOOKUP(I557,$C$3:$L$6,8,0)),IF(VLOOKUP(I557,$C$3:$L$6,5,0)=Variables!$B$5,((YEAR(B557)-YEAR($B$12))*12+MONTH(B557)-MONTH($B$12)),((YEAR(B557)-YEAR(VLOOKUP(I557,$C$3:$L$6,8,0)))*12+MONTH(B557)-MONTH(VLOOKUP(I557,$C$3:$L$6,8,0))))*VLOOKUP(I557,$C$3:$L$6,7,0),0)),""),"")</f>
        <v/>
      </c>
      <c r="L557" s="29" t="str">
        <f t="shared" ca="1" si="54"/>
        <v/>
      </c>
      <c r="M557" s="10"/>
      <c r="N557" s="10"/>
    </row>
    <row r="558" spans="1:14" x14ac:dyDescent="0.25">
      <c r="A558" s="10"/>
      <c r="B558" s="14" t="str">
        <f t="shared" ca="1" si="55"/>
        <v/>
      </c>
      <c r="C558" s="14" t="str">
        <f ca="1">IF(I557&lt;&gt;Variables!$B$1,IF(H557&lt;&gt;0,C557,I557),"")</f>
        <v/>
      </c>
      <c r="D558" s="29" t="str">
        <f t="shared" ca="1" si="52"/>
        <v/>
      </c>
      <c r="E558" s="29" t="str">
        <f t="shared" ca="1" si="53"/>
        <v/>
      </c>
      <c r="F558" s="29" t="str">
        <f ca="1">IF(C558&lt;&gt;"",IF(OR(VLOOKUP(C558,$C$3:$L$6,5,0)=Variables!$B$5,B558&gt;VLOOKUP(C558,$C$3:$L$6,8,0)),-D558*VLOOKUP(C558,$C$3:$L$6,6,0)/12,0),"")</f>
        <v/>
      </c>
      <c r="G558" s="29" t="str">
        <f ca="1">IF(I558&lt;&gt;Variables!$B$1,IF(C558&lt;&gt;"",$I$9-E558-F558,""),-D558)</f>
        <v/>
      </c>
      <c r="H558" s="29" t="str">
        <f t="shared" ca="1" si="56"/>
        <v/>
      </c>
      <c r="I558" s="31" t="str">
        <f ca="1">IF(C558&lt;&gt;"",IF(D558+$I$9-E558-F558&gt;=0,IF(ISERROR(INDEX($C$3:$C$6,MATCH(C558,$C$3:$C$6,0)+1,0)),Variables!$B$1,INDEX($C$3:$C$6,MATCH(C558,$C$3:$C$6,0)+1,0)),""),"")</f>
        <v/>
      </c>
      <c r="J558" s="29" t="str">
        <f ca="1">IF(ISERROR(VLOOKUP(I558,$C$3:$L$6,5,0)),"",IF(OR(VLOOKUP(I558,$C$3:$L$6,5,0)=Variables!$B$5,B558&gt;VLOOKUP(I558,$C$3:$L$6,8,0)),IF(VLOOKUP(I558,$C$3:$L$6,5,0)=Variables!$B$5,((YEAR(B558)-YEAR($B$12))*12+MONTH(B558)-MONTH($B$12)),((YEAR(B558)-YEAR(VLOOKUP(I558,$C$3:$L$6,8,0)))*12+MONTH(B558)-MONTH(VLOOKUP(I558,$C$3:$L$6,8,0))))*(VLOOKUP(I558,$C$3:$L$6,10,0)*VLOOKUP(I558,$C$3:$L$6,6,0)/12),0))</f>
        <v/>
      </c>
      <c r="K558" s="29" t="str">
        <f ca="1">IF(C558&lt;&gt;"",IF(I558&lt;&gt;"",IF(ISERROR(VLOOKUP(I558,$C$3:$L$6,10,0)),"",VLOOKUP(I558,$C$3:$L$6,10,0)+J558+IF(OR(VLOOKUP(I558,$C$3:$L$6,5,0)=Variables!$B$5,B558&gt;VLOOKUP(I558,$C$3:$L$6,8,0)),IF(VLOOKUP(I558,$C$3:$L$6,5,0)=Variables!$B$5,((YEAR(B558)-YEAR($B$12))*12+MONTH(B558)-MONTH($B$12)),((YEAR(B558)-YEAR(VLOOKUP(I558,$C$3:$L$6,8,0)))*12+MONTH(B558)-MONTH(VLOOKUP(I558,$C$3:$L$6,8,0))))*VLOOKUP(I558,$C$3:$L$6,7,0),0)),""),"")</f>
        <v/>
      </c>
      <c r="L558" s="29" t="str">
        <f t="shared" ca="1" si="54"/>
        <v/>
      </c>
      <c r="M558" s="10"/>
      <c r="N558" s="10"/>
    </row>
    <row r="559" spans="1:14" x14ac:dyDescent="0.25">
      <c r="A559" s="10"/>
      <c r="B559" s="14" t="str">
        <f t="shared" ca="1" si="55"/>
        <v/>
      </c>
      <c r="C559" s="14" t="str">
        <f ca="1">IF(I558&lt;&gt;Variables!$B$1,IF(H558&lt;&gt;0,C558,I558),"")</f>
        <v/>
      </c>
      <c r="D559" s="29" t="str">
        <f t="shared" ca="1" si="52"/>
        <v/>
      </c>
      <c r="E559" s="29" t="str">
        <f t="shared" ca="1" si="53"/>
        <v/>
      </c>
      <c r="F559" s="29" t="str">
        <f ca="1">IF(C559&lt;&gt;"",IF(OR(VLOOKUP(C559,$C$3:$L$6,5,0)=Variables!$B$5,B559&gt;VLOOKUP(C559,$C$3:$L$6,8,0)),-D559*VLOOKUP(C559,$C$3:$L$6,6,0)/12,0),"")</f>
        <v/>
      </c>
      <c r="G559" s="29" t="str">
        <f ca="1">IF(I559&lt;&gt;Variables!$B$1,IF(C559&lt;&gt;"",$I$9-E559-F559,""),-D559)</f>
        <v/>
      </c>
      <c r="H559" s="29" t="str">
        <f t="shared" ca="1" si="56"/>
        <v/>
      </c>
      <c r="I559" s="31" t="str">
        <f ca="1">IF(C559&lt;&gt;"",IF(D559+$I$9-E559-F559&gt;=0,IF(ISERROR(INDEX($C$3:$C$6,MATCH(C559,$C$3:$C$6,0)+1,0)),Variables!$B$1,INDEX($C$3:$C$6,MATCH(C559,$C$3:$C$6,0)+1,0)),""),"")</f>
        <v/>
      </c>
      <c r="J559" s="29" t="str">
        <f ca="1">IF(ISERROR(VLOOKUP(I559,$C$3:$L$6,5,0)),"",IF(OR(VLOOKUP(I559,$C$3:$L$6,5,0)=Variables!$B$5,B559&gt;VLOOKUP(I559,$C$3:$L$6,8,0)),IF(VLOOKUP(I559,$C$3:$L$6,5,0)=Variables!$B$5,((YEAR(B559)-YEAR($B$12))*12+MONTH(B559)-MONTH($B$12)),((YEAR(B559)-YEAR(VLOOKUP(I559,$C$3:$L$6,8,0)))*12+MONTH(B559)-MONTH(VLOOKUP(I559,$C$3:$L$6,8,0))))*(VLOOKUP(I559,$C$3:$L$6,10,0)*VLOOKUP(I559,$C$3:$L$6,6,0)/12),0))</f>
        <v/>
      </c>
      <c r="K559" s="29" t="str">
        <f ca="1">IF(C559&lt;&gt;"",IF(I559&lt;&gt;"",IF(ISERROR(VLOOKUP(I559,$C$3:$L$6,10,0)),"",VLOOKUP(I559,$C$3:$L$6,10,0)+J559+IF(OR(VLOOKUP(I559,$C$3:$L$6,5,0)=Variables!$B$5,B559&gt;VLOOKUP(I559,$C$3:$L$6,8,0)),IF(VLOOKUP(I559,$C$3:$L$6,5,0)=Variables!$B$5,((YEAR(B559)-YEAR($B$12))*12+MONTH(B559)-MONTH($B$12)),((YEAR(B559)-YEAR(VLOOKUP(I559,$C$3:$L$6,8,0)))*12+MONTH(B559)-MONTH(VLOOKUP(I559,$C$3:$L$6,8,0))))*VLOOKUP(I559,$C$3:$L$6,7,0),0)),""),"")</f>
        <v/>
      </c>
      <c r="L559" s="29" t="str">
        <f t="shared" ca="1" si="54"/>
        <v/>
      </c>
      <c r="M559" s="10"/>
      <c r="N559" s="10"/>
    </row>
    <row r="560" spans="1:14" x14ac:dyDescent="0.25">
      <c r="A560" s="10"/>
      <c r="B560" s="14" t="str">
        <f t="shared" ca="1" si="55"/>
        <v/>
      </c>
      <c r="C560" s="14" t="str">
        <f ca="1">IF(I559&lt;&gt;Variables!$B$1,IF(H559&lt;&gt;0,C559,I559),"")</f>
        <v/>
      </c>
      <c r="D560" s="29" t="str">
        <f t="shared" ca="1" si="52"/>
        <v/>
      </c>
      <c r="E560" s="29" t="str">
        <f t="shared" ca="1" si="53"/>
        <v/>
      </c>
      <c r="F560" s="29" t="str">
        <f ca="1">IF(C560&lt;&gt;"",IF(OR(VLOOKUP(C560,$C$3:$L$6,5,0)=Variables!$B$5,B560&gt;VLOOKUP(C560,$C$3:$L$6,8,0)),-D560*VLOOKUP(C560,$C$3:$L$6,6,0)/12,0),"")</f>
        <v/>
      </c>
      <c r="G560" s="29" t="str">
        <f ca="1">IF(I560&lt;&gt;Variables!$B$1,IF(C560&lt;&gt;"",$I$9-E560-F560,""),-D560)</f>
        <v/>
      </c>
      <c r="H560" s="29" t="str">
        <f t="shared" ca="1" si="56"/>
        <v/>
      </c>
      <c r="I560" s="31" t="str">
        <f ca="1">IF(C560&lt;&gt;"",IF(D560+$I$9-E560-F560&gt;=0,IF(ISERROR(INDEX($C$3:$C$6,MATCH(C560,$C$3:$C$6,0)+1,0)),Variables!$B$1,INDEX($C$3:$C$6,MATCH(C560,$C$3:$C$6,0)+1,0)),""),"")</f>
        <v/>
      </c>
      <c r="J560" s="29" t="str">
        <f ca="1">IF(ISERROR(VLOOKUP(I560,$C$3:$L$6,5,0)),"",IF(OR(VLOOKUP(I560,$C$3:$L$6,5,0)=Variables!$B$5,B560&gt;VLOOKUP(I560,$C$3:$L$6,8,0)),IF(VLOOKUP(I560,$C$3:$L$6,5,0)=Variables!$B$5,((YEAR(B560)-YEAR($B$12))*12+MONTH(B560)-MONTH($B$12)),((YEAR(B560)-YEAR(VLOOKUP(I560,$C$3:$L$6,8,0)))*12+MONTH(B560)-MONTH(VLOOKUP(I560,$C$3:$L$6,8,0))))*(VLOOKUP(I560,$C$3:$L$6,10,0)*VLOOKUP(I560,$C$3:$L$6,6,0)/12),0))</f>
        <v/>
      </c>
      <c r="K560" s="29" t="str">
        <f ca="1">IF(C560&lt;&gt;"",IF(I560&lt;&gt;"",IF(ISERROR(VLOOKUP(I560,$C$3:$L$6,10,0)),"",VLOOKUP(I560,$C$3:$L$6,10,0)+J560+IF(OR(VLOOKUP(I560,$C$3:$L$6,5,0)=Variables!$B$5,B560&gt;VLOOKUP(I560,$C$3:$L$6,8,0)),IF(VLOOKUP(I560,$C$3:$L$6,5,0)=Variables!$B$5,((YEAR(B560)-YEAR($B$12))*12+MONTH(B560)-MONTH($B$12)),((YEAR(B560)-YEAR(VLOOKUP(I560,$C$3:$L$6,8,0)))*12+MONTH(B560)-MONTH(VLOOKUP(I560,$C$3:$L$6,8,0))))*VLOOKUP(I560,$C$3:$L$6,7,0),0)),""),"")</f>
        <v/>
      </c>
      <c r="L560" s="29" t="str">
        <f t="shared" ca="1" si="54"/>
        <v/>
      </c>
      <c r="M560" s="10"/>
      <c r="N560" s="10"/>
    </row>
    <row r="561" spans="1:14" x14ac:dyDescent="0.25">
      <c r="A561" s="10"/>
      <c r="B561" s="14" t="str">
        <f t="shared" ca="1" si="55"/>
        <v/>
      </c>
      <c r="C561" s="14" t="str">
        <f ca="1">IF(I560&lt;&gt;Variables!$B$1,IF(H560&lt;&gt;0,C560,I560),"")</f>
        <v/>
      </c>
      <c r="D561" s="29" t="str">
        <f t="shared" ca="1" si="52"/>
        <v/>
      </c>
      <c r="E561" s="29" t="str">
        <f t="shared" ca="1" si="53"/>
        <v/>
      </c>
      <c r="F561" s="29" t="str">
        <f ca="1">IF(C561&lt;&gt;"",IF(OR(VLOOKUP(C561,$C$3:$L$6,5,0)=Variables!$B$5,B561&gt;VLOOKUP(C561,$C$3:$L$6,8,0)),-D561*VLOOKUP(C561,$C$3:$L$6,6,0)/12,0),"")</f>
        <v/>
      </c>
      <c r="G561" s="29" t="str">
        <f ca="1">IF(I561&lt;&gt;Variables!$B$1,IF(C561&lt;&gt;"",$I$9-E561-F561,""),-D561)</f>
        <v/>
      </c>
      <c r="H561" s="29" t="str">
        <f t="shared" ca="1" si="56"/>
        <v/>
      </c>
      <c r="I561" s="31" t="str">
        <f ca="1">IF(C561&lt;&gt;"",IF(D561+$I$9-E561-F561&gt;=0,IF(ISERROR(INDEX($C$3:$C$6,MATCH(C561,$C$3:$C$6,0)+1,0)),Variables!$B$1,INDEX($C$3:$C$6,MATCH(C561,$C$3:$C$6,0)+1,0)),""),"")</f>
        <v/>
      </c>
      <c r="J561" s="29" t="str">
        <f ca="1">IF(ISERROR(VLOOKUP(I561,$C$3:$L$6,5,0)),"",IF(OR(VLOOKUP(I561,$C$3:$L$6,5,0)=Variables!$B$5,B561&gt;VLOOKUP(I561,$C$3:$L$6,8,0)),IF(VLOOKUP(I561,$C$3:$L$6,5,0)=Variables!$B$5,((YEAR(B561)-YEAR($B$12))*12+MONTH(B561)-MONTH($B$12)),((YEAR(B561)-YEAR(VLOOKUP(I561,$C$3:$L$6,8,0)))*12+MONTH(B561)-MONTH(VLOOKUP(I561,$C$3:$L$6,8,0))))*(VLOOKUP(I561,$C$3:$L$6,10,0)*VLOOKUP(I561,$C$3:$L$6,6,0)/12),0))</f>
        <v/>
      </c>
      <c r="K561" s="29" t="str">
        <f ca="1">IF(C561&lt;&gt;"",IF(I561&lt;&gt;"",IF(ISERROR(VLOOKUP(I561,$C$3:$L$6,10,0)),"",VLOOKUP(I561,$C$3:$L$6,10,0)+J561+IF(OR(VLOOKUP(I561,$C$3:$L$6,5,0)=Variables!$B$5,B561&gt;VLOOKUP(I561,$C$3:$L$6,8,0)),IF(VLOOKUP(I561,$C$3:$L$6,5,0)=Variables!$B$5,((YEAR(B561)-YEAR($B$12))*12+MONTH(B561)-MONTH($B$12)),((YEAR(B561)-YEAR(VLOOKUP(I561,$C$3:$L$6,8,0)))*12+MONTH(B561)-MONTH(VLOOKUP(I561,$C$3:$L$6,8,0))))*VLOOKUP(I561,$C$3:$L$6,7,0),0)),""),"")</f>
        <v/>
      </c>
      <c r="L561" s="29" t="str">
        <f t="shared" ca="1" si="54"/>
        <v/>
      </c>
      <c r="M561" s="10"/>
      <c r="N561" s="10"/>
    </row>
    <row r="562" spans="1:14" x14ac:dyDescent="0.25">
      <c r="A562" s="10"/>
      <c r="B562" s="14" t="str">
        <f t="shared" ca="1" si="55"/>
        <v/>
      </c>
      <c r="C562" s="14" t="str">
        <f ca="1">IF(I561&lt;&gt;Variables!$B$1,IF(H561&lt;&gt;0,C561,I561),"")</f>
        <v/>
      </c>
      <c r="D562" s="29" t="str">
        <f t="shared" ca="1" si="52"/>
        <v/>
      </c>
      <c r="E562" s="29" t="str">
        <f t="shared" ca="1" si="53"/>
        <v/>
      </c>
      <c r="F562" s="29" t="str">
        <f ca="1">IF(C562&lt;&gt;"",IF(OR(VLOOKUP(C562,$C$3:$L$6,5,0)=Variables!$B$5,B562&gt;VLOOKUP(C562,$C$3:$L$6,8,0)),-D562*VLOOKUP(C562,$C$3:$L$6,6,0)/12,0),"")</f>
        <v/>
      </c>
      <c r="G562" s="29" t="str">
        <f ca="1">IF(I562&lt;&gt;Variables!$B$1,IF(C562&lt;&gt;"",$I$9-E562-F562,""),-D562)</f>
        <v/>
      </c>
      <c r="H562" s="29" t="str">
        <f t="shared" ca="1" si="56"/>
        <v/>
      </c>
      <c r="I562" s="31" t="str">
        <f ca="1">IF(C562&lt;&gt;"",IF(D562+$I$9-E562-F562&gt;=0,IF(ISERROR(INDEX($C$3:$C$6,MATCH(C562,$C$3:$C$6,0)+1,0)),Variables!$B$1,INDEX($C$3:$C$6,MATCH(C562,$C$3:$C$6,0)+1,0)),""),"")</f>
        <v/>
      </c>
      <c r="J562" s="29" t="str">
        <f ca="1">IF(ISERROR(VLOOKUP(I562,$C$3:$L$6,5,0)),"",IF(OR(VLOOKUP(I562,$C$3:$L$6,5,0)=Variables!$B$5,B562&gt;VLOOKUP(I562,$C$3:$L$6,8,0)),IF(VLOOKUP(I562,$C$3:$L$6,5,0)=Variables!$B$5,((YEAR(B562)-YEAR($B$12))*12+MONTH(B562)-MONTH($B$12)),((YEAR(B562)-YEAR(VLOOKUP(I562,$C$3:$L$6,8,0)))*12+MONTH(B562)-MONTH(VLOOKUP(I562,$C$3:$L$6,8,0))))*(VLOOKUP(I562,$C$3:$L$6,10,0)*VLOOKUP(I562,$C$3:$L$6,6,0)/12),0))</f>
        <v/>
      </c>
      <c r="K562" s="29" t="str">
        <f ca="1">IF(C562&lt;&gt;"",IF(I562&lt;&gt;"",IF(ISERROR(VLOOKUP(I562,$C$3:$L$6,10,0)),"",VLOOKUP(I562,$C$3:$L$6,10,0)+J562+IF(OR(VLOOKUP(I562,$C$3:$L$6,5,0)=Variables!$B$5,B562&gt;VLOOKUP(I562,$C$3:$L$6,8,0)),IF(VLOOKUP(I562,$C$3:$L$6,5,0)=Variables!$B$5,((YEAR(B562)-YEAR($B$12))*12+MONTH(B562)-MONTH($B$12)),((YEAR(B562)-YEAR(VLOOKUP(I562,$C$3:$L$6,8,0)))*12+MONTH(B562)-MONTH(VLOOKUP(I562,$C$3:$L$6,8,0))))*VLOOKUP(I562,$C$3:$L$6,7,0),0)),""),"")</f>
        <v/>
      </c>
      <c r="L562" s="29" t="str">
        <f t="shared" ca="1" si="54"/>
        <v/>
      </c>
      <c r="M562" s="10"/>
      <c r="N562" s="10"/>
    </row>
    <row r="563" spans="1:14" x14ac:dyDescent="0.25">
      <c r="A563" s="10"/>
      <c r="B563" s="14" t="str">
        <f t="shared" ca="1" si="55"/>
        <v/>
      </c>
      <c r="C563" s="14" t="str">
        <f ca="1">IF(I562&lt;&gt;Variables!$B$1,IF(H562&lt;&gt;0,C562,I562),"")</f>
        <v/>
      </c>
      <c r="D563" s="29" t="str">
        <f t="shared" ca="1" si="52"/>
        <v/>
      </c>
      <c r="E563" s="29" t="str">
        <f t="shared" ca="1" si="53"/>
        <v/>
      </c>
      <c r="F563" s="29" t="str">
        <f ca="1">IF(C563&lt;&gt;"",IF(OR(VLOOKUP(C563,$C$3:$L$6,5,0)=Variables!$B$5,B563&gt;VLOOKUP(C563,$C$3:$L$6,8,0)),-D563*VLOOKUP(C563,$C$3:$L$6,6,0)/12,0),"")</f>
        <v/>
      </c>
      <c r="G563" s="29" t="str">
        <f ca="1">IF(I563&lt;&gt;Variables!$B$1,IF(C563&lt;&gt;"",$I$9-E563-F563,""),-D563)</f>
        <v/>
      </c>
      <c r="H563" s="29" t="str">
        <f t="shared" ca="1" si="56"/>
        <v/>
      </c>
      <c r="I563" s="31" t="str">
        <f ca="1">IF(C563&lt;&gt;"",IF(D563+$I$9-E563-F563&gt;=0,IF(ISERROR(INDEX($C$3:$C$6,MATCH(C563,$C$3:$C$6,0)+1,0)),Variables!$B$1,INDEX($C$3:$C$6,MATCH(C563,$C$3:$C$6,0)+1,0)),""),"")</f>
        <v/>
      </c>
      <c r="J563" s="29" t="str">
        <f ca="1">IF(ISERROR(VLOOKUP(I563,$C$3:$L$6,5,0)),"",IF(OR(VLOOKUP(I563,$C$3:$L$6,5,0)=Variables!$B$5,B563&gt;VLOOKUP(I563,$C$3:$L$6,8,0)),IF(VLOOKUP(I563,$C$3:$L$6,5,0)=Variables!$B$5,((YEAR(B563)-YEAR($B$12))*12+MONTH(B563)-MONTH($B$12)),((YEAR(B563)-YEAR(VLOOKUP(I563,$C$3:$L$6,8,0)))*12+MONTH(B563)-MONTH(VLOOKUP(I563,$C$3:$L$6,8,0))))*(VLOOKUP(I563,$C$3:$L$6,10,0)*VLOOKUP(I563,$C$3:$L$6,6,0)/12),0))</f>
        <v/>
      </c>
      <c r="K563" s="29" t="str">
        <f ca="1">IF(C563&lt;&gt;"",IF(I563&lt;&gt;"",IF(ISERROR(VLOOKUP(I563,$C$3:$L$6,10,0)),"",VLOOKUP(I563,$C$3:$L$6,10,0)+J563+IF(OR(VLOOKUP(I563,$C$3:$L$6,5,0)=Variables!$B$5,B563&gt;VLOOKUP(I563,$C$3:$L$6,8,0)),IF(VLOOKUP(I563,$C$3:$L$6,5,0)=Variables!$B$5,((YEAR(B563)-YEAR($B$12))*12+MONTH(B563)-MONTH($B$12)),((YEAR(B563)-YEAR(VLOOKUP(I563,$C$3:$L$6,8,0)))*12+MONTH(B563)-MONTH(VLOOKUP(I563,$C$3:$L$6,8,0))))*VLOOKUP(I563,$C$3:$L$6,7,0),0)),""),"")</f>
        <v/>
      </c>
      <c r="L563" s="29" t="str">
        <f t="shared" ca="1" si="54"/>
        <v/>
      </c>
      <c r="M563" s="10"/>
      <c r="N563" s="10"/>
    </row>
    <row r="564" spans="1:14" x14ac:dyDescent="0.25">
      <c r="A564" s="10"/>
      <c r="B564" s="14" t="str">
        <f t="shared" ca="1" si="55"/>
        <v/>
      </c>
      <c r="C564" s="14" t="str">
        <f ca="1">IF(I563&lt;&gt;Variables!$B$1,IF(H563&lt;&gt;0,C563,I563),"")</f>
        <v/>
      </c>
      <c r="D564" s="29" t="str">
        <f t="shared" ca="1" si="52"/>
        <v/>
      </c>
      <c r="E564" s="29" t="str">
        <f t="shared" ca="1" si="53"/>
        <v/>
      </c>
      <c r="F564" s="29" t="str">
        <f ca="1">IF(C564&lt;&gt;"",IF(OR(VLOOKUP(C564,$C$3:$L$6,5,0)=Variables!$B$5,B564&gt;VLOOKUP(C564,$C$3:$L$6,8,0)),-D564*VLOOKUP(C564,$C$3:$L$6,6,0)/12,0),"")</f>
        <v/>
      </c>
      <c r="G564" s="29" t="str">
        <f ca="1">IF(I564&lt;&gt;Variables!$B$1,IF(C564&lt;&gt;"",$I$9-E564-F564,""),-D564)</f>
        <v/>
      </c>
      <c r="H564" s="29" t="str">
        <f t="shared" ca="1" si="56"/>
        <v/>
      </c>
      <c r="I564" s="31" t="str">
        <f ca="1">IF(C564&lt;&gt;"",IF(D564+$I$9-E564-F564&gt;=0,IF(ISERROR(INDEX($C$3:$C$6,MATCH(C564,$C$3:$C$6,0)+1,0)),Variables!$B$1,INDEX($C$3:$C$6,MATCH(C564,$C$3:$C$6,0)+1,0)),""),"")</f>
        <v/>
      </c>
      <c r="J564" s="29" t="str">
        <f ca="1">IF(ISERROR(VLOOKUP(I564,$C$3:$L$6,5,0)),"",IF(OR(VLOOKUP(I564,$C$3:$L$6,5,0)=Variables!$B$5,B564&gt;VLOOKUP(I564,$C$3:$L$6,8,0)),IF(VLOOKUP(I564,$C$3:$L$6,5,0)=Variables!$B$5,((YEAR(B564)-YEAR($B$12))*12+MONTH(B564)-MONTH($B$12)),((YEAR(B564)-YEAR(VLOOKUP(I564,$C$3:$L$6,8,0)))*12+MONTH(B564)-MONTH(VLOOKUP(I564,$C$3:$L$6,8,0))))*(VLOOKUP(I564,$C$3:$L$6,10,0)*VLOOKUP(I564,$C$3:$L$6,6,0)/12),0))</f>
        <v/>
      </c>
      <c r="K564" s="29" t="str">
        <f ca="1">IF(C564&lt;&gt;"",IF(I564&lt;&gt;"",IF(ISERROR(VLOOKUP(I564,$C$3:$L$6,10,0)),"",VLOOKUP(I564,$C$3:$L$6,10,0)+J564+IF(OR(VLOOKUP(I564,$C$3:$L$6,5,0)=Variables!$B$5,B564&gt;VLOOKUP(I564,$C$3:$L$6,8,0)),IF(VLOOKUP(I564,$C$3:$L$6,5,0)=Variables!$B$5,((YEAR(B564)-YEAR($B$12))*12+MONTH(B564)-MONTH($B$12)),((YEAR(B564)-YEAR(VLOOKUP(I564,$C$3:$L$6,8,0)))*12+MONTH(B564)-MONTH(VLOOKUP(I564,$C$3:$L$6,8,0))))*VLOOKUP(I564,$C$3:$L$6,7,0),0)),""),"")</f>
        <v/>
      </c>
      <c r="L564" s="29" t="str">
        <f t="shared" ca="1" si="54"/>
        <v/>
      </c>
      <c r="M564" s="10"/>
      <c r="N564" s="10"/>
    </row>
    <row r="565" spans="1:14" x14ac:dyDescent="0.25">
      <c r="A565" s="10"/>
      <c r="B565" s="14" t="str">
        <f t="shared" ca="1" si="55"/>
        <v/>
      </c>
      <c r="C565" s="14" t="str">
        <f ca="1">IF(I564&lt;&gt;Variables!$B$1,IF(H564&lt;&gt;0,C564,I564),"")</f>
        <v/>
      </c>
      <c r="D565" s="29" t="str">
        <f t="shared" ca="1" si="52"/>
        <v/>
      </c>
      <c r="E565" s="29" t="str">
        <f t="shared" ca="1" si="53"/>
        <v/>
      </c>
      <c r="F565" s="29" t="str">
        <f ca="1">IF(C565&lt;&gt;"",IF(OR(VLOOKUP(C565,$C$3:$L$6,5,0)=Variables!$B$5,B565&gt;VLOOKUP(C565,$C$3:$L$6,8,0)),-D565*VLOOKUP(C565,$C$3:$L$6,6,0)/12,0),"")</f>
        <v/>
      </c>
      <c r="G565" s="29" t="str">
        <f ca="1">IF(I565&lt;&gt;Variables!$B$1,IF(C565&lt;&gt;"",$I$9-E565-F565,""),-D565)</f>
        <v/>
      </c>
      <c r="H565" s="29" t="str">
        <f t="shared" ca="1" si="56"/>
        <v/>
      </c>
      <c r="I565" s="31" t="str">
        <f ca="1">IF(C565&lt;&gt;"",IF(D565+$I$9-E565-F565&gt;=0,IF(ISERROR(INDEX($C$3:$C$6,MATCH(C565,$C$3:$C$6,0)+1,0)),Variables!$B$1,INDEX($C$3:$C$6,MATCH(C565,$C$3:$C$6,0)+1,0)),""),"")</f>
        <v/>
      </c>
      <c r="J565" s="29" t="str">
        <f ca="1">IF(ISERROR(VLOOKUP(I565,$C$3:$L$6,5,0)),"",IF(OR(VLOOKUP(I565,$C$3:$L$6,5,0)=Variables!$B$5,B565&gt;VLOOKUP(I565,$C$3:$L$6,8,0)),IF(VLOOKUP(I565,$C$3:$L$6,5,0)=Variables!$B$5,((YEAR(B565)-YEAR($B$12))*12+MONTH(B565)-MONTH($B$12)),((YEAR(B565)-YEAR(VLOOKUP(I565,$C$3:$L$6,8,0)))*12+MONTH(B565)-MONTH(VLOOKUP(I565,$C$3:$L$6,8,0))))*(VLOOKUP(I565,$C$3:$L$6,10,0)*VLOOKUP(I565,$C$3:$L$6,6,0)/12),0))</f>
        <v/>
      </c>
      <c r="K565" s="29" t="str">
        <f ca="1">IF(C565&lt;&gt;"",IF(I565&lt;&gt;"",IF(ISERROR(VLOOKUP(I565,$C$3:$L$6,10,0)),"",VLOOKUP(I565,$C$3:$L$6,10,0)+J565+IF(OR(VLOOKUP(I565,$C$3:$L$6,5,0)=Variables!$B$5,B565&gt;VLOOKUP(I565,$C$3:$L$6,8,0)),IF(VLOOKUP(I565,$C$3:$L$6,5,0)=Variables!$B$5,((YEAR(B565)-YEAR($B$12))*12+MONTH(B565)-MONTH($B$12)),((YEAR(B565)-YEAR(VLOOKUP(I565,$C$3:$L$6,8,0)))*12+MONTH(B565)-MONTH(VLOOKUP(I565,$C$3:$L$6,8,0))))*VLOOKUP(I565,$C$3:$L$6,7,0),0)),""),"")</f>
        <v/>
      </c>
      <c r="L565" s="29" t="str">
        <f t="shared" ca="1" si="54"/>
        <v/>
      </c>
      <c r="M565" s="10"/>
      <c r="N565" s="10"/>
    </row>
    <row r="566" spans="1:14" x14ac:dyDescent="0.25">
      <c r="A566" s="10"/>
      <c r="B566" s="14" t="str">
        <f t="shared" ca="1" si="55"/>
        <v/>
      </c>
      <c r="C566" s="14" t="str">
        <f ca="1">IF(I565&lt;&gt;Variables!$B$1,IF(H565&lt;&gt;0,C565,I565),"")</f>
        <v/>
      </c>
      <c r="D566" s="29" t="str">
        <f t="shared" ca="1" si="52"/>
        <v/>
      </c>
      <c r="E566" s="29" t="str">
        <f t="shared" ca="1" si="53"/>
        <v/>
      </c>
      <c r="F566" s="29" t="str">
        <f ca="1">IF(C566&lt;&gt;"",IF(OR(VLOOKUP(C566,$C$3:$L$6,5,0)=Variables!$B$5,B566&gt;VLOOKUP(C566,$C$3:$L$6,8,0)),-D566*VLOOKUP(C566,$C$3:$L$6,6,0)/12,0),"")</f>
        <v/>
      </c>
      <c r="G566" s="29" t="str">
        <f ca="1">IF(I566&lt;&gt;Variables!$B$1,IF(C566&lt;&gt;"",$I$9-E566-F566,""),-D566)</f>
        <v/>
      </c>
      <c r="H566" s="29" t="str">
        <f t="shared" ca="1" si="56"/>
        <v/>
      </c>
      <c r="I566" s="31" t="str">
        <f ca="1">IF(C566&lt;&gt;"",IF(D566+$I$9-E566-F566&gt;=0,IF(ISERROR(INDEX($C$3:$C$6,MATCH(C566,$C$3:$C$6,0)+1,0)),Variables!$B$1,INDEX($C$3:$C$6,MATCH(C566,$C$3:$C$6,0)+1,0)),""),"")</f>
        <v/>
      </c>
      <c r="J566" s="29" t="str">
        <f ca="1">IF(ISERROR(VLOOKUP(I566,$C$3:$L$6,5,0)),"",IF(OR(VLOOKUP(I566,$C$3:$L$6,5,0)=Variables!$B$5,B566&gt;VLOOKUP(I566,$C$3:$L$6,8,0)),IF(VLOOKUP(I566,$C$3:$L$6,5,0)=Variables!$B$5,((YEAR(B566)-YEAR($B$12))*12+MONTH(B566)-MONTH($B$12)),((YEAR(B566)-YEAR(VLOOKUP(I566,$C$3:$L$6,8,0)))*12+MONTH(B566)-MONTH(VLOOKUP(I566,$C$3:$L$6,8,0))))*(VLOOKUP(I566,$C$3:$L$6,10,0)*VLOOKUP(I566,$C$3:$L$6,6,0)/12),0))</f>
        <v/>
      </c>
      <c r="K566" s="29" t="str">
        <f ca="1">IF(C566&lt;&gt;"",IF(I566&lt;&gt;"",IF(ISERROR(VLOOKUP(I566,$C$3:$L$6,10,0)),"",VLOOKUP(I566,$C$3:$L$6,10,0)+J566+IF(OR(VLOOKUP(I566,$C$3:$L$6,5,0)=Variables!$B$5,B566&gt;VLOOKUP(I566,$C$3:$L$6,8,0)),IF(VLOOKUP(I566,$C$3:$L$6,5,0)=Variables!$B$5,((YEAR(B566)-YEAR($B$12))*12+MONTH(B566)-MONTH($B$12)),((YEAR(B566)-YEAR(VLOOKUP(I566,$C$3:$L$6,8,0)))*12+MONTH(B566)-MONTH(VLOOKUP(I566,$C$3:$L$6,8,0))))*VLOOKUP(I566,$C$3:$L$6,7,0),0)),""),"")</f>
        <v/>
      </c>
      <c r="L566" s="29" t="str">
        <f t="shared" ca="1" si="54"/>
        <v/>
      </c>
      <c r="M566" s="10"/>
      <c r="N566" s="10"/>
    </row>
    <row r="567" spans="1:14" x14ac:dyDescent="0.25">
      <c r="A567" s="10"/>
      <c r="B567" s="14" t="str">
        <f t="shared" ca="1" si="55"/>
        <v/>
      </c>
      <c r="C567" s="14" t="str">
        <f ca="1">IF(I566&lt;&gt;Variables!$B$1,IF(H566&lt;&gt;0,C566,I566),"")</f>
        <v/>
      </c>
      <c r="D567" s="29" t="str">
        <f t="shared" ca="1" si="52"/>
        <v/>
      </c>
      <c r="E567" s="29" t="str">
        <f t="shared" ca="1" si="53"/>
        <v/>
      </c>
      <c r="F567" s="29" t="str">
        <f ca="1">IF(C567&lt;&gt;"",IF(OR(VLOOKUP(C567,$C$3:$L$6,5,0)=Variables!$B$5,B567&gt;VLOOKUP(C567,$C$3:$L$6,8,0)),-D567*VLOOKUP(C567,$C$3:$L$6,6,0)/12,0),"")</f>
        <v/>
      </c>
      <c r="G567" s="29" t="str">
        <f ca="1">IF(I567&lt;&gt;Variables!$B$1,IF(C567&lt;&gt;"",$I$9-E567-F567,""),-D567)</f>
        <v/>
      </c>
      <c r="H567" s="29" t="str">
        <f t="shared" ca="1" si="56"/>
        <v/>
      </c>
      <c r="I567" s="31" t="str">
        <f ca="1">IF(C567&lt;&gt;"",IF(D567+$I$9-E567-F567&gt;=0,IF(ISERROR(INDEX($C$3:$C$6,MATCH(C567,$C$3:$C$6,0)+1,0)),Variables!$B$1,INDEX($C$3:$C$6,MATCH(C567,$C$3:$C$6,0)+1,0)),""),"")</f>
        <v/>
      </c>
      <c r="J567" s="29" t="str">
        <f ca="1">IF(ISERROR(VLOOKUP(I567,$C$3:$L$6,5,0)),"",IF(OR(VLOOKUP(I567,$C$3:$L$6,5,0)=Variables!$B$5,B567&gt;VLOOKUP(I567,$C$3:$L$6,8,0)),IF(VLOOKUP(I567,$C$3:$L$6,5,0)=Variables!$B$5,((YEAR(B567)-YEAR($B$12))*12+MONTH(B567)-MONTH($B$12)),((YEAR(B567)-YEAR(VLOOKUP(I567,$C$3:$L$6,8,0)))*12+MONTH(B567)-MONTH(VLOOKUP(I567,$C$3:$L$6,8,0))))*(VLOOKUP(I567,$C$3:$L$6,10,0)*VLOOKUP(I567,$C$3:$L$6,6,0)/12),0))</f>
        <v/>
      </c>
      <c r="K567" s="29" t="str">
        <f ca="1">IF(C567&lt;&gt;"",IF(I567&lt;&gt;"",IF(ISERROR(VLOOKUP(I567,$C$3:$L$6,10,0)),"",VLOOKUP(I567,$C$3:$L$6,10,0)+J567+IF(OR(VLOOKUP(I567,$C$3:$L$6,5,0)=Variables!$B$5,B567&gt;VLOOKUP(I567,$C$3:$L$6,8,0)),IF(VLOOKUP(I567,$C$3:$L$6,5,0)=Variables!$B$5,((YEAR(B567)-YEAR($B$12))*12+MONTH(B567)-MONTH($B$12)),((YEAR(B567)-YEAR(VLOOKUP(I567,$C$3:$L$6,8,0)))*12+MONTH(B567)-MONTH(VLOOKUP(I567,$C$3:$L$6,8,0))))*VLOOKUP(I567,$C$3:$L$6,7,0),0)),""),"")</f>
        <v/>
      </c>
      <c r="L567" s="29" t="str">
        <f t="shared" ca="1" si="54"/>
        <v/>
      </c>
      <c r="M567" s="10"/>
      <c r="N567" s="10"/>
    </row>
    <row r="568" spans="1:14" x14ac:dyDescent="0.25">
      <c r="A568" s="10"/>
      <c r="B568" s="14" t="str">
        <f t="shared" ca="1" si="55"/>
        <v/>
      </c>
      <c r="C568" s="14" t="str">
        <f ca="1">IF(I567&lt;&gt;Variables!$B$1,IF(H567&lt;&gt;0,C567,I567),"")</f>
        <v/>
      </c>
      <c r="D568" s="29" t="str">
        <f t="shared" ca="1" si="52"/>
        <v/>
      </c>
      <c r="E568" s="29" t="str">
        <f t="shared" ca="1" si="53"/>
        <v/>
      </c>
      <c r="F568" s="29" t="str">
        <f ca="1">IF(C568&lt;&gt;"",IF(OR(VLOOKUP(C568,$C$3:$L$6,5,0)=Variables!$B$5,B568&gt;VLOOKUP(C568,$C$3:$L$6,8,0)),-D568*VLOOKUP(C568,$C$3:$L$6,6,0)/12,0),"")</f>
        <v/>
      </c>
      <c r="G568" s="29" t="str">
        <f ca="1">IF(I568&lt;&gt;Variables!$B$1,IF(C568&lt;&gt;"",$I$9-E568-F568,""),-D568)</f>
        <v/>
      </c>
      <c r="H568" s="29" t="str">
        <f t="shared" ca="1" si="56"/>
        <v/>
      </c>
      <c r="I568" s="31" t="str">
        <f ca="1">IF(C568&lt;&gt;"",IF(D568+$I$9-E568-F568&gt;=0,IF(ISERROR(INDEX($C$3:$C$6,MATCH(C568,$C$3:$C$6,0)+1,0)),Variables!$B$1,INDEX($C$3:$C$6,MATCH(C568,$C$3:$C$6,0)+1,0)),""),"")</f>
        <v/>
      </c>
      <c r="J568" s="29" t="str">
        <f ca="1">IF(ISERROR(VLOOKUP(I568,$C$3:$L$6,5,0)),"",IF(OR(VLOOKUP(I568,$C$3:$L$6,5,0)=Variables!$B$5,B568&gt;VLOOKUP(I568,$C$3:$L$6,8,0)),IF(VLOOKUP(I568,$C$3:$L$6,5,0)=Variables!$B$5,((YEAR(B568)-YEAR($B$12))*12+MONTH(B568)-MONTH($B$12)),((YEAR(B568)-YEAR(VLOOKUP(I568,$C$3:$L$6,8,0)))*12+MONTH(B568)-MONTH(VLOOKUP(I568,$C$3:$L$6,8,0))))*(VLOOKUP(I568,$C$3:$L$6,10,0)*VLOOKUP(I568,$C$3:$L$6,6,0)/12),0))</f>
        <v/>
      </c>
      <c r="K568" s="29" t="str">
        <f ca="1">IF(C568&lt;&gt;"",IF(I568&lt;&gt;"",IF(ISERROR(VLOOKUP(I568,$C$3:$L$6,10,0)),"",VLOOKUP(I568,$C$3:$L$6,10,0)+J568+IF(OR(VLOOKUP(I568,$C$3:$L$6,5,0)=Variables!$B$5,B568&gt;VLOOKUP(I568,$C$3:$L$6,8,0)),IF(VLOOKUP(I568,$C$3:$L$6,5,0)=Variables!$B$5,((YEAR(B568)-YEAR($B$12))*12+MONTH(B568)-MONTH($B$12)),((YEAR(B568)-YEAR(VLOOKUP(I568,$C$3:$L$6,8,0)))*12+MONTH(B568)-MONTH(VLOOKUP(I568,$C$3:$L$6,8,0))))*VLOOKUP(I568,$C$3:$L$6,7,0),0)),""),"")</f>
        <v/>
      </c>
      <c r="L568" s="29" t="str">
        <f t="shared" ca="1" si="54"/>
        <v/>
      </c>
      <c r="M568" s="10"/>
      <c r="N568" s="10"/>
    </row>
    <row r="569" spans="1:14" x14ac:dyDescent="0.25">
      <c r="A569" s="10"/>
      <c r="B569" s="14" t="str">
        <f t="shared" ca="1" si="55"/>
        <v/>
      </c>
      <c r="C569" s="14" t="str">
        <f ca="1">IF(I568&lt;&gt;Variables!$B$1,IF(H568&lt;&gt;0,C568,I568),"")</f>
        <v/>
      </c>
      <c r="D569" s="29" t="str">
        <f t="shared" ca="1" si="52"/>
        <v/>
      </c>
      <c r="E569" s="29" t="str">
        <f t="shared" ca="1" si="53"/>
        <v/>
      </c>
      <c r="F569" s="29" t="str">
        <f ca="1">IF(C569&lt;&gt;"",IF(OR(VLOOKUP(C569,$C$3:$L$6,5,0)=Variables!$B$5,B569&gt;VLOOKUP(C569,$C$3:$L$6,8,0)),-D569*VLOOKUP(C569,$C$3:$L$6,6,0)/12,0),"")</f>
        <v/>
      </c>
      <c r="G569" s="29" t="str">
        <f ca="1">IF(I569&lt;&gt;Variables!$B$1,IF(C569&lt;&gt;"",$I$9-E569-F569,""),-D569)</f>
        <v/>
      </c>
      <c r="H569" s="29" t="str">
        <f t="shared" ca="1" si="56"/>
        <v/>
      </c>
      <c r="I569" s="31" t="str">
        <f ca="1">IF(C569&lt;&gt;"",IF(D569+$I$9-E569-F569&gt;=0,IF(ISERROR(INDEX($C$3:$C$6,MATCH(C569,$C$3:$C$6,0)+1,0)),Variables!$B$1,INDEX($C$3:$C$6,MATCH(C569,$C$3:$C$6,0)+1,0)),""),"")</f>
        <v/>
      </c>
      <c r="J569" s="29" t="str">
        <f ca="1">IF(ISERROR(VLOOKUP(I569,$C$3:$L$6,5,0)),"",IF(OR(VLOOKUP(I569,$C$3:$L$6,5,0)=Variables!$B$5,B569&gt;VLOOKUP(I569,$C$3:$L$6,8,0)),IF(VLOOKUP(I569,$C$3:$L$6,5,0)=Variables!$B$5,((YEAR(B569)-YEAR($B$12))*12+MONTH(B569)-MONTH($B$12)),((YEAR(B569)-YEAR(VLOOKUP(I569,$C$3:$L$6,8,0)))*12+MONTH(B569)-MONTH(VLOOKUP(I569,$C$3:$L$6,8,0))))*(VLOOKUP(I569,$C$3:$L$6,10,0)*VLOOKUP(I569,$C$3:$L$6,6,0)/12),0))</f>
        <v/>
      </c>
      <c r="K569" s="29" t="str">
        <f ca="1">IF(C569&lt;&gt;"",IF(I569&lt;&gt;"",IF(ISERROR(VLOOKUP(I569,$C$3:$L$6,10,0)),"",VLOOKUP(I569,$C$3:$L$6,10,0)+J569+IF(OR(VLOOKUP(I569,$C$3:$L$6,5,0)=Variables!$B$5,B569&gt;VLOOKUP(I569,$C$3:$L$6,8,0)),IF(VLOOKUP(I569,$C$3:$L$6,5,0)=Variables!$B$5,((YEAR(B569)-YEAR($B$12))*12+MONTH(B569)-MONTH($B$12)),((YEAR(B569)-YEAR(VLOOKUP(I569,$C$3:$L$6,8,0)))*12+MONTH(B569)-MONTH(VLOOKUP(I569,$C$3:$L$6,8,0))))*VLOOKUP(I569,$C$3:$L$6,7,0),0)),""),"")</f>
        <v/>
      </c>
      <c r="L569" s="29" t="str">
        <f t="shared" ca="1" si="54"/>
        <v/>
      </c>
      <c r="M569" s="10"/>
      <c r="N569" s="10"/>
    </row>
    <row r="570" spans="1:14" x14ac:dyDescent="0.25">
      <c r="A570" s="10"/>
      <c r="B570" s="14" t="str">
        <f t="shared" ca="1" si="55"/>
        <v/>
      </c>
      <c r="C570" s="14" t="str">
        <f ca="1">IF(I569&lt;&gt;Variables!$B$1,IF(H569&lt;&gt;0,C569,I569),"")</f>
        <v/>
      </c>
      <c r="D570" s="29" t="str">
        <f t="shared" ca="1" si="52"/>
        <v/>
      </c>
      <c r="E570" s="29" t="str">
        <f t="shared" ca="1" si="53"/>
        <v/>
      </c>
      <c r="F570" s="29" t="str">
        <f ca="1">IF(C570&lt;&gt;"",IF(OR(VLOOKUP(C570,$C$3:$L$6,5,0)=Variables!$B$5,B570&gt;VLOOKUP(C570,$C$3:$L$6,8,0)),-D570*VLOOKUP(C570,$C$3:$L$6,6,0)/12,0),"")</f>
        <v/>
      </c>
      <c r="G570" s="29" t="str">
        <f ca="1">IF(I570&lt;&gt;Variables!$B$1,IF(C570&lt;&gt;"",$I$9-E570-F570,""),-D570)</f>
        <v/>
      </c>
      <c r="H570" s="29" t="str">
        <f t="shared" ca="1" si="56"/>
        <v/>
      </c>
      <c r="I570" s="31" t="str">
        <f ca="1">IF(C570&lt;&gt;"",IF(D570+$I$9-E570-F570&gt;=0,IF(ISERROR(INDEX($C$3:$C$6,MATCH(C570,$C$3:$C$6,0)+1,0)),Variables!$B$1,INDEX($C$3:$C$6,MATCH(C570,$C$3:$C$6,0)+1,0)),""),"")</f>
        <v/>
      </c>
      <c r="J570" s="29" t="str">
        <f ca="1">IF(ISERROR(VLOOKUP(I570,$C$3:$L$6,5,0)),"",IF(OR(VLOOKUP(I570,$C$3:$L$6,5,0)=Variables!$B$5,B570&gt;VLOOKUP(I570,$C$3:$L$6,8,0)),IF(VLOOKUP(I570,$C$3:$L$6,5,0)=Variables!$B$5,((YEAR(B570)-YEAR($B$12))*12+MONTH(B570)-MONTH($B$12)),((YEAR(B570)-YEAR(VLOOKUP(I570,$C$3:$L$6,8,0)))*12+MONTH(B570)-MONTH(VLOOKUP(I570,$C$3:$L$6,8,0))))*(VLOOKUP(I570,$C$3:$L$6,10,0)*VLOOKUP(I570,$C$3:$L$6,6,0)/12),0))</f>
        <v/>
      </c>
      <c r="K570" s="29" t="str">
        <f ca="1">IF(C570&lt;&gt;"",IF(I570&lt;&gt;"",IF(ISERROR(VLOOKUP(I570,$C$3:$L$6,10,0)),"",VLOOKUP(I570,$C$3:$L$6,10,0)+J570+IF(OR(VLOOKUP(I570,$C$3:$L$6,5,0)=Variables!$B$5,B570&gt;VLOOKUP(I570,$C$3:$L$6,8,0)),IF(VLOOKUP(I570,$C$3:$L$6,5,0)=Variables!$B$5,((YEAR(B570)-YEAR($B$12))*12+MONTH(B570)-MONTH($B$12)),((YEAR(B570)-YEAR(VLOOKUP(I570,$C$3:$L$6,8,0)))*12+MONTH(B570)-MONTH(VLOOKUP(I570,$C$3:$L$6,8,0))))*VLOOKUP(I570,$C$3:$L$6,7,0),0)),""),"")</f>
        <v/>
      </c>
      <c r="L570" s="29" t="str">
        <f t="shared" ca="1" si="54"/>
        <v/>
      </c>
      <c r="M570" s="10"/>
      <c r="N570" s="10"/>
    </row>
    <row r="571" spans="1:14" x14ac:dyDescent="0.25">
      <c r="A571" s="10"/>
      <c r="B571" s="14" t="str">
        <f t="shared" ca="1" si="55"/>
        <v/>
      </c>
      <c r="C571" s="14" t="str">
        <f ca="1">IF(I570&lt;&gt;Variables!$B$1,IF(H570&lt;&gt;0,C570,I570),"")</f>
        <v/>
      </c>
      <c r="D571" s="29" t="str">
        <f t="shared" ca="1" si="52"/>
        <v/>
      </c>
      <c r="E571" s="29" t="str">
        <f t="shared" ca="1" si="53"/>
        <v/>
      </c>
      <c r="F571" s="29" t="str">
        <f ca="1">IF(C571&lt;&gt;"",IF(OR(VLOOKUP(C571,$C$3:$L$6,5,0)=Variables!$B$5,B571&gt;VLOOKUP(C571,$C$3:$L$6,8,0)),-D571*VLOOKUP(C571,$C$3:$L$6,6,0)/12,0),"")</f>
        <v/>
      </c>
      <c r="G571" s="29" t="str">
        <f ca="1">IF(I571&lt;&gt;Variables!$B$1,IF(C571&lt;&gt;"",$I$9-E571-F571,""),-D571)</f>
        <v/>
      </c>
      <c r="H571" s="29" t="str">
        <f t="shared" ca="1" si="56"/>
        <v/>
      </c>
      <c r="I571" s="31" t="str">
        <f ca="1">IF(C571&lt;&gt;"",IF(D571+$I$9-E571-F571&gt;=0,IF(ISERROR(INDEX($C$3:$C$6,MATCH(C571,$C$3:$C$6,0)+1,0)),Variables!$B$1,INDEX($C$3:$C$6,MATCH(C571,$C$3:$C$6,0)+1,0)),""),"")</f>
        <v/>
      </c>
      <c r="J571" s="29" t="str">
        <f ca="1">IF(ISERROR(VLOOKUP(I571,$C$3:$L$6,5,0)),"",IF(OR(VLOOKUP(I571,$C$3:$L$6,5,0)=Variables!$B$5,B571&gt;VLOOKUP(I571,$C$3:$L$6,8,0)),IF(VLOOKUP(I571,$C$3:$L$6,5,0)=Variables!$B$5,((YEAR(B571)-YEAR($B$12))*12+MONTH(B571)-MONTH($B$12)),((YEAR(B571)-YEAR(VLOOKUP(I571,$C$3:$L$6,8,0)))*12+MONTH(B571)-MONTH(VLOOKUP(I571,$C$3:$L$6,8,0))))*(VLOOKUP(I571,$C$3:$L$6,10,0)*VLOOKUP(I571,$C$3:$L$6,6,0)/12),0))</f>
        <v/>
      </c>
      <c r="K571" s="29" t="str">
        <f ca="1">IF(C571&lt;&gt;"",IF(I571&lt;&gt;"",IF(ISERROR(VLOOKUP(I571,$C$3:$L$6,10,0)),"",VLOOKUP(I571,$C$3:$L$6,10,0)+J571+IF(OR(VLOOKUP(I571,$C$3:$L$6,5,0)=Variables!$B$5,B571&gt;VLOOKUP(I571,$C$3:$L$6,8,0)),IF(VLOOKUP(I571,$C$3:$L$6,5,0)=Variables!$B$5,((YEAR(B571)-YEAR($B$12))*12+MONTH(B571)-MONTH($B$12)),((YEAR(B571)-YEAR(VLOOKUP(I571,$C$3:$L$6,8,0)))*12+MONTH(B571)-MONTH(VLOOKUP(I571,$C$3:$L$6,8,0))))*VLOOKUP(I571,$C$3:$L$6,7,0),0)),""),"")</f>
        <v/>
      </c>
      <c r="L571" s="29" t="str">
        <f t="shared" ca="1" si="54"/>
        <v/>
      </c>
      <c r="M571" s="10"/>
      <c r="N571" s="10"/>
    </row>
    <row r="572" spans="1:14" x14ac:dyDescent="0.25">
      <c r="A572" s="10"/>
      <c r="B572" s="14" t="str">
        <f t="shared" ca="1" si="55"/>
        <v/>
      </c>
      <c r="C572" s="14" t="str">
        <f ca="1">IF(I571&lt;&gt;Variables!$B$1,IF(H571&lt;&gt;0,C571,I571),"")</f>
        <v/>
      </c>
      <c r="D572" s="29" t="str">
        <f t="shared" ca="1" si="52"/>
        <v/>
      </c>
      <c r="E572" s="29" t="str">
        <f t="shared" ca="1" si="53"/>
        <v/>
      </c>
      <c r="F572" s="29" t="str">
        <f ca="1">IF(C572&lt;&gt;"",IF(OR(VLOOKUP(C572,$C$3:$L$6,5,0)=Variables!$B$5,B572&gt;VLOOKUP(C572,$C$3:$L$6,8,0)),-D572*VLOOKUP(C572,$C$3:$L$6,6,0)/12,0),"")</f>
        <v/>
      </c>
      <c r="G572" s="29" t="str">
        <f ca="1">IF(I572&lt;&gt;Variables!$B$1,IF(C572&lt;&gt;"",$I$9-E572-F572,""),-D572)</f>
        <v/>
      </c>
      <c r="H572" s="29" t="str">
        <f t="shared" ca="1" si="56"/>
        <v/>
      </c>
      <c r="I572" s="31" t="str">
        <f ca="1">IF(C572&lt;&gt;"",IF(D572+$I$9-E572-F572&gt;=0,IF(ISERROR(INDEX($C$3:$C$6,MATCH(C572,$C$3:$C$6,0)+1,0)),Variables!$B$1,INDEX($C$3:$C$6,MATCH(C572,$C$3:$C$6,0)+1,0)),""),"")</f>
        <v/>
      </c>
      <c r="J572" s="29" t="str">
        <f ca="1">IF(ISERROR(VLOOKUP(I572,$C$3:$L$6,5,0)),"",IF(OR(VLOOKUP(I572,$C$3:$L$6,5,0)=Variables!$B$5,B572&gt;VLOOKUP(I572,$C$3:$L$6,8,0)),IF(VLOOKUP(I572,$C$3:$L$6,5,0)=Variables!$B$5,((YEAR(B572)-YEAR($B$12))*12+MONTH(B572)-MONTH($B$12)),((YEAR(B572)-YEAR(VLOOKUP(I572,$C$3:$L$6,8,0)))*12+MONTH(B572)-MONTH(VLOOKUP(I572,$C$3:$L$6,8,0))))*(VLOOKUP(I572,$C$3:$L$6,10,0)*VLOOKUP(I572,$C$3:$L$6,6,0)/12),0))</f>
        <v/>
      </c>
      <c r="K572" s="29" t="str">
        <f ca="1">IF(C572&lt;&gt;"",IF(I572&lt;&gt;"",IF(ISERROR(VLOOKUP(I572,$C$3:$L$6,10,0)),"",VLOOKUP(I572,$C$3:$L$6,10,0)+J572+IF(OR(VLOOKUP(I572,$C$3:$L$6,5,0)=Variables!$B$5,B572&gt;VLOOKUP(I572,$C$3:$L$6,8,0)),IF(VLOOKUP(I572,$C$3:$L$6,5,0)=Variables!$B$5,((YEAR(B572)-YEAR($B$12))*12+MONTH(B572)-MONTH($B$12)),((YEAR(B572)-YEAR(VLOOKUP(I572,$C$3:$L$6,8,0)))*12+MONTH(B572)-MONTH(VLOOKUP(I572,$C$3:$L$6,8,0))))*VLOOKUP(I572,$C$3:$L$6,7,0),0)),""),"")</f>
        <v/>
      </c>
      <c r="L572" s="29" t="str">
        <f t="shared" ca="1" si="54"/>
        <v/>
      </c>
      <c r="M572" s="10"/>
      <c r="N572" s="10"/>
    </row>
    <row r="573" spans="1:14" x14ac:dyDescent="0.25">
      <c r="A573" s="10"/>
      <c r="B573" s="14" t="str">
        <f t="shared" ca="1" si="55"/>
        <v/>
      </c>
      <c r="C573" s="14" t="str">
        <f ca="1">IF(I572&lt;&gt;Variables!$B$1,IF(H572&lt;&gt;0,C572,I572),"")</f>
        <v/>
      </c>
      <c r="D573" s="29" t="str">
        <f t="shared" ca="1" si="52"/>
        <v/>
      </c>
      <c r="E573" s="29" t="str">
        <f t="shared" ca="1" si="53"/>
        <v/>
      </c>
      <c r="F573" s="29" t="str">
        <f ca="1">IF(C573&lt;&gt;"",IF(OR(VLOOKUP(C573,$C$3:$L$6,5,0)=Variables!$B$5,B573&gt;VLOOKUP(C573,$C$3:$L$6,8,0)),-D573*VLOOKUP(C573,$C$3:$L$6,6,0)/12,0),"")</f>
        <v/>
      </c>
      <c r="G573" s="29" t="str">
        <f ca="1">IF(I573&lt;&gt;Variables!$B$1,IF(C573&lt;&gt;"",$I$9-E573-F573,""),-D573)</f>
        <v/>
      </c>
      <c r="H573" s="29" t="str">
        <f t="shared" ca="1" si="56"/>
        <v/>
      </c>
      <c r="I573" s="31" t="str">
        <f ca="1">IF(C573&lt;&gt;"",IF(D573+$I$9-E573-F573&gt;=0,IF(ISERROR(INDEX($C$3:$C$6,MATCH(C573,$C$3:$C$6,0)+1,0)),Variables!$B$1,INDEX($C$3:$C$6,MATCH(C573,$C$3:$C$6,0)+1,0)),""),"")</f>
        <v/>
      </c>
      <c r="J573" s="29" t="str">
        <f ca="1">IF(ISERROR(VLOOKUP(I573,$C$3:$L$6,5,0)),"",IF(OR(VLOOKUP(I573,$C$3:$L$6,5,0)=Variables!$B$5,B573&gt;VLOOKUP(I573,$C$3:$L$6,8,0)),IF(VLOOKUP(I573,$C$3:$L$6,5,0)=Variables!$B$5,((YEAR(B573)-YEAR($B$12))*12+MONTH(B573)-MONTH($B$12)),((YEAR(B573)-YEAR(VLOOKUP(I573,$C$3:$L$6,8,0)))*12+MONTH(B573)-MONTH(VLOOKUP(I573,$C$3:$L$6,8,0))))*(VLOOKUP(I573,$C$3:$L$6,10,0)*VLOOKUP(I573,$C$3:$L$6,6,0)/12),0))</f>
        <v/>
      </c>
      <c r="K573" s="29" t="str">
        <f ca="1">IF(C573&lt;&gt;"",IF(I573&lt;&gt;"",IF(ISERROR(VLOOKUP(I573,$C$3:$L$6,10,0)),"",VLOOKUP(I573,$C$3:$L$6,10,0)+J573+IF(OR(VLOOKUP(I573,$C$3:$L$6,5,0)=Variables!$B$5,B573&gt;VLOOKUP(I573,$C$3:$L$6,8,0)),IF(VLOOKUP(I573,$C$3:$L$6,5,0)=Variables!$B$5,((YEAR(B573)-YEAR($B$12))*12+MONTH(B573)-MONTH($B$12)),((YEAR(B573)-YEAR(VLOOKUP(I573,$C$3:$L$6,8,0)))*12+MONTH(B573)-MONTH(VLOOKUP(I573,$C$3:$L$6,8,0))))*VLOOKUP(I573,$C$3:$L$6,7,0),0)),""),"")</f>
        <v/>
      </c>
      <c r="L573" s="29" t="str">
        <f t="shared" ca="1" si="54"/>
        <v/>
      </c>
      <c r="M573" s="10"/>
      <c r="N573" s="10"/>
    </row>
    <row r="574" spans="1:14" x14ac:dyDescent="0.25">
      <c r="A574" s="10"/>
      <c r="B574" s="14" t="str">
        <f t="shared" ca="1" si="55"/>
        <v/>
      </c>
      <c r="C574" s="14" t="str">
        <f ca="1">IF(I573&lt;&gt;Variables!$B$1,IF(H573&lt;&gt;0,C573,I573),"")</f>
        <v/>
      </c>
      <c r="D574" s="29" t="str">
        <f t="shared" ca="1" si="52"/>
        <v/>
      </c>
      <c r="E574" s="29" t="str">
        <f t="shared" ca="1" si="53"/>
        <v/>
      </c>
      <c r="F574" s="29" t="str">
        <f ca="1">IF(C574&lt;&gt;"",IF(OR(VLOOKUP(C574,$C$3:$L$6,5,0)=Variables!$B$5,B574&gt;VLOOKUP(C574,$C$3:$L$6,8,0)),-D574*VLOOKUP(C574,$C$3:$L$6,6,0)/12,0),"")</f>
        <v/>
      </c>
      <c r="G574" s="29" t="str">
        <f ca="1">IF(I574&lt;&gt;Variables!$B$1,IF(C574&lt;&gt;"",$I$9-E574-F574,""),-D574)</f>
        <v/>
      </c>
      <c r="H574" s="29" t="str">
        <f t="shared" ca="1" si="56"/>
        <v/>
      </c>
      <c r="I574" s="31" t="str">
        <f ca="1">IF(C574&lt;&gt;"",IF(D574+$I$9-E574-F574&gt;=0,IF(ISERROR(INDEX($C$3:$C$6,MATCH(C574,$C$3:$C$6,0)+1,0)),Variables!$B$1,INDEX($C$3:$C$6,MATCH(C574,$C$3:$C$6,0)+1,0)),""),"")</f>
        <v/>
      </c>
      <c r="J574" s="29" t="str">
        <f ca="1">IF(ISERROR(VLOOKUP(I574,$C$3:$L$6,5,0)),"",IF(OR(VLOOKUP(I574,$C$3:$L$6,5,0)=Variables!$B$5,B574&gt;VLOOKUP(I574,$C$3:$L$6,8,0)),IF(VLOOKUP(I574,$C$3:$L$6,5,0)=Variables!$B$5,((YEAR(B574)-YEAR($B$12))*12+MONTH(B574)-MONTH($B$12)),((YEAR(B574)-YEAR(VLOOKUP(I574,$C$3:$L$6,8,0)))*12+MONTH(B574)-MONTH(VLOOKUP(I574,$C$3:$L$6,8,0))))*(VLOOKUP(I574,$C$3:$L$6,10,0)*VLOOKUP(I574,$C$3:$L$6,6,0)/12),0))</f>
        <v/>
      </c>
      <c r="K574" s="29" t="str">
        <f ca="1">IF(C574&lt;&gt;"",IF(I574&lt;&gt;"",IF(ISERROR(VLOOKUP(I574,$C$3:$L$6,10,0)),"",VLOOKUP(I574,$C$3:$L$6,10,0)+J574+IF(OR(VLOOKUP(I574,$C$3:$L$6,5,0)=Variables!$B$5,B574&gt;VLOOKUP(I574,$C$3:$L$6,8,0)),IF(VLOOKUP(I574,$C$3:$L$6,5,0)=Variables!$B$5,((YEAR(B574)-YEAR($B$12))*12+MONTH(B574)-MONTH($B$12)),((YEAR(B574)-YEAR(VLOOKUP(I574,$C$3:$L$6,8,0)))*12+MONTH(B574)-MONTH(VLOOKUP(I574,$C$3:$L$6,8,0))))*VLOOKUP(I574,$C$3:$L$6,7,0),0)),""),"")</f>
        <v/>
      </c>
      <c r="L574" s="29" t="str">
        <f t="shared" ca="1" si="54"/>
        <v/>
      </c>
      <c r="M574" s="10"/>
      <c r="N574" s="10"/>
    </row>
    <row r="575" spans="1:14" x14ac:dyDescent="0.25">
      <c r="A575" s="10"/>
      <c r="B575" s="14" t="str">
        <f t="shared" ca="1" si="55"/>
        <v/>
      </c>
      <c r="C575" s="14" t="str">
        <f ca="1">IF(I574&lt;&gt;Variables!$B$1,IF(H574&lt;&gt;0,C574,I574),"")</f>
        <v/>
      </c>
      <c r="D575" s="29" t="str">
        <f t="shared" ca="1" si="52"/>
        <v/>
      </c>
      <c r="E575" s="29" t="str">
        <f t="shared" ca="1" si="53"/>
        <v/>
      </c>
      <c r="F575" s="29" t="str">
        <f ca="1">IF(C575&lt;&gt;"",IF(OR(VLOOKUP(C575,$C$3:$L$6,5,0)=Variables!$B$5,B575&gt;VLOOKUP(C575,$C$3:$L$6,8,0)),-D575*VLOOKUP(C575,$C$3:$L$6,6,0)/12,0),"")</f>
        <v/>
      </c>
      <c r="G575" s="29" t="str">
        <f ca="1">IF(I575&lt;&gt;Variables!$B$1,IF(C575&lt;&gt;"",$I$9-E575-F575,""),-D575)</f>
        <v/>
      </c>
      <c r="H575" s="29" t="str">
        <f t="shared" ca="1" si="56"/>
        <v/>
      </c>
      <c r="I575" s="31" t="str">
        <f ca="1">IF(C575&lt;&gt;"",IF(D575+$I$9-E575-F575&gt;=0,IF(ISERROR(INDEX($C$3:$C$6,MATCH(C575,$C$3:$C$6,0)+1,0)),Variables!$B$1,INDEX($C$3:$C$6,MATCH(C575,$C$3:$C$6,0)+1,0)),""),"")</f>
        <v/>
      </c>
      <c r="J575" s="29" t="str">
        <f ca="1">IF(ISERROR(VLOOKUP(I575,$C$3:$L$6,5,0)),"",IF(OR(VLOOKUP(I575,$C$3:$L$6,5,0)=Variables!$B$5,B575&gt;VLOOKUP(I575,$C$3:$L$6,8,0)),IF(VLOOKUP(I575,$C$3:$L$6,5,0)=Variables!$B$5,((YEAR(B575)-YEAR($B$12))*12+MONTH(B575)-MONTH($B$12)),((YEAR(B575)-YEAR(VLOOKUP(I575,$C$3:$L$6,8,0)))*12+MONTH(B575)-MONTH(VLOOKUP(I575,$C$3:$L$6,8,0))))*(VLOOKUP(I575,$C$3:$L$6,10,0)*VLOOKUP(I575,$C$3:$L$6,6,0)/12),0))</f>
        <v/>
      </c>
      <c r="K575" s="29" t="str">
        <f ca="1">IF(C575&lt;&gt;"",IF(I575&lt;&gt;"",IF(ISERROR(VLOOKUP(I575,$C$3:$L$6,10,0)),"",VLOOKUP(I575,$C$3:$L$6,10,0)+J575+IF(OR(VLOOKUP(I575,$C$3:$L$6,5,0)=Variables!$B$5,B575&gt;VLOOKUP(I575,$C$3:$L$6,8,0)),IF(VLOOKUP(I575,$C$3:$L$6,5,0)=Variables!$B$5,((YEAR(B575)-YEAR($B$12))*12+MONTH(B575)-MONTH($B$12)),((YEAR(B575)-YEAR(VLOOKUP(I575,$C$3:$L$6,8,0)))*12+MONTH(B575)-MONTH(VLOOKUP(I575,$C$3:$L$6,8,0))))*VLOOKUP(I575,$C$3:$L$6,7,0),0)),""),"")</f>
        <v/>
      </c>
      <c r="L575" s="29" t="str">
        <f t="shared" ca="1" si="54"/>
        <v/>
      </c>
      <c r="M575" s="10"/>
      <c r="N575" s="10"/>
    </row>
    <row r="576" spans="1:14" x14ac:dyDescent="0.25">
      <c r="A576" s="10"/>
      <c r="B576" s="14" t="str">
        <f t="shared" ca="1" si="55"/>
        <v/>
      </c>
      <c r="C576" s="14" t="str">
        <f ca="1">IF(I575&lt;&gt;Variables!$B$1,IF(H575&lt;&gt;0,C575,I575),"")</f>
        <v/>
      </c>
      <c r="D576" s="29" t="str">
        <f t="shared" ca="1" si="52"/>
        <v/>
      </c>
      <c r="E576" s="29" t="str">
        <f t="shared" ca="1" si="53"/>
        <v/>
      </c>
      <c r="F576" s="29" t="str">
        <f ca="1">IF(C576&lt;&gt;"",IF(OR(VLOOKUP(C576,$C$3:$L$6,5,0)=Variables!$B$5,B576&gt;VLOOKUP(C576,$C$3:$L$6,8,0)),-D576*VLOOKUP(C576,$C$3:$L$6,6,0)/12,0),"")</f>
        <v/>
      </c>
      <c r="G576" s="29" t="str">
        <f ca="1">IF(I576&lt;&gt;Variables!$B$1,IF(C576&lt;&gt;"",$I$9-E576-F576,""),-D576)</f>
        <v/>
      </c>
      <c r="H576" s="29" t="str">
        <f t="shared" ca="1" si="56"/>
        <v/>
      </c>
      <c r="I576" s="31" t="str">
        <f ca="1">IF(C576&lt;&gt;"",IF(D576+$I$9-E576-F576&gt;=0,IF(ISERROR(INDEX($C$3:$C$6,MATCH(C576,$C$3:$C$6,0)+1,0)),Variables!$B$1,INDEX($C$3:$C$6,MATCH(C576,$C$3:$C$6,0)+1,0)),""),"")</f>
        <v/>
      </c>
      <c r="J576" s="29" t="str">
        <f ca="1">IF(ISERROR(VLOOKUP(I576,$C$3:$L$6,5,0)),"",IF(OR(VLOOKUP(I576,$C$3:$L$6,5,0)=Variables!$B$5,B576&gt;VLOOKUP(I576,$C$3:$L$6,8,0)),IF(VLOOKUP(I576,$C$3:$L$6,5,0)=Variables!$B$5,((YEAR(B576)-YEAR($B$12))*12+MONTH(B576)-MONTH($B$12)),((YEAR(B576)-YEAR(VLOOKUP(I576,$C$3:$L$6,8,0)))*12+MONTH(B576)-MONTH(VLOOKUP(I576,$C$3:$L$6,8,0))))*(VLOOKUP(I576,$C$3:$L$6,10,0)*VLOOKUP(I576,$C$3:$L$6,6,0)/12),0))</f>
        <v/>
      </c>
      <c r="K576" s="29" t="str">
        <f ca="1">IF(C576&lt;&gt;"",IF(I576&lt;&gt;"",IF(ISERROR(VLOOKUP(I576,$C$3:$L$6,10,0)),"",VLOOKUP(I576,$C$3:$L$6,10,0)+J576+IF(OR(VLOOKUP(I576,$C$3:$L$6,5,0)=Variables!$B$5,B576&gt;VLOOKUP(I576,$C$3:$L$6,8,0)),IF(VLOOKUP(I576,$C$3:$L$6,5,0)=Variables!$B$5,((YEAR(B576)-YEAR($B$12))*12+MONTH(B576)-MONTH($B$12)),((YEAR(B576)-YEAR(VLOOKUP(I576,$C$3:$L$6,8,0)))*12+MONTH(B576)-MONTH(VLOOKUP(I576,$C$3:$L$6,8,0))))*VLOOKUP(I576,$C$3:$L$6,7,0),0)),""),"")</f>
        <v/>
      </c>
      <c r="L576" s="29" t="str">
        <f t="shared" ca="1" si="54"/>
        <v/>
      </c>
      <c r="M576" s="10"/>
      <c r="N576" s="10"/>
    </row>
    <row r="577" spans="1:14" x14ac:dyDescent="0.25">
      <c r="A577" s="10"/>
      <c r="B577" s="14" t="str">
        <f t="shared" ca="1" si="55"/>
        <v/>
      </c>
      <c r="C577" s="14" t="str">
        <f ca="1">IF(I576&lt;&gt;Variables!$B$1,IF(H576&lt;&gt;0,C576,I576),"")</f>
        <v/>
      </c>
      <c r="D577" s="29" t="str">
        <f t="shared" ca="1" si="52"/>
        <v/>
      </c>
      <c r="E577" s="29" t="str">
        <f t="shared" ca="1" si="53"/>
        <v/>
      </c>
      <c r="F577" s="29" t="str">
        <f ca="1">IF(C577&lt;&gt;"",IF(OR(VLOOKUP(C577,$C$3:$L$6,5,0)=Variables!$B$5,B577&gt;VLOOKUP(C577,$C$3:$L$6,8,0)),-D577*VLOOKUP(C577,$C$3:$L$6,6,0)/12,0),"")</f>
        <v/>
      </c>
      <c r="G577" s="29" t="str">
        <f ca="1">IF(I577&lt;&gt;Variables!$B$1,IF(C577&lt;&gt;"",$I$9-E577-F577,""),-D577)</f>
        <v/>
      </c>
      <c r="H577" s="29" t="str">
        <f t="shared" ca="1" si="56"/>
        <v/>
      </c>
      <c r="I577" s="31" t="str">
        <f ca="1">IF(C577&lt;&gt;"",IF(D577+$I$9-E577-F577&gt;=0,IF(ISERROR(INDEX($C$3:$C$6,MATCH(C577,$C$3:$C$6,0)+1,0)),Variables!$B$1,INDEX($C$3:$C$6,MATCH(C577,$C$3:$C$6,0)+1,0)),""),"")</f>
        <v/>
      </c>
      <c r="J577" s="29" t="str">
        <f ca="1">IF(ISERROR(VLOOKUP(I577,$C$3:$L$6,5,0)),"",IF(OR(VLOOKUP(I577,$C$3:$L$6,5,0)=Variables!$B$5,B577&gt;VLOOKUP(I577,$C$3:$L$6,8,0)),IF(VLOOKUP(I577,$C$3:$L$6,5,0)=Variables!$B$5,((YEAR(B577)-YEAR($B$12))*12+MONTH(B577)-MONTH($B$12)),((YEAR(B577)-YEAR(VLOOKUP(I577,$C$3:$L$6,8,0)))*12+MONTH(B577)-MONTH(VLOOKUP(I577,$C$3:$L$6,8,0))))*(VLOOKUP(I577,$C$3:$L$6,10,0)*VLOOKUP(I577,$C$3:$L$6,6,0)/12),0))</f>
        <v/>
      </c>
      <c r="K577" s="29" t="str">
        <f ca="1">IF(C577&lt;&gt;"",IF(I577&lt;&gt;"",IF(ISERROR(VLOOKUP(I577,$C$3:$L$6,10,0)),"",VLOOKUP(I577,$C$3:$L$6,10,0)+J577+IF(OR(VLOOKUP(I577,$C$3:$L$6,5,0)=Variables!$B$5,B577&gt;VLOOKUP(I577,$C$3:$L$6,8,0)),IF(VLOOKUP(I577,$C$3:$L$6,5,0)=Variables!$B$5,((YEAR(B577)-YEAR($B$12))*12+MONTH(B577)-MONTH($B$12)),((YEAR(B577)-YEAR(VLOOKUP(I577,$C$3:$L$6,8,0)))*12+MONTH(B577)-MONTH(VLOOKUP(I577,$C$3:$L$6,8,0))))*VLOOKUP(I577,$C$3:$L$6,7,0),0)),""),"")</f>
        <v/>
      </c>
      <c r="L577" s="29" t="str">
        <f t="shared" ca="1" si="54"/>
        <v/>
      </c>
      <c r="M577" s="10"/>
      <c r="N577" s="10"/>
    </row>
    <row r="578" spans="1:14" x14ac:dyDescent="0.25">
      <c r="A578" s="10"/>
      <c r="B578" s="14" t="str">
        <f t="shared" ca="1" si="55"/>
        <v/>
      </c>
      <c r="C578" s="14" t="str">
        <f ca="1">IF(I577&lt;&gt;Variables!$B$1,IF(H577&lt;&gt;0,C577,I577),"")</f>
        <v/>
      </c>
      <c r="D578" s="29" t="str">
        <f t="shared" ca="1" si="52"/>
        <v/>
      </c>
      <c r="E578" s="29" t="str">
        <f t="shared" ca="1" si="53"/>
        <v/>
      </c>
      <c r="F578" s="29" t="str">
        <f ca="1">IF(C578&lt;&gt;"",IF(OR(VLOOKUP(C578,$C$3:$L$6,5,0)=Variables!$B$5,B578&gt;VLOOKUP(C578,$C$3:$L$6,8,0)),-D578*VLOOKUP(C578,$C$3:$L$6,6,0)/12,0),"")</f>
        <v/>
      </c>
      <c r="G578" s="29" t="str">
        <f ca="1">IF(I578&lt;&gt;Variables!$B$1,IF(C578&lt;&gt;"",$I$9-E578-F578,""),-D578)</f>
        <v/>
      </c>
      <c r="H578" s="29" t="str">
        <f t="shared" ca="1" si="56"/>
        <v/>
      </c>
      <c r="I578" s="31" t="str">
        <f ca="1">IF(C578&lt;&gt;"",IF(D578+$I$9-E578-F578&gt;=0,IF(ISERROR(INDEX($C$3:$C$6,MATCH(C578,$C$3:$C$6,0)+1,0)),Variables!$B$1,INDEX($C$3:$C$6,MATCH(C578,$C$3:$C$6,0)+1,0)),""),"")</f>
        <v/>
      </c>
      <c r="J578" s="29" t="str">
        <f ca="1">IF(ISERROR(VLOOKUP(I578,$C$3:$L$6,5,0)),"",IF(OR(VLOOKUP(I578,$C$3:$L$6,5,0)=Variables!$B$5,B578&gt;VLOOKUP(I578,$C$3:$L$6,8,0)),IF(VLOOKUP(I578,$C$3:$L$6,5,0)=Variables!$B$5,((YEAR(B578)-YEAR($B$12))*12+MONTH(B578)-MONTH($B$12)),((YEAR(B578)-YEAR(VLOOKUP(I578,$C$3:$L$6,8,0)))*12+MONTH(B578)-MONTH(VLOOKUP(I578,$C$3:$L$6,8,0))))*(VLOOKUP(I578,$C$3:$L$6,10,0)*VLOOKUP(I578,$C$3:$L$6,6,0)/12),0))</f>
        <v/>
      </c>
      <c r="K578" s="29" t="str">
        <f ca="1">IF(C578&lt;&gt;"",IF(I578&lt;&gt;"",IF(ISERROR(VLOOKUP(I578,$C$3:$L$6,10,0)),"",VLOOKUP(I578,$C$3:$L$6,10,0)+J578+IF(OR(VLOOKUP(I578,$C$3:$L$6,5,0)=Variables!$B$5,B578&gt;VLOOKUP(I578,$C$3:$L$6,8,0)),IF(VLOOKUP(I578,$C$3:$L$6,5,0)=Variables!$B$5,((YEAR(B578)-YEAR($B$12))*12+MONTH(B578)-MONTH($B$12)),((YEAR(B578)-YEAR(VLOOKUP(I578,$C$3:$L$6,8,0)))*12+MONTH(B578)-MONTH(VLOOKUP(I578,$C$3:$L$6,8,0))))*VLOOKUP(I578,$C$3:$L$6,7,0),0)),""),"")</f>
        <v/>
      </c>
      <c r="L578" s="29" t="str">
        <f t="shared" ca="1" si="54"/>
        <v/>
      </c>
      <c r="M578" s="10"/>
      <c r="N578" s="10"/>
    </row>
    <row r="579" spans="1:14" x14ac:dyDescent="0.25">
      <c r="A579" s="10"/>
      <c r="B579" s="14" t="str">
        <f t="shared" ca="1" si="55"/>
        <v/>
      </c>
      <c r="C579" s="14" t="str">
        <f ca="1">IF(I578&lt;&gt;Variables!$B$1,IF(H578&lt;&gt;0,C578,I578),"")</f>
        <v/>
      </c>
      <c r="D579" s="29" t="str">
        <f t="shared" ca="1" si="52"/>
        <v/>
      </c>
      <c r="E579" s="29" t="str">
        <f t="shared" ca="1" si="53"/>
        <v/>
      </c>
      <c r="F579" s="29" t="str">
        <f ca="1">IF(C579&lt;&gt;"",IF(OR(VLOOKUP(C579,$C$3:$L$6,5,0)=Variables!$B$5,B579&gt;VLOOKUP(C579,$C$3:$L$6,8,0)),-D579*VLOOKUP(C579,$C$3:$L$6,6,0)/12,0),"")</f>
        <v/>
      </c>
      <c r="G579" s="29" t="str">
        <f ca="1">IF(I579&lt;&gt;Variables!$B$1,IF(C579&lt;&gt;"",$I$9-E579-F579,""),-D579)</f>
        <v/>
      </c>
      <c r="H579" s="29" t="str">
        <f t="shared" ca="1" si="56"/>
        <v/>
      </c>
      <c r="I579" s="31" t="str">
        <f ca="1">IF(C579&lt;&gt;"",IF(D579+$I$9-E579-F579&gt;=0,IF(ISERROR(INDEX($C$3:$C$6,MATCH(C579,$C$3:$C$6,0)+1,0)),Variables!$B$1,INDEX($C$3:$C$6,MATCH(C579,$C$3:$C$6,0)+1,0)),""),"")</f>
        <v/>
      </c>
      <c r="J579" s="29" t="str">
        <f ca="1">IF(ISERROR(VLOOKUP(I579,$C$3:$L$6,5,0)),"",IF(OR(VLOOKUP(I579,$C$3:$L$6,5,0)=Variables!$B$5,B579&gt;VLOOKUP(I579,$C$3:$L$6,8,0)),IF(VLOOKUP(I579,$C$3:$L$6,5,0)=Variables!$B$5,((YEAR(B579)-YEAR($B$12))*12+MONTH(B579)-MONTH($B$12)),((YEAR(B579)-YEAR(VLOOKUP(I579,$C$3:$L$6,8,0)))*12+MONTH(B579)-MONTH(VLOOKUP(I579,$C$3:$L$6,8,0))))*(VLOOKUP(I579,$C$3:$L$6,10,0)*VLOOKUP(I579,$C$3:$L$6,6,0)/12),0))</f>
        <v/>
      </c>
      <c r="K579" s="29" t="str">
        <f ca="1">IF(C579&lt;&gt;"",IF(I579&lt;&gt;"",IF(ISERROR(VLOOKUP(I579,$C$3:$L$6,10,0)),"",VLOOKUP(I579,$C$3:$L$6,10,0)+J579+IF(OR(VLOOKUP(I579,$C$3:$L$6,5,0)=Variables!$B$5,B579&gt;VLOOKUP(I579,$C$3:$L$6,8,0)),IF(VLOOKUP(I579,$C$3:$L$6,5,0)=Variables!$B$5,((YEAR(B579)-YEAR($B$12))*12+MONTH(B579)-MONTH($B$12)),((YEAR(B579)-YEAR(VLOOKUP(I579,$C$3:$L$6,8,0)))*12+MONTH(B579)-MONTH(VLOOKUP(I579,$C$3:$L$6,8,0))))*VLOOKUP(I579,$C$3:$L$6,7,0),0)),""),"")</f>
        <v/>
      </c>
      <c r="L579" s="29" t="str">
        <f t="shared" ca="1" si="54"/>
        <v/>
      </c>
      <c r="M579" s="10"/>
      <c r="N579" s="10"/>
    </row>
    <row r="580" spans="1:14" x14ac:dyDescent="0.25">
      <c r="A580" s="10"/>
      <c r="B580" s="14" t="str">
        <f t="shared" ca="1" si="55"/>
        <v/>
      </c>
      <c r="C580" s="14" t="str">
        <f ca="1">IF(I579&lt;&gt;Variables!$B$1,IF(H579&lt;&gt;0,C579,I579),"")</f>
        <v/>
      </c>
      <c r="D580" s="29" t="str">
        <f t="shared" ca="1" si="52"/>
        <v/>
      </c>
      <c r="E580" s="29" t="str">
        <f t="shared" ca="1" si="53"/>
        <v/>
      </c>
      <c r="F580" s="29" t="str">
        <f ca="1">IF(C580&lt;&gt;"",IF(OR(VLOOKUP(C580,$C$3:$L$6,5,0)=Variables!$B$5,B580&gt;VLOOKUP(C580,$C$3:$L$6,8,0)),-D580*VLOOKUP(C580,$C$3:$L$6,6,0)/12,0),"")</f>
        <v/>
      </c>
      <c r="G580" s="29" t="str">
        <f ca="1">IF(I580&lt;&gt;Variables!$B$1,IF(C580&lt;&gt;"",$I$9-E580-F580,""),-D580)</f>
        <v/>
      </c>
      <c r="H580" s="29" t="str">
        <f t="shared" ca="1" si="56"/>
        <v/>
      </c>
      <c r="I580" s="31" t="str">
        <f ca="1">IF(C580&lt;&gt;"",IF(D580+$I$9-E580-F580&gt;=0,IF(ISERROR(INDEX($C$3:$C$6,MATCH(C580,$C$3:$C$6,0)+1,0)),Variables!$B$1,INDEX($C$3:$C$6,MATCH(C580,$C$3:$C$6,0)+1,0)),""),"")</f>
        <v/>
      </c>
      <c r="J580" s="29" t="str">
        <f ca="1">IF(ISERROR(VLOOKUP(I580,$C$3:$L$6,5,0)),"",IF(OR(VLOOKUP(I580,$C$3:$L$6,5,0)=Variables!$B$5,B580&gt;VLOOKUP(I580,$C$3:$L$6,8,0)),IF(VLOOKUP(I580,$C$3:$L$6,5,0)=Variables!$B$5,((YEAR(B580)-YEAR($B$12))*12+MONTH(B580)-MONTH($B$12)),((YEAR(B580)-YEAR(VLOOKUP(I580,$C$3:$L$6,8,0)))*12+MONTH(B580)-MONTH(VLOOKUP(I580,$C$3:$L$6,8,0))))*(VLOOKUP(I580,$C$3:$L$6,10,0)*VLOOKUP(I580,$C$3:$L$6,6,0)/12),0))</f>
        <v/>
      </c>
      <c r="K580" s="29" t="str">
        <f ca="1">IF(C580&lt;&gt;"",IF(I580&lt;&gt;"",IF(ISERROR(VLOOKUP(I580,$C$3:$L$6,10,0)),"",VLOOKUP(I580,$C$3:$L$6,10,0)+J580+IF(OR(VLOOKUP(I580,$C$3:$L$6,5,0)=Variables!$B$5,B580&gt;VLOOKUP(I580,$C$3:$L$6,8,0)),IF(VLOOKUP(I580,$C$3:$L$6,5,0)=Variables!$B$5,((YEAR(B580)-YEAR($B$12))*12+MONTH(B580)-MONTH($B$12)),((YEAR(B580)-YEAR(VLOOKUP(I580,$C$3:$L$6,8,0)))*12+MONTH(B580)-MONTH(VLOOKUP(I580,$C$3:$L$6,8,0))))*VLOOKUP(I580,$C$3:$L$6,7,0),0)),""),"")</f>
        <v/>
      </c>
      <c r="L580" s="29" t="str">
        <f t="shared" ca="1" si="54"/>
        <v/>
      </c>
      <c r="M580" s="10"/>
      <c r="N580" s="10"/>
    </row>
    <row r="581" spans="1:14" x14ac:dyDescent="0.25">
      <c r="A581" s="10"/>
      <c r="B581" s="14" t="str">
        <f t="shared" ca="1" si="55"/>
        <v/>
      </c>
      <c r="C581" s="14" t="str">
        <f ca="1">IF(I580&lt;&gt;Variables!$B$1,IF(H580&lt;&gt;0,C580,I580),"")</f>
        <v/>
      </c>
      <c r="D581" s="29" t="str">
        <f t="shared" ca="1" si="52"/>
        <v/>
      </c>
      <c r="E581" s="29" t="str">
        <f t="shared" ca="1" si="53"/>
        <v/>
      </c>
      <c r="F581" s="29" t="str">
        <f ca="1">IF(C581&lt;&gt;"",IF(OR(VLOOKUP(C581,$C$3:$L$6,5,0)=Variables!$B$5,B581&gt;VLOOKUP(C581,$C$3:$L$6,8,0)),-D581*VLOOKUP(C581,$C$3:$L$6,6,0)/12,0),"")</f>
        <v/>
      </c>
      <c r="G581" s="29" t="str">
        <f ca="1">IF(I581&lt;&gt;Variables!$B$1,IF(C581&lt;&gt;"",$I$9-E581-F581,""),-D581)</f>
        <v/>
      </c>
      <c r="H581" s="29" t="str">
        <f t="shared" ca="1" si="56"/>
        <v/>
      </c>
      <c r="I581" s="31" t="str">
        <f ca="1">IF(C581&lt;&gt;"",IF(D581+$I$9-E581-F581&gt;=0,IF(ISERROR(INDEX($C$3:$C$6,MATCH(C581,$C$3:$C$6,0)+1,0)),Variables!$B$1,INDEX($C$3:$C$6,MATCH(C581,$C$3:$C$6,0)+1,0)),""),"")</f>
        <v/>
      </c>
      <c r="J581" s="29" t="str">
        <f ca="1">IF(ISERROR(VLOOKUP(I581,$C$3:$L$6,5,0)),"",IF(OR(VLOOKUP(I581,$C$3:$L$6,5,0)=Variables!$B$5,B581&gt;VLOOKUP(I581,$C$3:$L$6,8,0)),IF(VLOOKUP(I581,$C$3:$L$6,5,0)=Variables!$B$5,((YEAR(B581)-YEAR($B$12))*12+MONTH(B581)-MONTH($B$12)),((YEAR(B581)-YEAR(VLOOKUP(I581,$C$3:$L$6,8,0)))*12+MONTH(B581)-MONTH(VLOOKUP(I581,$C$3:$L$6,8,0))))*(VLOOKUP(I581,$C$3:$L$6,10,0)*VLOOKUP(I581,$C$3:$L$6,6,0)/12),0))</f>
        <v/>
      </c>
      <c r="K581" s="29" t="str">
        <f ca="1">IF(C581&lt;&gt;"",IF(I581&lt;&gt;"",IF(ISERROR(VLOOKUP(I581,$C$3:$L$6,10,0)),"",VLOOKUP(I581,$C$3:$L$6,10,0)+J581+IF(OR(VLOOKUP(I581,$C$3:$L$6,5,0)=Variables!$B$5,B581&gt;VLOOKUP(I581,$C$3:$L$6,8,0)),IF(VLOOKUP(I581,$C$3:$L$6,5,0)=Variables!$B$5,((YEAR(B581)-YEAR($B$12))*12+MONTH(B581)-MONTH($B$12)),((YEAR(B581)-YEAR(VLOOKUP(I581,$C$3:$L$6,8,0)))*12+MONTH(B581)-MONTH(VLOOKUP(I581,$C$3:$L$6,8,0))))*VLOOKUP(I581,$C$3:$L$6,7,0),0)),""),"")</f>
        <v/>
      </c>
      <c r="L581" s="29" t="str">
        <f t="shared" ca="1" si="54"/>
        <v/>
      </c>
      <c r="M581" s="10"/>
      <c r="N581" s="10"/>
    </row>
    <row r="582" spans="1:14" x14ac:dyDescent="0.25">
      <c r="A582" s="10"/>
      <c r="B582" s="14" t="str">
        <f t="shared" ca="1" si="55"/>
        <v/>
      </c>
      <c r="C582" s="14" t="str">
        <f ca="1">IF(I581&lt;&gt;Variables!$B$1,IF(H581&lt;&gt;0,C581,I581),"")</f>
        <v/>
      </c>
      <c r="D582" s="29" t="str">
        <f t="shared" ca="1" si="52"/>
        <v/>
      </c>
      <c r="E582" s="29" t="str">
        <f t="shared" ca="1" si="53"/>
        <v/>
      </c>
      <c r="F582" s="29" t="str">
        <f ca="1">IF(C582&lt;&gt;"",IF(OR(VLOOKUP(C582,$C$3:$L$6,5,0)=Variables!$B$5,B582&gt;VLOOKUP(C582,$C$3:$L$6,8,0)),-D582*VLOOKUP(C582,$C$3:$L$6,6,0)/12,0),"")</f>
        <v/>
      </c>
      <c r="G582" s="29" t="str">
        <f ca="1">IF(I582&lt;&gt;Variables!$B$1,IF(C582&lt;&gt;"",$I$9-E582-F582,""),-D582)</f>
        <v/>
      </c>
      <c r="H582" s="29" t="str">
        <f t="shared" ca="1" si="56"/>
        <v/>
      </c>
      <c r="I582" s="31" t="str">
        <f ca="1">IF(C582&lt;&gt;"",IF(D582+$I$9-E582-F582&gt;=0,IF(ISERROR(INDEX($C$3:$C$6,MATCH(C582,$C$3:$C$6,0)+1,0)),Variables!$B$1,INDEX($C$3:$C$6,MATCH(C582,$C$3:$C$6,0)+1,0)),""),"")</f>
        <v/>
      </c>
      <c r="J582" s="29" t="str">
        <f ca="1">IF(ISERROR(VLOOKUP(I582,$C$3:$L$6,5,0)),"",IF(OR(VLOOKUP(I582,$C$3:$L$6,5,0)=Variables!$B$5,B582&gt;VLOOKUP(I582,$C$3:$L$6,8,0)),IF(VLOOKUP(I582,$C$3:$L$6,5,0)=Variables!$B$5,((YEAR(B582)-YEAR($B$12))*12+MONTH(B582)-MONTH($B$12)),((YEAR(B582)-YEAR(VLOOKUP(I582,$C$3:$L$6,8,0)))*12+MONTH(B582)-MONTH(VLOOKUP(I582,$C$3:$L$6,8,0))))*(VLOOKUP(I582,$C$3:$L$6,10,0)*VLOOKUP(I582,$C$3:$L$6,6,0)/12),0))</f>
        <v/>
      </c>
      <c r="K582" s="29" t="str">
        <f ca="1">IF(C582&lt;&gt;"",IF(I582&lt;&gt;"",IF(ISERROR(VLOOKUP(I582,$C$3:$L$6,10,0)),"",VLOOKUP(I582,$C$3:$L$6,10,0)+J582+IF(OR(VLOOKUP(I582,$C$3:$L$6,5,0)=Variables!$B$5,B582&gt;VLOOKUP(I582,$C$3:$L$6,8,0)),IF(VLOOKUP(I582,$C$3:$L$6,5,0)=Variables!$B$5,((YEAR(B582)-YEAR($B$12))*12+MONTH(B582)-MONTH($B$12)),((YEAR(B582)-YEAR(VLOOKUP(I582,$C$3:$L$6,8,0)))*12+MONTH(B582)-MONTH(VLOOKUP(I582,$C$3:$L$6,8,0))))*VLOOKUP(I582,$C$3:$L$6,7,0),0)),""),"")</f>
        <v/>
      </c>
      <c r="L582" s="29" t="str">
        <f t="shared" ca="1" si="54"/>
        <v/>
      </c>
      <c r="M582" s="10"/>
      <c r="N582" s="10"/>
    </row>
    <row r="583" spans="1:14" x14ac:dyDescent="0.25">
      <c r="A583" s="10"/>
      <c r="B583" s="14" t="str">
        <f t="shared" ca="1" si="55"/>
        <v/>
      </c>
      <c r="C583" s="14" t="str">
        <f ca="1">IF(I582&lt;&gt;Variables!$B$1,IF(H582&lt;&gt;0,C582,I582),"")</f>
        <v/>
      </c>
      <c r="D583" s="29" t="str">
        <f t="shared" ca="1" si="52"/>
        <v/>
      </c>
      <c r="E583" s="29" t="str">
        <f t="shared" ca="1" si="53"/>
        <v/>
      </c>
      <c r="F583" s="29" t="str">
        <f ca="1">IF(C583&lt;&gt;"",IF(OR(VLOOKUP(C583,$C$3:$L$6,5,0)=Variables!$B$5,B583&gt;VLOOKUP(C583,$C$3:$L$6,8,0)),-D583*VLOOKUP(C583,$C$3:$L$6,6,0)/12,0),"")</f>
        <v/>
      </c>
      <c r="G583" s="29" t="str">
        <f ca="1">IF(I583&lt;&gt;Variables!$B$1,IF(C583&lt;&gt;"",$I$9-E583-F583,""),-D583)</f>
        <v/>
      </c>
      <c r="H583" s="29" t="str">
        <f t="shared" ca="1" si="56"/>
        <v/>
      </c>
      <c r="I583" s="31" t="str">
        <f ca="1">IF(C583&lt;&gt;"",IF(D583+$I$9-E583-F583&gt;=0,IF(ISERROR(INDEX($C$3:$C$6,MATCH(C583,$C$3:$C$6,0)+1,0)),Variables!$B$1,INDEX($C$3:$C$6,MATCH(C583,$C$3:$C$6,0)+1,0)),""),"")</f>
        <v/>
      </c>
      <c r="J583" s="29" t="str">
        <f ca="1">IF(ISERROR(VLOOKUP(I583,$C$3:$L$6,5,0)),"",IF(OR(VLOOKUP(I583,$C$3:$L$6,5,0)=Variables!$B$5,B583&gt;VLOOKUP(I583,$C$3:$L$6,8,0)),IF(VLOOKUP(I583,$C$3:$L$6,5,0)=Variables!$B$5,((YEAR(B583)-YEAR($B$12))*12+MONTH(B583)-MONTH($B$12)),((YEAR(B583)-YEAR(VLOOKUP(I583,$C$3:$L$6,8,0)))*12+MONTH(B583)-MONTH(VLOOKUP(I583,$C$3:$L$6,8,0))))*(VLOOKUP(I583,$C$3:$L$6,10,0)*VLOOKUP(I583,$C$3:$L$6,6,0)/12),0))</f>
        <v/>
      </c>
      <c r="K583" s="29" t="str">
        <f ca="1">IF(C583&lt;&gt;"",IF(I583&lt;&gt;"",IF(ISERROR(VLOOKUP(I583,$C$3:$L$6,10,0)),"",VLOOKUP(I583,$C$3:$L$6,10,0)+J583+IF(OR(VLOOKUP(I583,$C$3:$L$6,5,0)=Variables!$B$5,B583&gt;VLOOKUP(I583,$C$3:$L$6,8,0)),IF(VLOOKUP(I583,$C$3:$L$6,5,0)=Variables!$B$5,((YEAR(B583)-YEAR($B$12))*12+MONTH(B583)-MONTH($B$12)),((YEAR(B583)-YEAR(VLOOKUP(I583,$C$3:$L$6,8,0)))*12+MONTH(B583)-MONTH(VLOOKUP(I583,$C$3:$L$6,8,0))))*VLOOKUP(I583,$C$3:$L$6,7,0),0)),""),"")</f>
        <v/>
      </c>
      <c r="L583" s="29" t="str">
        <f t="shared" ca="1" si="54"/>
        <v/>
      </c>
      <c r="M583" s="10"/>
      <c r="N583" s="10"/>
    </row>
    <row r="584" spans="1:14" x14ac:dyDescent="0.25">
      <c r="A584" s="10"/>
      <c r="B584" s="14" t="str">
        <f t="shared" ca="1" si="55"/>
        <v/>
      </c>
      <c r="C584" s="14" t="str">
        <f ca="1">IF(I583&lt;&gt;Variables!$B$1,IF(H583&lt;&gt;0,C583,I583),"")</f>
        <v/>
      </c>
      <c r="D584" s="29" t="str">
        <f t="shared" ca="1" si="52"/>
        <v/>
      </c>
      <c r="E584" s="29" t="str">
        <f t="shared" ca="1" si="53"/>
        <v/>
      </c>
      <c r="F584" s="29" t="str">
        <f ca="1">IF(C584&lt;&gt;"",IF(OR(VLOOKUP(C584,$C$3:$L$6,5,0)=Variables!$B$5,B584&gt;VLOOKUP(C584,$C$3:$L$6,8,0)),-D584*VLOOKUP(C584,$C$3:$L$6,6,0)/12,0),"")</f>
        <v/>
      </c>
      <c r="G584" s="29" t="str">
        <f ca="1">IF(I584&lt;&gt;Variables!$B$1,IF(C584&lt;&gt;"",$I$9-E584-F584,""),-D584)</f>
        <v/>
      </c>
      <c r="H584" s="29" t="str">
        <f t="shared" ca="1" si="56"/>
        <v/>
      </c>
      <c r="I584" s="31" t="str">
        <f ca="1">IF(C584&lt;&gt;"",IF(D584+$I$9-E584-F584&gt;=0,IF(ISERROR(INDEX($C$3:$C$6,MATCH(C584,$C$3:$C$6,0)+1,0)),Variables!$B$1,INDEX($C$3:$C$6,MATCH(C584,$C$3:$C$6,0)+1,0)),""),"")</f>
        <v/>
      </c>
      <c r="J584" s="29" t="str">
        <f ca="1">IF(ISERROR(VLOOKUP(I584,$C$3:$L$6,5,0)),"",IF(OR(VLOOKUP(I584,$C$3:$L$6,5,0)=Variables!$B$5,B584&gt;VLOOKUP(I584,$C$3:$L$6,8,0)),IF(VLOOKUP(I584,$C$3:$L$6,5,0)=Variables!$B$5,((YEAR(B584)-YEAR($B$12))*12+MONTH(B584)-MONTH($B$12)),((YEAR(B584)-YEAR(VLOOKUP(I584,$C$3:$L$6,8,0)))*12+MONTH(B584)-MONTH(VLOOKUP(I584,$C$3:$L$6,8,0))))*(VLOOKUP(I584,$C$3:$L$6,10,0)*VLOOKUP(I584,$C$3:$L$6,6,0)/12),0))</f>
        <v/>
      </c>
      <c r="K584" s="29" t="str">
        <f ca="1">IF(C584&lt;&gt;"",IF(I584&lt;&gt;"",IF(ISERROR(VLOOKUP(I584,$C$3:$L$6,10,0)),"",VLOOKUP(I584,$C$3:$L$6,10,0)+J584+IF(OR(VLOOKUP(I584,$C$3:$L$6,5,0)=Variables!$B$5,B584&gt;VLOOKUP(I584,$C$3:$L$6,8,0)),IF(VLOOKUP(I584,$C$3:$L$6,5,0)=Variables!$B$5,((YEAR(B584)-YEAR($B$12))*12+MONTH(B584)-MONTH($B$12)),((YEAR(B584)-YEAR(VLOOKUP(I584,$C$3:$L$6,8,0)))*12+MONTH(B584)-MONTH(VLOOKUP(I584,$C$3:$L$6,8,0))))*VLOOKUP(I584,$C$3:$L$6,7,0),0)),""),"")</f>
        <v/>
      </c>
      <c r="L584" s="29" t="str">
        <f t="shared" ca="1" si="54"/>
        <v/>
      </c>
      <c r="M584" s="10"/>
      <c r="N584" s="10"/>
    </row>
    <row r="585" spans="1:14" x14ac:dyDescent="0.25">
      <c r="A585" s="10"/>
      <c r="B585" s="14" t="str">
        <f t="shared" ca="1" si="55"/>
        <v/>
      </c>
      <c r="C585" s="14" t="str">
        <f ca="1">IF(I584&lt;&gt;Variables!$B$1,IF(H584&lt;&gt;0,C584,I584),"")</f>
        <v/>
      </c>
      <c r="D585" s="29" t="str">
        <f t="shared" ca="1" si="52"/>
        <v/>
      </c>
      <c r="E585" s="29" t="str">
        <f t="shared" ca="1" si="53"/>
        <v/>
      </c>
      <c r="F585" s="29" t="str">
        <f ca="1">IF(C585&lt;&gt;"",IF(OR(VLOOKUP(C585,$C$3:$L$6,5,0)=Variables!$B$5,B585&gt;VLOOKUP(C585,$C$3:$L$6,8,0)),-D585*VLOOKUP(C585,$C$3:$L$6,6,0)/12,0),"")</f>
        <v/>
      </c>
      <c r="G585" s="29" t="str">
        <f ca="1">IF(I585&lt;&gt;Variables!$B$1,IF(C585&lt;&gt;"",$I$9-E585-F585,""),-D585)</f>
        <v/>
      </c>
      <c r="H585" s="29" t="str">
        <f t="shared" ca="1" si="56"/>
        <v/>
      </c>
      <c r="I585" s="31" t="str">
        <f ca="1">IF(C585&lt;&gt;"",IF(D585+$I$9-E585-F585&gt;=0,IF(ISERROR(INDEX($C$3:$C$6,MATCH(C585,$C$3:$C$6,0)+1,0)),Variables!$B$1,INDEX($C$3:$C$6,MATCH(C585,$C$3:$C$6,0)+1,0)),""),"")</f>
        <v/>
      </c>
      <c r="J585" s="29" t="str">
        <f ca="1">IF(ISERROR(VLOOKUP(I585,$C$3:$L$6,5,0)),"",IF(OR(VLOOKUP(I585,$C$3:$L$6,5,0)=Variables!$B$5,B585&gt;VLOOKUP(I585,$C$3:$L$6,8,0)),IF(VLOOKUP(I585,$C$3:$L$6,5,0)=Variables!$B$5,((YEAR(B585)-YEAR($B$12))*12+MONTH(B585)-MONTH($B$12)),((YEAR(B585)-YEAR(VLOOKUP(I585,$C$3:$L$6,8,0)))*12+MONTH(B585)-MONTH(VLOOKUP(I585,$C$3:$L$6,8,0))))*(VLOOKUP(I585,$C$3:$L$6,10,0)*VLOOKUP(I585,$C$3:$L$6,6,0)/12),0))</f>
        <v/>
      </c>
      <c r="K585" s="29" t="str">
        <f ca="1">IF(C585&lt;&gt;"",IF(I585&lt;&gt;"",IF(ISERROR(VLOOKUP(I585,$C$3:$L$6,10,0)),"",VLOOKUP(I585,$C$3:$L$6,10,0)+J585+IF(OR(VLOOKUP(I585,$C$3:$L$6,5,0)=Variables!$B$5,B585&gt;VLOOKUP(I585,$C$3:$L$6,8,0)),IF(VLOOKUP(I585,$C$3:$L$6,5,0)=Variables!$B$5,((YEAR(B585)-YEAR($B$12))*12+MONTH(B585)-MONTH($B$12)),((YEAR(B585)-YEAR(VLOOKUP(I585,$C$3:$L$6,8,0)))*12+MONTH(B585)-MONTH(VLOOKUP(I585,$C$3:$L$6,8,0))))*VLOOKUP(I585,$C$3:$L$6,7,0),0)),""),"")</f>
        <v/>
      </c>
      <c r="L585" s="29" t="str">
        <f t="shared" ca="1" si="54"/>
        <v/>
      </c>
      <c r="M585" s="10"/>
      <c r="N585" s="10"/>
    </row>
    <row r="586" spans="1:14" x14ac:dyDescent="0.25">
      <c r="A586" s="10"/>
      <c r="B586" s="14" t="str">
        <f t="shared" ca="1" si="55"/>
        <v/>
      </c>
      <c r="C586" s="14" t="str">
        <f ca="1">IF(I585&lt;&gt;Variables!$B$1,IF(H585&lt;&gt;0,C585,I585),"")</f>
        <v/>
      </c>
      <c r="D586" s="29" t="str">
        <f t="shared" ca="1" si="52"/>
        <v/>
      </c>
      <c r="E586" s="29" t="str">
        <f t="shared" ca="1" si="53"/>
        <v/>
      </c>
      <c r="F586" s="29" t="str">
        <f ca="1">IF(C586&lt;&gt;"",IF(OR(VLOOKUP(C586,$C$3:$L$6,5,0)=Variables!$B$5,B586&gt;VLOOKUP(C586,$C$3:$L$6,8,0)),-D586*VLOOKUP(C586,$C$3:$L$6,6,0)/12,0),"")</f>
        <v/>
      </c>
      <c r="G586" s="29" t="str">
        <f ca="1">IF(I586&lt;&gt;Variables!$B$1,IF(C586&lt;&gt;"",$I$9-E586-F586,""),-D586)</f>
        <v/>
      </c>
      <c r="H586" s="29" t="str">
        <f t="shared" ca="1" si="56"/>
        <v/>
      </c>
      <c r="I586" s="31" t="str">
        <f ca="1">IF(C586&lt;&gt;"",IF(D586+$I$9-E586-F586&gt;=0,IF(ISERROR(INDEX($C$3:$C$6,MATCH(C586,$C$3:$C$6,0)+1,0)),Variables!$B$1,INDEX($C$3:$C$6,MATCH(C586,$C$3:$C$6,0)+1,0)),""),"")</f>
        <v/>
      </c>
      <c r="J586" s="29" t="str">
        <f ca="1">IF(ISERROR(VLOOKUP(I586,$C$3:$L$6,5,0)),"",IF(OR(VLOOKUP(I586,$C$3:$L$6,5,0)=Variables!$B$5,B586&gt;VLOOKUP(I586,$C$3:$L$6,8,0)),IF(VLOOKUP(I586,$C$3:$L$6,5,0)=Variables!$B$5,((YEAR(B586)-YEAR($B$12))*12+MONTH(B586)-MONTH($B$12)),((YEAR(B586)-YEAR(VLOOKUP(I586,$C$3:$L$6,8,0)))*12+MONTH(B586)-MONTH(VLOOKUP(I586,$C$3:$L$6,8,0))))*(VLOOKUP(I586,$C$3:$L$6,10,0)*VLOOKUP(I586,$C$3:$L$6,6,0)/12),0))</f>
        <v/>
      </c>
      <c r="K586" s="29" t="str">
        <f ca="1">IF(C586&lt;&gt;"",IF(I586&lt;&gt;"",IF(ISERROR(VLOOKUP(I586,$C$3:$L$6,10,0)),"",VLOOKUP(I586,$C$3:$L$6,10,0)+J586+IF(OR(VLOOKUP(I586,$C$3:$L$6,5,0)=Variables!$B$5,B586&gt;VLOOKUP(I586,$C$3:$L$6,8,0)),IF(VLOOKUP(I586,$C$3:$L$6,5,0)=Variables!$B$5,((YEAR(B586)-YEAR($B$12))*12+MONTH(B586)-MONTH($B$12)),((YEAR(B586)-YEAR(VLOOKUP(I586,$C$3:$L$6,8,0)))*12+MONTH(B586)-MONTH(VLOOKUP(I586,$C$3:$L$6,8,0))))*VLOOKUP(I586,$C$3:$L$6,7,0),0)),""),"")</f>
        <v/>
      </c>
      <c r="L586" s="29" t="str">
        <f t="shared" ca="1" si="54"/>
        <v/>
      </c>
      <c r="M586" s="10"/>
      <c r="N586" s="10"/>
    </row>
    <row r="587" spans="1:14" x14ac:dyDescent="0.25">
      <c r="A587" s="10"/>
      <c r="B587" s="14" t="str">
        <f t="shared" ca="1" si="55"/>
        <v/>
      </c>
      <c r="C587" s="14" t="str">
        <f ca="1">IF(I586&lt;&gt;Variables!$B$1,IF(H586&lt;&gt;0,C586,I586),"")</f>
        <v/>
      </c>
      <c r="D587" s="29" t="str">
        <f t="shared" ca="1" si="52"/>
        <v/>
      </c>
      <c r="E587" s="29" t="str">
        <f t="shared" ca="1" si="53"/>
        <v/>
      </c>
      <c r="F587" s="29" t="str">
        <f ca="1">IF(C587&lt;&gt;"",IF(OR(VLOOKUP(C587,$C$3:$L$6,5,0)=Variables!$B$5,B587&gt;VLOOKUP(C587,$C$3:$L$6,8,0)),-D587*VLOOKUP(C587,$C$3:$L$6,6,0)/12,0),"")</f>
        <v/>
      </c>
      <c r="G587" s="29" t="str">
        <f ca="1">IF(I587&lt;&gt;Variables!$B$1,IF(C587&lt;&gt;"",$I$9-E587-F587,""),-D587)</f>
        <v/>
      </c>
      <c r="H587" s="29" t="str">
        <f t="shared" ca="1" si="56"/>
        <v/>
      </c>
      <c r="I587" s="31" t="str">
        <f ca="1">IF(C587&lt;&gt;"",IF(D587+$I$9-E587-F587&gt;=0,IF(ISERROR(INDEX($C$3:$C$6,MATCH(C587,$C$3:$C$6,0)+1,0)),Variables!$B$1,INDEX($C$3:$C$6,MATCH(C587,$C$3:$C$6,0)+1,0)),""),"")</f>
        <v/>
      </c>
      <c r="J587" s="29" t="str">
        <f ca="1">IF(ISERROR(VLOOKUP(I587,$C$3:$L$6,5,0)),"",IF(OR(VLOOKUP(I587,$C$3:$L$6,5,0)=Variables!$B$5,B587&gt;VLOOKUP(I587,$C$3:$L$6,8,0)),IF(VLOOKUP(I587,$C$3:$L$6,5,0)=Variables!$B$5,((YEAR(B587)-YEAR($B$12))*12+MONTH(B587)-MONTH($B$12)),((YEAR(B587)-YEAR(VLOOKUP(I587,$C$3:$L$6,8,0)))*12+MONTH(B587)-MONTH(VLOOKUP(I587,$C$3:$L$6,8,0))))*(VLOOKUP(I587,$C$3:$L$6,10,0)*VLOOKUP(I587,$C$3:$L$6,6,0)/12),0))</f>
        <v/>
      </c>
      <c r="K587" s="29" t="str">
        <f ca="1">IF(C587&lt;&gt;"",IF(I587&lt;&gt;"",IF(ISERROR(VLOOKUP(I587,$C$3:$L$6,10,0)),"",VLOOKUP(I587,$C$3:$L$6,10,0)+J587+IF(OR(VLOOKUP(I587,$C$3:$L$6,5,0)=Variables!$B$5,B587&gt;VLOOKUP(I587,$C$3:$L$6,8,0)),IF(VLOOKUP(I587,$C$3:$L$6,5,0)=Variables!$B$5,((YEAR(B587)-YEAR($B$12))*12+MONTH(B587)-MONTH($B$12)),((YEAR(B587)-YEAR(VLOOKUP(I587,$C$3:$L$6,8,0)))*12+MONTH(B587)-MONTH(VLOOKUP(I587,$C$3:$L$6,8,0))))*VLOOKUP(I587,$C$3:$L$6,7,0),0)),""),"")</f>
        <v/>
      </c>
      <c r="L587" s="29" t="str">
        <f t="shared" ca="1" si="54"/>
        <v/>
      </c>
      <c r="M587" s="10"/>
      <c r="N587" s="10"/>
    </row>
    <row r="588" spans="1:14" x14ac:dyDescent="0.25">
      <c r="A588" s="10"/>
      <c r="B588" s="14" t="str">
        <f t="shared" ca="1" si="55"/>
        <v/>
      </c>
      <c r="C588" s="14" t="str">
        <f ca="1">IF(I587&lt;&gt;Variables!$B$1,IF(H587&lt;&gt;0,C587,I587),"")</f>
        <v/>
      </c>
      <c r="D588" s="29" t="str">
        <f t="shared" ca="1" si="52"/>
        <v/>
      </c>
      <c r="E588" s="29" t="str">
        <f t="shared" ca="1" si="53"/>
        <v/>
      </c>
      <c r="F588" s="29" t="str">
        <f ca="1">IF(C588&lt;&gt;"",IF(OR(VLOOKUP(C588,$C$3:$L$6,5,0)=Variables!$B$5,B588&gt;VLOOKUP(C588,$C$3:$L$6,8,0)),-D588*VLOOKUP(C588,$C$3:$L$6,6,0)/12,0),"")</f>
        <v/>
      </c>
      <c r="G588" s="29" t="str">
        <f ca="1">IF(I588&lt;&gt;Variables!$B$1,IF(C588&lt;&gt;"",$I$9-E588-F588,""),-D588)</f>
        <v/>
      </c>
      <c r="H588" s="29" t="str">
        <f t="shared" ca="1" si="56"/>
        <v/>
      </c>
      <c r="I588" s="31" t="str">
        <f ca="1">IF(C588&lt;&gt;"",IF(D588+$I$9-E588-F588&gt;=0,IF(ISERROR(INDEX($C$3:$C$6,MATCH(C588,$C$3:$C$6,0)+1,0)),Variables!$B$1,INDEX($C$3:$C$6,MATCH(C588,$C$3:$C$6,0)+1,0)),""),"")</f>
        <v/>
      </c>
      <c r="J588" s="29" t="str">
        <f ca="1">IF(ISERROR(VLOOKUP(I588,$C$3:$L$6,5,0)),"",IF(OR(VLOOKUP(I588,$C$3:$L$6,5,0)=Variables!$B$5,B588&gt;VLOOKUP(I588,$C$3:$L$6,8,0)),IF(VLOOKUP(I588,$C$3:$L$6,5,0)=Variables!$B$5,((YEAR(B588)-YEAR($B$12))*12+MONTH(B588)-MONTH($B$12)),((YEAR(B588)-YEAR(VLOOKUP(I588,$C$3:$L$6,8,0)))*12+MONTH(B588)-MONTH(VLOOKUP(I588,$C$3:$L$6,8,0))))*(VLOOKUP(I588,$C$3:$L$6,10,0)*VLOOKUP(I588,$C$3:$L$6,6,0)/12),0))</f>
        <v/>
      </c>
      <c r="K588" s="29" t="str">
        <f ca="1">IF(C588&lt;&gt;"",IF(I588&lt;&gt;"",IF(ISERROR(VLOOKUP(I588,$C$3:$L$6,10,0)),"",VLOOKUP(I588,$C$3:$L$6,10,0)+J588+IF(OR(VLOOKUP(I588,$C$3:$L$6,5,0)=Variables!$B$5,B588&gt;VLOOKUP(I588,$C$3:$L$6,8,0)),IF(VLOOKUP(I588,$C$3:$L$6,5,0)=Variables!$B$5,((YEAR(B588)-YEAR($B$12))*12+MONTH(B588)-MONTH($B$12)),((YEAR(B588)-YEAR(VLOOKUP(I588,$C$3:$L$6,8,0)))*12+MONTH(B588)-MONTH(VLOOKUP(I588,$C$3:$L$6,8,0))))*VLOOKUP(I588,$C$3:$L$6,7,0),0)),""),"")</f>
        <v/>
      </c>
      <c r="L588" s="29" t="str">
        <f t="shared" ca="1" si="54"/>
        <v/>
      </c>
      <c r="M588" s="10"/>
      <c r="N588" s="10"/>
    </row>
    <row r="589" spans="1:14" x14ac:dyDescent="0.25">
      <c r="A589" s="10"/>
      <c r="B589" s="14" t="str">
        <f t="shared" ca="1" si="55"/>
        <v/>
      </c>
      <c r="C589" s="14" t="str">
        <f ca="1">IF(I588&lt;&gt;Variables!$B$1,IF(H588&lt;&gt;0,C588,I588),"")</f>
        <v/>
      </c>
      <c r="D589" s="29" t="str">
        <f t="shared" ca="1" si="52"/>
        <v/>
      </c>
      <c r="E589" s="29" t="str">
        <f t="shared" ca="1" si="53"/>
        <v/>
      </c>
      <c r="F589" s="29" t="str">
        <f ca="1">IF(C589&lt;&gt;"",IF(OR(VLOOKUP(C589,$C$3:$L$6,5,0)=Variables!$B$5,B589&gt;VLOOKUP(C589,$C$3:$L$6,8,0)),-D589*VLOOKUP(C589,$C$3:$L$6,6,0)/12,0),"")</f>
        <v/>
      </c>
      <c r="G589" s="29" t="str">
        <f ca="1">IF(I589&lt;&gt;Variables!$B$1,IF(C589&lt;&gt;"",$I$9-E589-F589,""),-D589)</f>
        <v/>
      </c>
      <c r="H589" s="29" t="str">
        <f t="shared" ca="1" si="56"/>
        <v/>
      </c>
      <c r="I589" s="31" t="str">
        <f ca="1">IF(C589&lt;&gt;"",IF(D589+$I$9-E589-F589&gt;=0,IF(ISERROR(INDEX($C$3:$C$6,MATCH(C589,$C$3:$C$6,0)+1,0)),Variables!$B$1,INDEX($C$3:$C$6,MATCH(C589,$C$3:$C$6,0)+1,0)),""),"")</f>
        <v/>
      </c>
      <c r="J589" s="29" t="str">
        <f ca="1">IF(ISERROR(VLOOKUP(I589,$C$3:$L$6,5,0)),"",IF(OR(VLOOKUP(I589,$C$3:$L$6,5,0)=Variables!$B$5,B589&gt;VLOOKUP(I589,$C$3:$L$6,8,0)),IF(VLOOKUP(I589,$C$3:$L$6,5,0)=Variables!$B$5,((YEAR(B589)-YEAR($B$12))*12+MONTH(B589)-MONTH($B$12)),((YEAR(B589)-YEAR(VLOOKUP(I589,$C$3:$L$6,8,0)))*12+MONTH(B589)-MONTH(VLOOKUP(I589,$C$3:$L$6,8,0))))*(VLOOKUP(I589,$C$3:$L$6,10,0)*VLOOKUP(I589,$C$3:$L$6,6,0)/12),0))</f>
        <v/>
      </c>
      <c r="K589" s="29" t="str">
        <f ca="1">IF(C589&lt;&gt;"",IF(I589&lt;&gt;"",IF(ISERROR(VLOOKUP(I589,$C$3:$L$6,10,0)),"",VLOOKUP(I589,$C$3:$L$6,10,0)+J589+IF(OR(VLOOKUP(I589,$C$3:$L$6,5,0)=Variables!$B$5,B589&gt;VLOOKUP(I589,$C$3:$L$6,8,0)),IF(VLOOKUP(I589,$C$3:$L$6,5,0)=Variables!$B$5,((YEAR(B589)-YEAR($B$12))*12+MONTH(B589)-MONTH($B$12)),((YEAR(B589)-YEAR(VLOOKUP(I589,$C$3:$L$6,8,0)))*12+MONTH(B589)-MONTH(VLOOKUP(I589,$C$3:$L$6,8,0))))*VLOOKUP(I589,$C$3:$L$6,7,0),0)),""),"")</f>
        <v/>
      </c>
      <c r="L589" s="29" t="str">
        <f t="shared" ca="1" si="54"/>
        <v/>
      </c>
      <c r="M589" s="10"/>
      <c r="N589" s="10"/>
    </row>
    <row r="590" spans="1:14" x14ac:dyDescent="0.25">
      <c r="A590" s="10"/>
      <c r="B590" s="14" t="str">
        <f t="shared" ca="1" si="55"/>
        <v/>
      </c>
      <c r="C590" s="14" t="str">
        <f ca="1">IF(I589&lt;&gt;Variables!$B$1,IF(H589&lt;&gt;0,C589,I589),"")</f>
        <v/>
      </c>
      <c r="D590" s="29" t="str">
        <f t="shared" ca="1" si="52"/>
        <v/>
      </c>
      <c r="E590" s="29" t="str">
        <f t="shared" ca="1" si="53"/>
        <v/>
      </c>
      <c r="F590" s="29" t="str">
        <f ca="1">IF(C590&lt;&gt;"",IF(OR(VLOOKUP(C590,$C$3:$L$6,5,0)=Variables!$B$5,B590&gt;VLOOKUP(C590,$C$3:$L$6,8,0)),-D590*VLOOKUP(C590,$C$3:$L$6,6,0)/12,0),"")</f>
        <v/>
      </c>
      <c r="G590" s="29" t="str">
        <f ca="1">IF(I590&lt;&gt;Variables!$B$1,IF(C590&lt;&gt;"",$I$9-E590-F590,""),-D590)</f>
        <v/>
      </c>
      <c r="H590" s="29" t="str">
        <f t="shared" ca="1" si="56"/>
        <v/>
      </c>
      <c r="I590" s="31" t="str">
        <f ca="1">IF(C590&lt;&gt;"",IF(D590+$I$9-E590-F590&gt;=0,IF(ISERROR(INDEX($C$3:$C$6,MATCH(C590,$C$3:$C$6,0)+1,0)),Variables!$B$1,INDEX($C$3:$C$6,MATCH(C590,$C$3:$C$6,0)+1,0)),""),"")</f>
        <v/>
      </c>
      <c r="J590" s="29" t="str">
        <f ca="1">IF(ISERROR(VLOOKUP(I590,$C$3:$L$6,5,0)),"",IF(OR(VLOOKUP(I590,$C$3:$L$6,5,0)=Variables!$B$5,B590&gt;VLOOKUP(I590,$C$3:$L$6,8,0)),IF(VLOOKUP(I590,$C$3:$L$6,5,0)=Variables!$B$5,((YEAR(B590)-YEAR($B$12))*12+MONTH(B590)-MONTH($B$12)),((YEAR(B590)-YEAR(VLOOKUP(I590,$C$3:$L$6,8,0)))*12+MONTH(B590)-MONTH(VLOOKUP(I590,$C$3:$L$6,8,0))))*(VLOOKUP(I590,$C$3:$L$6,10,0)*VLOOKUP(I590,$C$3:$L$6,6,0)/12),0))</f>
        <v/>
      </c>
      <c r="K590" s="29" t="str">
        <f ca="1">IF(C590&lt;&gt;"",IF(I590&lt;&gt;"",IF(ISERROR(VLOOKUP(I590,$C$3:$L$6,10,0)),"",VLOOKUP(I590,$C$3:$L$6,10,0)+J590+IF(OR(VLOOKUP(I590,$C$3:$L$6,5,0)=Variables!$B$5,B590&gt;VLOOKUP(I590,$C$3:$L$6,8,0)),IF(VLOOKUP(I590,$C$3:$L$6,5,0)=Variables!$B$5,((YEAR(B590)-YEAR($B$12))*12+MONTH(B590)-MONTH($B$12)),((YEAR(B590)-YEAR(VLOOKUP(I590,$C$3:$L$6,8,0)))*12+MONTH(B590)-MONTH(VLOOKUP(I590,$C$3:$L$6,8,0))))*VLOOKUP(I590,$C$3:$L$6,7,0),0)),""),"")</f>
        <v/>
      </c>
      <c r="L590" s="29" t="str">
        <f t="shared" ca="1" si="54"/>
        <v/>
      </c>
      <c r="M590" s="10"/>
      <c r="N590" s="10"/>
    </row>
    <row r="591" spans="1:14" x14ac:dyDescent="0.25">
      <c r="A591" s="10"/>
      <c r="B591" s="14" t="str">
        <f t="shared" ca="1" si="55"/>
        <v/>
      </c>
      <c r="C591" s="14" t="str">
        <f ca="1">IF(I590&lt;&gt;Variables!$B$1,IF(H590&lt;&gt;0,C590,I590),"")</f>
        <v/>
      </c>
      <c r="D591" s="29" t="str">
        <f t="shared" ca="1" si="52"/>
        <v/>
      </c>
      <c r="E591" s="29" t="str">
        <f t="shared" ca="1" si="53"/>
        <v/>
      </c>
      <c r="F591" s="29" t="str">
        <f ca="1">IF(C591&lt;&gt;"",IF(OR(VLOOKUP(C591,$C$3:$L$6,5,0)=Variables!$B$5,B591&gt;VLOOKUP(C591,$C$3:$L$6,8,0)),-D591*VLOOKUP(C591,$C$3:$L$6,6,0)/12,0),"")</f>
        <v/>
      </c>
      <c r="G591" s="29" t="str">
        <f ca="1">IF(I591&lt;&gt;Variables!$B$1,IF(C591&lt;&gt;"",$I$9-E591-F591,""),-D591)</f>
        <v/>
      </c>
      <c r="H591" s="29" t="str">
        <f t="shared" ca="1" si="56"/>
        <v/>
      </c>
      <c r="I591" s="31" t="str">
        <f ca="1">IF(C591&lt;&gt;"",IF(D591+$I$9-E591-F591&gt;=0,IF(ISERROR(INDEX($C$3:$C$6,MATCH(C591,$C$3:$C$6,0)+1,0)),Variables!$B$1,INDEX($C$3:$C$6,MATCH(C591,$C$3:$C$6,0)+1,0)),""),"")</f>
        <v/>
      </c>
      <c r="J591" s="29" t="str">
        <f ca="1">IF(ISERROR(VLOOKUP(I591,$C$3:$L$6,5,0)),"",IF(OR(VLOOKUP(I591,$C$3:$L$6,5,0)=Variables!$B$5,B591&gt;VLOOKUP(I591,$C$3:$L$6,8,0)),IF(VLOOKUP(I591,$C$3:$L$6,5,0)=Variables!$B$5,((YEAR(B591)-YEAR($B$12))*12+MONTH(B591)-MONTH($B$12)),((YEAR(B591)-YEAR(VLOOKUP(I591,$C$3:$L$6,8,0)))*12+MONTH(B591)-MONTH(VLOOKUP(I591,$C$3:$L$6,8,0))))*(VLOOKUP(I591,$C$3:$L$6,10,0)*VLOOKUP(I591,$C$3:$L$6,6,0)/12),0))</f>
        <v/>
      </c>
      <c r="K591" s="29" t="str">
        <f ca="1">IF(C591&lt;&gt;"",IF(I591&lt;&gt;"",IF(ISERROR(VLOOKUP(I591,$C$3:$L$6,10,0)),"",VLOOKUP(I591,$C$3:$L$6,10,0)+J591+IF(OR(VLOOKUP(I591,$C$3:$L$6,5,0)=Variables!$B$5,B591&gt;VLOOKUP(I591,$C$3:$L$6,8,0)),IF(VLOOKUP(I591,$C$3:$L$6,5,0)=Variables!$B$5,((YEAR(B591)-YEAR($B$12))*12+MONTH(B591)-MONTH($B$12)),((YEAR(B591)-YEAR(VLOOKUP(I591,$C$3:$L$6,8,0)))*12+MONTH(B591)-MONTH(VLOOKUP(I591,$C$3:$L$6,8,0))))*VLOOKUP(I591,$C$3:$L$6,7,0),0)),""),"")</f>
        <v/>
      </c>
      <c r="L591" s="29" t="str">
        <f t="shared" ca="1" si="54"/>
        <v/>
      </c>
      <c r="M591" s="10"/>
      <c r="N591" s="10"/>
    </row>
    <row r="592" spans="1:14" x14ac:dyDescent="0.25">
      <c r="A592" s="10"/>
      <c r="B592" s="14" t="str">
        <f t="shared" ca="1" si="55"/>
        <v/>
      </c>
      <c r="C592" s="14" t="str">
        <f ca="1">IF(I591&lt;&gt;Variables!$B$1,IF(H591&lt;&gt;0,C591,I591),"")</f>
        <v/>
      </c>
      <c r="D592" s="29" t="str">
        <f t="shared" ca="1" si="52"/>
        <v/>
      </c>
      <c r="E592" s="29" t="str">
        <f t="shared" ca="1" si="53"/>
        <v/>
      </c>
      <c r="F592" s="29" t="str">
        <f ca="1">IF(C592&lt;&gt;"",IF(OR(VLOOKUP(C592,$C$3:$L$6,5,0)=Variables!$B$5,B592&gt;VLOOKUP(C592,$C$3:$L$6,8,0)),-D592*VLOOKUP(C592,$C$3:$L$6,6,0)/12,0),"")</f>
        <v/>
      </c>
      <c r="G592" s="29" t="str">
        <f ca="1">IF(I592&lt;&gt;Variables!$B$1,IF(C592&lt;&gt;"",$I$9-E592-F592,""),-D592)</f>
        <v/>
      </c>
      <c r="H592" s="29" t="str">
        <f t="shared" ca="1" si="56"/>
        <v/>
      </c>
      <c r="I592" s="31" t="str">
        <f ca="1">IF(C592&lt;&gt;"",IF(D592+$I$9-E592-F592&gt;=0,IF(ISERROR(INDEX($C$3:$C$6,MATCH(C592,$C$3:$C$6,0)+1,0)),Variables!$B$1,INDEX($C$3:$C$6,MATCH(C592,$C$3:$C$6,0)+1,0)),""),"")</f>
        <v/>
      </c>
      <c r="J592" s="29" t="str">
        <f ca="1">IF(ISERROR(VLOOKUP(I592,$C$3:$L$6,5,0)),"",IF(OR(VLOOKUP(I592,$C$3:$L$6,5,0)=Variables!$B$5,B592&gt;VLOOKUP(I592,$C$3:$L$6,8,0)),IF(VLOOKUP(I592,$C$3:$L$6,5,0)=Variables!$B$5,((YEAR(B592)-YEAR($B$12))*12+MONTH(B592)-MONTH($B$12)),((YEAR(B592)-YEAR(VLOOKUP(I592,$C$3:$L$6,8,0)))*12+MONTH(B592)-MONTH(VLOOKUP(I592,$C$3:$L$6,8,0))))*(VLOOKUP(I592,$C$3:$L$6,10,0)*VLOOKUP(I592,$C$3:$L$6,6,0)/12),0))</f>
        <v/>
      </c>
      <c r="K592" s="29" t="str">
        <f ca="1">IF(C592&lt;&gt;"",IF(I592&lt;&gt;"",IF(ISERROR(VLOOKUP(I592,$C$3:$L$6,10,0)),"",VLOOKUP(I592,$C$3:$L$6,10,0)+J592+IF(OR(VLOOKUP(I592,$C$3:$L$6,5,0)=Variables!$B$5,B592&gt;VLOOKUP(I592,$C$3:$L$6,8,0)),IF(VLOOKUP(I592,$C$3:$L$6,5,0)=Variables!$B$5,((YEAR(B592)-YEAR($B$12))*12+MONTH(B592)-MONTH($B$12)),((YEAR(B592)-YEAR(VLOOKUP(I592,$C$3:$L$6,8,0)))*12+MONTH(B592)-MONTH(VLOOKUP(I592,$C$3:$L$6,8,0))))*VLOOKUP(I592,$C$3:$L$6,7,0),0)),""),"")</f>
        <v/>
      </c>
      <c r="L592" s="29" t="str">
        <f t="shared" ca="1" si="54"/>
        <v/>
      </c>
      <c r="M592" s="10"/>
      <c r="N592" s="10"/>
    </row>
    <row r="593" spans="1:14" x14ac:dyDescent="0.25">
      <c r="A593" s="10"/>
      <c r="B593" s="14" t="str">
        <f t="shared" ca="1" si="55"/>
        <v/>
      </c>
      <c r="C593" s="14" t="str">
        <f ca="1">IF(I592&lt;&gt;Variables!$B$1,IF(H592&lt;&gt;0,C592,I592),"")</f>
        <v/>
      </c>
      <c r="D593" s="29" t="str">
        <f t="shared" ca="1" si="52"/>
        <v/>
      </c>
      <c r="E593" s="29" t="str">
        <f t="shared" ca="1" si="53"/>
        <v/>
      </c>
      <c r="F593" s="29" t="str">
        <f ca="1">IF(C593&lt;&gt;"",IF(OR(VLOOKUP(C593,$C$3:$L$6,5,0)=Variables!$B$5,B593&gt;VLOOKUP(C593,$C$3:$L$6,8,0)),-D593*VLOOKUP(C593,$C$3:$L$6,6,0)/12,0),"")</f>
        <v/>
      </c>
      <c r="G593" s="29" t="str">
        <f ca="1">IF(I593&lt;&gt;Variables!$B$1,IF(C593&lt;&gt;"",$I$9-E593-F593,""),-D593)</f>
        <v/>
      </c>
      <c r="H593" s="29" t="str">
        <f t="shared" ca="1" si="56"/>
        <v/>
      </c>
      <c r="I593" s="31" t="str">
        <f ca="1">IF(C593&lt;&gt;"",IF(D593+$I$9-E593-F593&gt;=0,IF(ISERROR(INDEX($C$3:$C$6,MATCH(C593,$C$3:$C$6,0)+1,0)),Variables!$B$1,INDEX($C$3:$C$6,MATCH(C593,$C$3:$C$6,0)+1,0)),""),"")</f>
        <v/>
      </c>
      <c r="J593" s="29" t="str">
        <f ca="1">IF(ISERROR(VLOOKUP(I593,$C$3:$L$6,5,0)),"",IF(OR(VLOOKUP(I593,$C$3:$L$6,5,0)=Variables!$B$5,B593&gt;VLOOKUP(I593,$C$3:$L$6,8,0)),IF(VLOOKUP(I593,$C$3:$L$6,5,0)=Variables!$B$5,((YEAR(B593)-YEAR($B$12))*12+MONTH(B593)-MONTH($B$12)),((YEAR(B593)-YEAR(VLOOKUP(I593,$C$3:$L$6,8,0)))*12+MONTH(B593)-MONTH(VLOOKUP(I593,$C$3:$L$6,8,0))))*(VLOOKUP(I593,$C$3:$L$6,10,0)*VLOOKUP(I593,$C$3:$L$6,6,0)/12),0))</f>
        <v/>
      </c>
      <c r="K593" s="29" t="str">
        <f ca="1">IF(C593&lt;&gt;"",IF(I593&lt;&gt;"",IF(ISERROR(VLOOKUP(I593,$C$3:$L$6,10,0)),"",VLOOKUP(I593,$C$3:$L$6,10,0)+J593+IF(OR(VLOOKUP(I593,$C$3:$L$6,5,0)=Variables!$B$5,B593&gt;VLOOKUP(I593,$C$3:$L$6,8,0)),IF(VLOOKUP(I593,$C$3:$L$6,5,0)=Variables!$B$5,((YEAR(B593)-YEAR($B$12))*12+MONTH(B593)-MONTH($B$12)),((YEAR(B593)-YEAR(VLOOKUP(I593,$C$3:$L$6,8,0)))*12+MONTH(B593)-MONTH(VLOOKUP(I593,$C$3:$L$6,8,0))))*VLOOKUP(I593,$C$3:$L$6,7,0),0)),""),"")</f>
        <v/>
      </c>
      <c r="L593" s="29" t="str">
        <f t="shared" ca="1" si="54"/>
        <v/>
      </c>
      <c r="M593" s="10"/>
      <c r="N593" s="10"/>
    </row>
    <row r="594" spans="1:14" x14ac:dyDescent="0.25">
      <c r="A594" s="10"/>
      <c r="B594" s="14" t="str">
        <f t="shared" ca="1" si="55"/>
        <v/>
      </c>
      <c r="C594" s="14" t="str">
        <f ca="1">IF(I593&lt;&gt;Variables!$B$1,IF(H593&lt;&gt;0,C593,I593),"")</f>
        <v/>
      </c>
      <c r="D594" s="29" t="str">
        <f t="shared" ca="1" si="52"/>
        <v/>
      </c>
      <c r="E594" s="29" t="str">
        <f t="shared" ca="1" si="53"/>
        <v/>
      </c>
      <c r="F594" s="29" t="str">
        <f ca="1">IF(C594&lt;&gt;"",IF(OR(VLOOKUP(C594,$C$3:$L$6,5,0)=Variables!$B$5,B594&gt;VLOOKUP(C594,$C$3:$L$6,8,0)),-D594*VLOOKUP(C594,$C$3:$L$6,6,0)/12,0),"")</f>
        <v/>
      </c>
      <c r="G594" s="29" t="str">
        <f ca="1">IF(I594&lt;&gt;Variables!$B$1,IF(C594&lt;&gt;"",$I$9-E594-F594,""),-D594)</f>
        <v/>
      </c>
      <c r="H594" s="29" t="str">
        <f t="shared" ca="1" si="56"/>
        <v/>
      </c>
      <c r="I594" s="31" t="str">
        <f ca="1">IF(C594&lt;&gt;"",IF(D594+$I$9-E594-F594&gt;=0,IF(ISERROR(INDEX($C$3:$C$6,MATCH(C594,$C$3:$C$6,0)+1,0)),Variables!$B$1,INDEX($C$3:$C$6,MATCH(C594,$C$3:$C$6,0)+1,0)),""),"")</f>
        <v/>
      </c>
      <c r="J594" s="29" t="str">
        <f ca="1">IF(ISERROR(VLOOKUP(I594,$C$3:$L$6,5,0)),"",IF(OR(VLOOKUP(I594,$C$3:$L$6,5,0)=Variables!$B$5,B594&gt;VLOOKUP(I594,$C$3:$L$6,8,0)),IF(VLOOKUP(I594,$C$3:$L$6,5,0)=Variables!$B$5,((YEAR(B594)-YEAR($B$12))*12+MONTH(B594)-MONTH($B$12)),((YEAR(B594)-YEAR(VLOOKUP(I594,$C$3:$L$6,8,0)))*12+MONTH(B594)-MONTH(VLOOKUP(I594,$C$3:$L$6,8,0))))*(VLOOKUP(I594,$C$3:$L$6,10,0)*VLOOKUP(I594,$C$3:$L$6,6,0)/12),0))</f>
        <v/>
      </c>
      <c r="K594" s="29" t="str">
        <f ca="1">IF(C594&lt;&gt;"",IF(I594&lt;&gt;"",IF(ISERROR(VLOOKUP(I594,$C$3:$L$6,10,0)),"",VLOOKUP(I594,$C$3:$L$6,10,0)+J594+IF(OR(VLOOKUP(I594,$C$3:$L$6,5,0)=Variables!$B$5,B594&gt;VLOOKUP(I594,$C$3:$L$6,8,0)),IF(VLOOKUP(I594,$C$3:$L$6,5,0)=Variables!$B$5,((YEAR(B594)-YEAR($B$12))*12+MONTH(B594)-MONTH($B$12)),((YEAR(B594)-YEAR(VLOOKUP(I594,$C$3:$L$6,8,0)))*12+MONTH(B594)-MONTH(VLOOKUP(I594,$C$3:$L$6,8,0))))*VLOOKUP(I594,$C$3:$L$6,7,0),0)),""),"")</f>
        <v/>
      </c>
      <c r="L594" s="29" t="str">
        <f t="shared" ca="1" si="54"/>
        <v/>
      </c>
      <c r="M594" s="10"/>
      <c r="N594" s="10"/>
    </row>
    <row r="595" spans="1:14" x14ac:dyDescent="0.25">
      <c r="A595" s="10"/>
      <c r="B595" s="14" t="str">
        <f t="shared" ca="1" si="55"/>
        <v/>
      </c>
      <c r="C595" s="14" t="str">
        <f ca="1">IF(I594&lt;&gt;Variables!$B$1,IF(H594&lt;&gt;0,C594,I594),"")</f>
        <v/>
      </c>
      <c r="D595" s="29" t="str">
        <f t="shared" ca="1" si="52"/>
        <v/>
      </c>
      <c r="E595" s="29" t="str">
        <f t="shared" ca="1" si="53"/>
        <v/>
      </c>
      <c r="F595" s="29" t="str">
        <f ca="1">IF(C595&lt;&gt;"",IF(OR(VLOOKUP(C595,$C$3:$L$6,5,0)=Variables!$B$5,B595&gt;VLOOKUP(C595,$C$3:$L$6,8,0)),-D595*VLOOKUP(C595,$C$3:$L$6,6,0)/12,0),"")</f>
        <v/>
      </c>
      <c r="G595" s="29" t="str">
        <f ca="1">IF(I595&lt;&gt;Variables!$B$1,IF(C595&lt;&gt;"",$I$9-E595-F595,""),-D595)</f>
        <v/>
      </c>
      <c r="H595" s="29" t="str">
        <f t="shared" ca="1" si="56"/>
        <v/>
      </c>
      <c r="I595" s="31" t="str">
        <f ca="1">IF(C595&lt;&gt;"",IF(D595+$I$9-E595-F595&gt;=0,IF(ISERROR(INDEX($C$3:$C$6,MATCH(C595,$C$3:$C$6,0)+1,0)),Variables!$B$1,INDEX($C$3:$C$6,MATCH(C595,$C$3:$C$6,0)+1,0)),""),"")</f>
        <v/>
      </c>
      <c r="J595" s="29" t="str">
        <f ca="1">IF(ISERROR(VLOOKUP(I595,$C$3:$L$6,5,0)),"",IF(OR(VLOOKUP(I595,$C$3:$L$6,5,0)=Variables!$B$5,B595&gt;VLOOKUP(I595,$C$3:$L$6,8,0)),IF(VLOOKUP(I595,$C$3:$L$6,5,0)=Variables!$B$5,((YEAR(B595)-YEAR($B$12))*12+MONTH(B595)-MONTH($B$12)),((YEAR(B595)-YEAR(VLOOKUP(I595,$C$3:$L$6,8,0)))*12+MONTH(B595)-MONTH(VLOOKUP(I595,$C$3:$L$6,8,0))))*(VLOOKUP(I595,$C$3:$L$6,10,0)*VLOOKUP(I595,$C$3:$L$6,6,0)/12),0))</f>
        <v/>
      </c>
      <c r="K595" s="29" t="str">
        <f ca="1">IF(C595&lt;&gt;"",IF(I595&lt;&gt;"",IF(ISERROR(VLOOKUP(I595,$C$3:$L$6,10,0)),"",VLOOKUP(I595,$C$3:$L$6,10,0)+J595+IF(OR(VLOOKUP(I595,$C$3:$L$6,5,0)=Variables!$B$5,B595&gt;VLOOKUP(I595,$C$3:$L$6,8,0)),IF(VLOOKUP(I595,$C$3:$L$6,5,0)=Variables!$B$5,((YEAR(B595)-YEAR($B$12))*12+MONTH(B595)-MONTH($B$12)),((YEAR(B595)-YEAR(VLOOKUP(I595,$C$3:$L$6,8,0)))*12+MONTH(B595)-MONTH(VLOOKUP(I595,$C$3:$L$6,8,0))))*VLOOKUP(I595,$C$3:$L$6,7,0),0)),""),"")</f>
        <v/>
      </c>
      <c r="L595" s="29" t="str">
        <f t="shared" ca="1" si="54"/>
        <v/>
      </c>
      <c r="M595" s="10"/>
      <c r="N595" s="10"/>
    </row>
    <row r="596" spans="1:14" x14ac:dyDescent="0.25">
      <c r="A596" s="10"/>
      <c r="B596" s="14" t="str">
        <f t="shared" ca="1" si="55"/>
        <v/>
      </c>
      <c r="C596" s="14" t="str">
        <f ca="1">IF(I595&lt;&gt;Variables!$B$1,IF(H595&lt;&gt;0,C595,I595),"")</f>
        <v/>
      </c>
      <c r="D596" s="29" t="str">
        <f t="shared" ca="1" si="52"/>
        <v/>
      </c>
      <c r="E596" s="29" t="str">
        <f t="shared" ca="1" si="53"/>
        <v/>
      </c>
      <c r="F596" s="29" t="str">
        <f ca="1">IF(C596&lt;&gt;"",IF(OR(VLOOKUP(C596,$C$3:$L$6,5,0)=Variables!$B$5,B596&gt;VLOOKUP(C596,$C$3:$L$6,8,0)),-D596*VLOOKUP(C596,$C$3:$L$6,6,0)/12,0),"")</f>
        <v/>
      </c>
      <c r="G596" s="29" t="str">
        <f ca="1">IF(I596&lt;&gt;Variables!$B$1,IF(C596&lt;&gt;"",$I$9-E596-F596,""),-D596)</f>
        <v/>
      </c>
      <c r="H596" s="29" t="str">
        <f t="shared" ca="1" si="56"/>
        <v/>
      </c>
      <c r="I596" s="31" t="str">
        <f ca="1">IF(C596&lt;&gt;"",IF(D596+$I$9-E596-F596&gt;=0,IF(ISERROR(INDEX($C$3:$C$6,MATCH(C596,$C$3:$C$6,0)+1,0)),Variables!$B$1,INDEX($C$3:$C$6,MATCH(C596,$C$3:$C$6,0)+1,0)),""),"")</f>
        <v/>
      </c>
      <c r="J596" s="29" t="str">
        <f ca="1">IF(ISERROR(VLOOKUP(I596,$C$3:$L$6,5,0)),"",IF(OR(VLOOKUP(I596,$C$3:$L$6,5,0)=Variables!$B$5,B596&gt;VLOOKUP(I596,$C$3:$L$6,8,0)),IF(VLOOKUP(I596,$C$3:$L$6,5,0)=Variables!$B$5,((YEAR(B596)-YEAR($B$12))*12+MONTH(B596)-MONTH($B$12)),((YEAR(B596)-YEAR(VLOOKUP(I596,$C$3:$L$6,8,0)))*12+MONTH(B596)-MONTH(VLOOKUP(I596,$C$3:$L$6,8,0))))*(VLOOKUP(I596,$C$3:$L$6,10,0)*VLOOKUP(I596,$C$3:$L$6,6,0)/12),0))</f>
        <v/>
      </c>
      <c r="K596" s="29" t="str">
        <f ca="1">IF(C596&lt;&gt;"",IF(I596&lt;&gt;"",IF(ISERROR(VLOOKUP(I596,$C$3:$L$6,10,0)),"",VLOOKUP(I596,$C$3:$L$6,10,0)+J596+IF(OR(VLOOKUP(I596,$C$3:$L$6,5,0)=Variables!$B$5,B596&gt;VLOOKUP(I596,$C$3:$L$6,8,0)),IF(VLOOKUP(I596,$C$3:$L$6,5,0)=Variables!$B$5,((YEAR(B596)-YEAR($B$12))*12+MONTH(B596)-MONTH($B$12)),((YEAR(B596)-YEAR(VLOOKUP(I596,$C$3:$L$6,8,0)))*12+MONTH(B596)-MONTH(VLOOKUP(I596,$C$3:$L$6,8,0))))*VLOOKUP(I596,$C$3:$L$6,7,0),0)),""),"")</f>
        <v/>
      </c>
      <c r="L596" s="29" t="str">
        <f t="shared" ca="1" si="54"/>
        <v/>
      </c>
      <c r="M596" s="10"/>
      <c r="N596" s="10"/>
    </row>
    <row r="597" spans="1:14" x14ac:dyDescent="0.25">
      <c r="A597" s="10"/>
      <c r="B597" s="14" t="str">
        <f t="shared" ca="1" si="55"/>
        <v/>
      </c>
      <c r="C597" s="14" t="str">
        <f ca="1">IF(I596&lt;&gt;Variables!$B$1,IF(H596&lt;&gt;0,C596,I596),"")</f>
        <v/>
      </c>
      <c r="D597" s="29" t="str">
        <f t="shared" ca="1" si="52"/>
        <v/>
      </c>
      <c r="E597" s="29" t="str">
        <f t="shared" ca="1" si="53"/>
        <v/>
      </c>
      <c r="F597" s="29" t="str">
        <f ca="1">IF(C597&lt;&gt;"",IF(OR(VLOOKUP(C597,$C$3:$L$6,5,0)=Variables!$B$5,B597&gt;VLOOKUP(C597,$C$3:$L$6,8,0)),-D597*VLOOKUP(C597,$C$3:$L$6,6,0)/12,0),"")</f>
        <v/>
      </c>
      <c r="G597" s="29" t="str">
        <f ca="1">IF(I597&lt;&gt;Variables!$B$1,IF(C597&lt;&gt;"",$I$9-E597-F597,""),-D597)</f>
        <v/>
      </c>
      <c r="H597" s="29" t="str">
        <f t="shared" ca="1" si="56"/>
        <v/>
      </c>
      <c r="I597" s="31" t="str">
        <f ca="1">IF(C597&lt;&gt;"",IF(D597+$I$9-E597-F597&gt;=0,IF(ISERROR(INDEX($C$3:$C$6,MATCH(C597,$C$3:$C$6,0)+1,0)),Variables!$B$1,INDEX($C$3:$C$6,MATCH(C597,$C$3:$C$6,0)+1,0)),""),"")</f>
        <v/>
      </c>
      <c r="J597" s="29" t="str">
        <f ca="1">IF(ISERROR(VLOOKUP(I597,$C$3:$L$6,5,0)),"",IF(OR(VLOOKUP(I597,$C$3:$L$6,5,0)=Variables!$B$5,B597&gt;VLOOKUP(I597,$C$3:$L$6,8,0)),IF(VLOOKUP(I597,$C$3:$L$6,5,0)=Variables!$B$5,((YEAR(B597)-YEAR($B$12))*12+MONTH(B597)-MONTH($B$12)),((YEAR(B597)-YEAR(VLOOKUP(I597,$C$3:$L$6,8,0)))*12+MONTH(B597)-MONTH(VLOOKUP(I597,$C$3:$L$6,8,0))))*(VLOOKUP(I597,$C$3:$L$6,10,0)*VLOOKUP(I597,$C$3:$L$6,6,0)/12),0))</f>
        <v/>
      </c>
      <c r="K597" s="29" t="str">
        <f ca="1">IF(C597&lt;&gt;"",IF(I597&lt;&gt;"",IF(ISERROR(VLOOKUP(I597,$C$3:$L$6,10,0)),"",VLOOKUP(I597,$C$3:$L$6,10,0)+J597+IF(OR(VLOOKUP(I597,$C$3:$L$6,5,0)=Variables!$B$5,B597&gt;VLOOKUP(I597,$C$3:$L$6,8,0)),IF(VLOOKUP(I597,$C$3:$L$6,5,0)=Variables!$B$5,((YEAR(B597)-YEAR($B$12))*12+MONTH(B597)-MONTH($B$12)),((YEAR(B597)-YEAR(VLOOKUP(I597,$C$3:$L$6,8,0)))*12+MONTH(B597)-MONTH(VLOOKUP(I597,$C$3:$L$6,8,0))))*VLOOKUP(I597,$C$3:$L$6,7,0),0)),""),"")</f>
        <v/>
      </c>
      <c r="L597" s="29" t="str">
        <f t="shared" ca="1" si="54"/>
        <v/>
      </c>
      <c r="M597" s="10"/>
      <c r="N597" s="10"/>
    </row>
    <row r="598" spans="1:14" x14ac:dyDescent="0.25">
      <c r="A598" s="10"/>
      <c r="B598" s="14" t="str">
        <f t="shared" ca="1" si="55"/>
        <v/>
      </c>
      <c r="C598" s="14" t="str">
        <f ca="1">IF(I597&lt;&gt;Variables!$B$1,IF(H597&lt;&gt;0,C597,I597),"")</f>
        <v/>
      </c>
      <c r="D598" s="29" t="str">
        <f t="shared" ca="1" si="52"/>
        <v/>
      </c>
      <c r="E598" s="29" t="str">
        <f t="shared" ca="1" si="53"/>
        <v/>
      </c>
      <c r="F598" s="29" t="str">
        <f ca="1">IF(C598&lt;&gt;"",IF(OR(VLOOKUP(C598,$C$3:$L$6,5,0)=Variables!$B$5,B598&gt;VLOOKUP(C598,$C$3:$L$6,8,0)),-D598*VLOOKUP(C598,$C$3:$L$6,6,0)/12,0),"")</f>
        <v/>
      </c>
      <c r="G598" s="29" t="str">
        <f ca="1">IF(I598&lt;&gt;Variables!$B$1,IF(C598&lt;&gt;"",$I$9-E598-F598,""),-D598)</f>
        <v/>
      </c>
      <c r="H598" s="29" t="str">
        <f t="shared" ca="1" si="56"/>
        <v/>
      </c>
      <c r="I598" s="31" t="str">
        <f ca="1">IF(C598&lt;&gt;"",IF(D598+$I$9-E598-F598&gt;=0,IF(ISERROR(INDEX($C$3:$C$6,MATCH(C598,$C$3:$C$6,0)+1,0)),Variables!$B$1,INDEX($C$3:$C$6,MATCH(C598,$C$3:$C$6,0)+1,0)),""),"")</f>
        <v/>
      </c>
      <c r="J598" s="29" t="str">
        <f ca="1">IF(ISERROR(VLOOKUP(I598,$C$3:$L$6,5,0)),"",IF(OR(VLOOKUP(I598,$C$3:$L$6,5,0)=Variables!$B$5,B598&gt;VLOOKUP(I598,$C$3:$L$6,8,0)),IF(VLOOKUP(I598,$C$3:$L$6,5,0)=Variables!$B$5,((YEAR(B598)-YEAR($B$12))*12+MONTH(B598)-MONTH($B$12)),((YEAR(B598)-YEAR(VLOOKUP(I598,$C$3:$L$6,8,0)))*12+MONTH(B598)-MONTH(VLOOKUP(I598,$C$3:$L$6,8,0))))*(VLOOKUP(I598,$C$3:$L$6,10,0)*VLOOKUP(I598,$C$3:$L$6,6,0)/12),0))</f>
        <v/>
      </c>
      <c r="K598" s="29" t="str">
        <f ca="1">IF(C598&lt;&gt;"",IF(I598&lt;&gt;"",IF(ISERROR(VLOOKUP(I598,$C$3:$L$6,10,0)),"",VLOOKUP(I598,$C$3:$L$6,10,0)+J598+IF(OR(VLOOKUP(I598,$C$3:$L$6,5,0)=Variables!$B$5,B598&gt;VLOOKUP(I598,$C$3:$L$6,8,0)),IF(VLOOKUP(I598,$C$3:$L$6,5,0)=Variables!$B$5,((YEAR(B598)-YEAR($B$12))*12+MONTH(B598)-MONTH($B$12)),((YEAR(B598)-YEAR(VLOOKUP(I598,$C$3:$L$6,8,0)))*12+MONTH(B598)-MONTH(VLOOKUP(I598,$C$3:$L$6,8,0))))*VLOOKUP(I598,$C$3:$L$6,7,0),0)),""),"")</f>
        <v/>
      </c>
      <c r="L598" s="29" t="str">
        <f t="shared" ca="1" si="54"/>
        <v/>
      </c>
      <c r="M598" s="10"/>
      <c r="N598" s="10"/>
    </row>
    <row r="599" spans="1:14" x14ac:dyDescent="0.25">
      <c r="A599" s="10"/>
      <c r="B599" s="14" t="str">
        <f t="shared" ca="1" si="55"/>
        <v/>
      </c>
      <c r="C599" s="14" t="str">
        <f ca="1">IF(I598&lt;&gt;Variables!$B$1,IF(H598&lt;&gt;0,C598,I598),"")</f>
        <v/>
      </c>
      <c r="D599" s="29" t="str">
        <f t="shared" ca="1" si="52"/>
        <v/>
      </c>
      <c r="E599" s="29" t="str">
        <f t="shared" ca="1" si="53"/>
        <v/>
      </c>
      <c r="F599" s="29" t="str">
        <f ca="1">IF(C599&lt;&gt;"",IF(OR(VLOOKUP(C599,$C$3:$L$6,5,0)=Variables!$B$5,B599&gt;VLOOKUP(C599,$C$3:$L$6,8,0)),-D599*VLOOKUP(C599,$C$3:$L$6,6,0)/12,0),"")</f>
        <v/>
      </c>
      <c r="G599" s="29" t="str">
        <f ca="1">IF(I599&lt;&gt;Variables!$B$1,IF(C599&lt;&gt;"",$I$9-E599-F599,""),-D599)</f>
        <v/>
      </c>
      <c r="H599" s="29" t="str">
        <f t="shared" ca="1" si="56"/>
        <v/>
      </c>
      <c r="I599" s="31" t="str">
        <f ca="1">IF(C599&lt;&gt;"",IF(D599+$I$9-E599-F599&gt;=0,IF(ISERROR(INDEX($C$3:$C$6,MATCH(C599,$C$3:$C$6,0)+1,0)),Variables!$B$1,INDEX($C$3:$C$6,MATCH(C599,$C$3:$C$6,0)+1,0)),""),"")</f>
        <v/>
      </c>
      <c r="J599" s="29" t="str">
        <f ca="1">IF(ISERROR(VLOOKUP(I599,$C$3:$L$6,5,0)),"",IF(OR(VLOOKUP(I599,$C$3:$L$6,5,0)=Variables!$B$5,B599&gt;VLOOKUP(I599,$C$3:$L$6,8,0)),IF(VLOOKUP(I599,$C$3:$L$6,5,0)=Variables!$B$5,((YEAR(B599)-YEAR($B$12))*12+MONTH(B599)-MONTH($B$12)),((YEAR(B599)-YEAR(VLOOKUP(I599,$C$3:$L$6,8,0)))*12+MONTH(B599)-MONTH(VLOOKUP(I599,$C$3:$L$6,8,0))))*(VLOOKUP(I599,$C$3:$L$6,10,0)*VLOOKUP(I599,$C$3:$L$6,6,0)/12),0))</f>
        <v/>
      </c>
      <c r="K599" s="29" t="str">
        <f ca="1">IF(C599&lt;&gt;"",IF(I599&lt;&gt;"",IF(ISERROR(VLOOKUP(I599,$C$3:$L$6,10,0)),"",VLOOKUP(I599,$C$3:$L$6,10,0)+J599+IF(OR(VLOOKUP(I599,$C$3:$L$6,5,0)=Variables!$B$5,B599&gt;VLOOKUP(I599,$C$3:$L$6,8,0)),IF(VLOOKUP(I599,$C$3:$L$6,5,0)=Variables!$B$5,((YEAR(B599)-YEAR($B$12))*12+MONTH(B599)-MONTH($B$12)),((YEAR(B599)-YEAR(VLOOKUP(I599,$C$3:$L$6,8,0)))*12+MONTH(B599)-MONTH(VLOOKUP(I599,$C$3:$L$6,8,0))))*VLOOKUP(I599,$C$3:$L$6,7,0),0)),""),"")</f>
        <v/>
      </c>
      <c r="L599" s="29" t="str">
        <f t="shared" ca="1" si="54"/>
        <v/>
      </c>
      <c r="M599" s="10"/>
      <c r="N599" s="10"/>
    </row>
    <row r="600" spans="1:14" x14ac:dyDescent="0.25">
      <c r="A600" s="10"/>
      <c r="B600" s="14" t="str">
        <f t="shared" ca="1" si="55"/>
        <v/>
      </c>
      <c r="C600" s="14" t="str">
        <f ca="1">IF(I599&lt;&gt;Variables!$B$1,IF(H599&lt;&gt;0,C599,I599),"")</f>
        <v/>
      </c>
      <c r="D600" s="29" t="str">
        <f t="shared" ca="1" si="52"/>
        <v/>
      </c>
      <c r="E600" s="29" t="str">
        <f t="shared" ca="1" si="53"/>
        <v/>
      </c>
      <c r="F600" s="29" t="str">
        <f ca="1">IF(C600&lt;&gt;"",IF(OR(VLOOKUP(C600,$C$3:$L$6,5,0)=Variables!$B$5,B600&gt;VLOOKUP(C600,$C$3:$L$6,8,0)),-D600*VLOOKUP(C600,$C$3:$L$6,6,0)/12,0),"")</f>
        <v/>
      </c>
      <c r="G600" s="29" t="str">
        <f ca="1">IF(I600&lt;&gt;Variables!$B$1,IF(C600&lt;&gt;"",$I$9-E600-F600,""),-D600)</f>
        <v/>
      </c>
      <c r="H600" s="29" t="str">
        <f t="shared" ca="1" si="56"/>
        <v/>
      </c>
      <c r="I600" s="31" t="str">
        <f ca="1">IF(C600&lt;&gt;"",IF(D600+$I$9-E600-F600&gt;=0,IF(ISERROR(INDEX($C$3:$C$6,MATCH(C600,$C$3:$C$6,0)+1,0)),Variables!$B$1,INDEX($C$3:$C$6,MATCH(C600,$C$3:$C$6,0)+1,0)),""),"")</f>
        <v/>
      </c>
      <c r="J600" s="29" t="str">
        <f ca="1">IF(ISERROR(VLOOKUP(I600,$C$3:$L$6,5,0)),"",IF(OR(VLOOKUP(I600,$C$3:$L$6,5,0)=Variables!$B$5,B600&gt;VLOOKUP(I600,$C$3:$L$6,8,0)),IF(VLOOKUP(I600,$C$3:$L$6,5,0)=Variables!$B$5,((YEAR(B600)-YEAR($B$12))*12+MONTH(B600)-MONTH($B$12)),((YEAR(B600)-YEAR(VLOOKUP(I600,$C$3:$L$6,8,0)))*12+MONTH(B600)-MONTH(VLOOKUP(I600,$C$3:$L$6,8,0))))*(VLOOKUP(I600,$C$3:$L$6,10,0)*VLOOKUP(I600,$C$3:$L$6,6,0)/12),0))</f>
        <v/>
      </c>
      <c r="K600" s="29" t="str">
        <f ca="1">IF(C600&lt;&gt;"",IF(I600&lt;&gt;"",IF(ISERROR(VLOOKUP(I600,$C$3:$L$6,10,0)),"",VLOOKUP(I600,$C$3:$L$6,10,0)+J600+IF(OR(VLOOKUP(I600,$C$3:$L$6,5,0)=Variables!$B$5,B600&gt;VLOOKUP(I600,$C$3:$L$6,8,0)),IF(VLOOKUP(I600,$C$3:$L$6,5,0)=Variables!$B$5,((YEAR(B600)-YEAR($B$12))*12+MONTH(B600)-MONTH($B$12)),((YEAR(B600)-YEAR(VLOOKUP(I600,$C$3:$L$6,8,0)))*12+MONTH(B600)-MONTH(VLOOKUP(I600,$C$3:$L$6,8,0))))*VLOOKUP(I600,$C$3:$L$6,7,0),0)),""),"")</f>
        <v/>
      </c>
      <c r="L600" s="29" t="str">
        <f t="shared" ca="1" si="54"/>
        <v/>
      </c>
      <c r="M600" s="10"/>
      <c r="N600" s="10"/>
    </row>
    <row r="601" spans="1:14" x14ac:dyDescent="0.25">
      <c r="A601" s="10"/>
      <c r="B601" s="14" t="str">
        <f t="shared" ca="1" si="55"/>
        <v/>
      </c>
      <c r="C601" s="14" t="str">
        <f ca="1">IF(I600&lt;&gt;Variables!$B$1,IF(H600&lt;&gt;0,C600,I600),"")</f>
        <v/>
      </c>
      <c r="D601" s="29" t="str">
        <f t="shared" ca="1" si="52"/>
        <v/>
      </c>
      <c r="E601" s="29" t="str">
        <f t="shared" ca="1" si="53"/>
        <v/>
      </c>
      <c r="F601" s="29" t="str">
        <f ca="1">IF(C601&lt;&gt;"",IF(OR(VLOOKUP(C601,$C$3:$L$6,5,0)=Variables!$B$5,B601&gt;VLOOKUP(C601,$C$3:$L$6,8,0)),-D601*VLOOKUP(C601,$C$3:$L$6,6,0)/12,0),"")</f>
        <v/>
      </c>
      <c r="G601" s="29" t="str">
        <f ca="1">IF(I601&lt;&gt;Variables!$B$1,IF(C601&lt;&gt;"",$I$9-E601-F601,""),-D601)</f>
        <v/>
      </c>
      <c r="H601" s="29" t="str">
        <f t="shared" ca="1" si="56"/>
        <v/>
      </c>
      <c r="I601" s="31" t="str">
        <f ca="1">IF(C601&lt;&gt;"",IF(D601+$I$9-E601-F601&gt;=0,IF(ISERROR(INDEX($C$3:$C$6,MATCH(C601,$C$3:$C$6,0)+1,0)),Variables!$B$1,INDEX($C$3:$C$6,MATCH(C601,$C$3:$C$6,0)+1,0)),""),"")</f>
        <v/>
      </c>
      <c r="J601" s="29" t="str">
        <f ca="1">IF(ISERROR(VLOOKUP(I601,$C$3:$L$6,5,0)),"",IF(OR(VLOOKUP(I601,$C$3:$L$6,5,0)=Variables!$B$5,B601&gt;VLOOKUP(I601,$C$3:$L$6,8,0)),IF(VLOOKUP(I601,$C$3:$L$6,5,0)=Variables!$B$5,((YEAR(B601)-YEAR($B$12))*12+MONTH(B601)-MONTH($B$12)),((YEAR(B601)-YEAR(VLOOKUP(I601,$C$3:$L$6,8,0)))*12+MONTH(B601)-MONTH(VLOOKUP(I601,$C$3:$L$6,8,0))))*(VLOOKUP(I601,$C$3:$L$6,10,0)*VLOOKUP(I601,$C$3:$L$6,6,0)/12),0))</f>
        <v/>
      </c>
      <c r="K601" s="29" t="str">
        <f ca="1">IF(C601&lt;&gt;"",IF(I601&lt;&gt;"",IF(ISERROR(VLOOKUP(I601,$C$3:$L$6,10,0)),"",VLOOKUP(I601,$C$3:$L$6,10,0)+J601+IF(OR(VLOOKUP(I601,$C$3:$L$6,5,0)=Variables!$B$5,B601&gt;VLOOKUP(I601,$C$3:$L$6,8,0)),IF(VLOOKUP(I601,$C$3:$L$6,5,0)=Variables!$B$5,((YEAR(B601)-YEAR($B$12))*12+MONTH(B601)-MONTH($B$12)),((YEAR(B601)-YEAR(VLOOKUP(I601,$C$3:$L$6,8,0)))*12+MONTH(B601)-MONTH(VLOOKUP(I601,$C$3:$L$6,8,0))))*VLOOKUP(I601,$C$3:$L$6,7,0),0)),""),"")</f>
        <v/>
      </c>
      <c r="L601" s="29" t="str">
        <f t="shared" ca="1" si="54"/>
        <v/>
      </c>
      <c r="M601" s="10"/>
      <c r="N601" s="10"/>
    </row>
    <row r="602" spans="1:14" x14ac:dyDescent="0.25">
      <c r="A602" s="10"/>
      <c r="B602" s="14" t="str">
        <f t="shared" ca="1" si="55"/>
        <v/>
      </c>
      <c r="C602" s="14" t="str">
        <f ca="1">IF(I601&lt;&gt;Variables!$B$1,IF(H601&lt;&gt;0,C601,I601),"")</f>
        <v/>
      </c>
      <c r="D602" s="29" t="str">
        <f t="shared" ca="1" si="52"/>
        <v/>
      </c>
      <c r="E602" s="29" t="str">
        <f t="shared" ca="1" si="53"/>
        <v/>
      </c>
      <c r="F602" s="29" t="str">
        <f ca="1">IF(C602&lt;&gt;"",IF(OR(VLOOKUP(C602,$C$3:$L$6,5,0)=Variables!$B$5,B602&gt;VLOOKUP(C602,$C$3:$L$6,8,0)),-D602*VLOOKUP(C602,$C$3:$L$6,6,0)/12,0),"")</f>
        <v/>
      </c>
      <c r="G602" s="29" t="str">
        <f ca="1">IF(I602&lt;&gt;Variables!$B$1,IF(C602&lt;&gt;"",$I$9-E602-F602,""),-D602)</f>
        <v/>
      </c>
      <c r="H602" s="29" t="str">
        <f t="shared" ca="1" si="56"/>
        <v/>
      </c>
      <c r="I602" s="31" t="str">
        <f ca="1">IF(C602&lt;&gt;"",IF(D602+$I$9-E602-F602&gt;=0,IF(ISERROR(INDEX($C$3:$C$6,MATCH(C602,$C$3:$C$6,0)+1,0)),Variables!$B$1,INDEX($C$3:$C$6,MATCH(C602,$C$3:$C$6,0)+1,0)),""),"")</f>
        <v/>
      </c>
      <c r="J602" s="29" t="str">
        <f ca="1">IF(ISERROR(VLOOKUP(I602,$C$3:$L$6,5,0)),"",IF(OR(VLOOKUP(I602,$C$3:$L$6,5,0)=Variables!$B$5,B602&gt;VLOOKUP(I602,$C$3:$L$6,8,0)),IF(VLOOKUP(I602,$C$3:$L$6,5,0)=Variables!$B$5,((YEAR(B602)-YEAR($B$12))*12+MONTH(B602)-MONTH($B$12)),((YEAR(B602)-YEAR(VLOOKUP(I602,$C$3:$L$6,8,0)))*12+MONTH(B602)-MONTH(VLOOKUP(I602,$C$3:$L$6,8,0))))*(VLOOKUP(I602,$C$3:$L$6,10,0)*VLOOKUP(I602,$C$3:$L$6,6,0)/12),0))</f>
        <v/>
      </c>
      <c r="K602" s="29" t="str">
        <f ca="1">IF(C602&lt;&gt;"",IF(I602&lt;&gt;"",IF(ISERROR(VLOOKUP(I602,$C$3:$L$6,10,0)),"",VLOOKUP(I602,$C$3:$L$6,10,0)+J602+IF(OR(VLOOKUP(I602,$C$3:$L$6,5,0)=Variables!$B$5,B602&gt;VLOOKUP(I602,$C$3:$L$6,8,0)),IF(VLOOKUP(I602,$C$3:$L$6,5,0)=Variables!$B$5,((YEAR(B602)-YEAR($B$12))*12+MONTH(B602)-MONTH($B$12)),((YEAR(B602)-YEAR(VLOOKUP(I602,$C$3:$L$6,8,0)))*12+MONTH(B602)-MONTH(VLOOKUP(I602,$C$3:$L$6,8,0))))*VLOOKUP(I602,$C$3:$L$6,7,0),0)),""),"")</f>
        <v/>
      </c>
      <c r="L602" s="29" t="str">
        <f t="shared" ca="1" si="54"/>
        <v/>
      </c>
      <c r="M602" s="10"/>
      <c r="N602" s="10"/>
    </row>
    <row r="603" spans="1:14" x14ac:dyDescent="0.25">
      <c r="A603" s="10"/>
      <c r="B603" s="14" t="str">
        <f t="shared" ca="1" si="55"/>
        <v/>
      </c>
      <c r="C603" s="14" t="str">
        <f ca="1">IF(I602&lt;&gt;Variables!$B$1,IF(H602&lt;&gt;0,C602,I602),"")</f>
        <v/>
      </c>
      <c r="D603" s="29" t="str">
        <f t="shared" ca="1" si="52"/>
        <v/>
      </c>
      <c r="E603" s="29" t="str">
        <f t="shared" ca="1" si="53"/>
        <v/>
      </c>
      <c r="F603" s="29" t="str">
        <f ca="1">IF(C603&lt;&gt;"",IF(OR(VLOOKUP(C603,$C$3:$L$6,5,0)=Variables!$B$5,B603&gt;VLOOKUP(C603,$C$3:$L$6,8,0)),-D603*VLOOKUP(C603,$C$3:$L$6,6,0)/12,0),"")</f>
        <v/>
      </c>
      <c r="G603" s="29" t="str">
        <f ca="1">IF(I603&lt;&gt;Variables!$B$1,IF(C603&lt;&gt;"",$I$9-E603-F603,""),-D603)</f>
        <v/>
      </c>
      <c r="H603" s="29" t="str">
        <f t="shared" ca="1" si="56"/>
        <v/>
      </c>
      <c r="I603" s="31" t="str">
        <f ca="1">IF(C603&lt;&gt;"",IF(D603+$I$9-E603-F603&gt;=0,IF(ISERROR(INDEX($C$3:$C$6,MATCH(C603,$C$3:$C$6,0)+1,0)),Variables!$B$1,INDEX($C$3:$C$6,MATCH(C603,$C$3:$C$6,0)+1,0)),""),"")</f>
        <v/>
      </c>
      <c r="J603" s="29" t="str">
        <f ca="1">IF(ISERROR(VLOOKUP(I603,$C$3:$L$6,5,0)),"",IF(OR(VLOOKUP(I603,$C$3:$L$6,5,0)=Variables!$B$5,B603&gt;VLOOKUP(I603,$C$3:$L$6,8,0)),IF(VLOOKUP(I603,$C$3:$L$6,5,0)=Variables!$B$5,((YEAR(B603)-YEAR($B$12))*12+MONTH(B603)-MONTH($B$12)),((YEAR(B603)-YEAR(VLOOKUP(I603,$C$3:$L$6,8,0)))*12+MONTH(B603)-MONTH(VLOOKUP(I603,$C$3:$L$6,8,0))))*(VLOOKUP(I603,$C$3:$L$6,10,0)*VLOOKUP(I603,$C$3:$L$6,6,0)/12),0))</f>
        <v/>
      </c>
      <c r="K603" s="29" t="str">
        <f ca="1">IF(C603&lt;&gt;"",IF(I603&lt;&gt;"",IF(ISERROR(VLOOKUP(I603,$C$3:$L$6,10,0)),"",VLOOKUP(I603,$C$3:$L$6,10,0)+J603+IF(OR(VLOOKUP(I603,$C$3:$L$6,5,0)=Variables!$B$5,B603&gt;VLOOKUP(I603,$C$3:$L$6,8,0)),IF(VLOOKUP(I603,$C$3:$L$6,5,0)=Variables!$B$5,((YEAR(B603)-YEAR($B$12))*12+MONTH(B603)-MONTH($B$12)),((YEAR(B603)-YEAR(VLOOKUP(I603,$C$3:$L$6,8,0)))*12+MONTH(B603)-MONTH(VLOOKUP(I603,$C$3:$L$6,8,0))))*VLOOKUP(I603,$C$3:$L$6,7,0),0)),""),"")</f>
        <v/>
      </c>
      <c r="L603" s="29" t="str">
        <f t="shared" ca="1" si="54"/>
        <v/>
      </c>
      <c r="M603" s="10"/>
      <c r="N603" s="10"/>
    </row>
    <row r="604" spans="1:14" x14ac:dyDescent="0.25">
      <c r="A604" s="10"/>
      <c r="B604" s="14" t="str">
        <f t="shared" ca="1" si="55"/>
        <v/>
      </c>
      <c r="C604" s="14" t="str">
        <f ca="1">IF(I603&lt;&gt;Variables!$B$1,IF(H603&lt;&gt;0,C603,I603),"")</f>
        <v/>
      </c>
      <c r="D604" s="29" t="str">
        <f t="shared" ref="D604:D667" ca="1" si="57">IF(C604&lt;&gt;"",IF(H603&lt;&gt;0,H603,L603),"")</f>
        <v/>
      </c>
      <c r="E604" s="29" t="str">
        <f t="shared" ref="E604:E667" ca="1" si="58">IF(C604&lt;&gt;"",MINPAYMENT(C604,ROW(B604),COLUMN(B604)),"")</f>
        <v/>
      </c>
      <c r="F604" s="29" t="str">
        <f ca="1">IF(C604&lt;&gt;"",IF(OR(VLOOKUP(C604,$C$3:$L$6,5,0)=Variables!$B$5,B604&gt;VLOOKUP(C604,$C$3:$L$6,8,0)),-D604*VLOOKUP(C604,$C$3:$L$6,6,0)/12,0),"")</f>
        <v/>
      </c>
      <c r="G604" s="29" t="str">
        <f ca="1">IF(I604&lt;&gt;Variables!$B$1,IF(C604&lt;&gt;"",$I$9-E604-F604,""),-D604)</f>
        <v/>
      </c>
      <c r="H604" s="29" t="str">
        <f t="shared" ca="1" si="56"/>
        <v/>
      </c>
      <c r="I604" s="31" t="str">
        <f ca="1">IF(C604&lt;&gt;"",IF(D604+$I$9-E604-F604&gt;=0,IF(ISERROR(INDEX($C$3:$C$6,MATCH(C604,$C$3:$C$6,0)+1,0)),Variables!$B$1,INDEX($C$3:$C$6,MATCH(C604,$C$3:$C$6,0)+1,0)),""),"")</f>
        <v/>
      </c>
      <c r="J604" s="29" t="str">
        <f ca="1">IF(ISERROR(VLOOKUP(I604,$C$3:$L$6,5,0)),"",IF(OR(VLOOKUP(I604,$C$3:$L$6,5,0)=Variables!$B$5,B604&gt;VLOOKUP(I604,$C$3:$L$6,8,0)),IF(VLOOKUP(I604,$C$3:$L$6,5,0)=Variables!$B$5,((YEAR(B604)-YEAR($B$12))*12+MONTH(B604)-MONTH($B$12)),((YEAR(B604)-YEAR(VLOOKUP(I604,$C$3:$L$6,8,0)))*12+MONTH(B604)-MONTH(VLOOKUP(I604,$C$3:$L$6,8,0))))*(VLOOKUP(I604,$C$3:$L$6,10,0)*VLOOKUP(I604,$C$3:$L$6,6,0)/12),0))</f>
        <v/>
      </c>
      <c r="K604" s="29" t="str">
        <f ca="1">IF(C604&lt;&gt;"",IF(I604&lt;&gt;"",IF(ISERROR(VLOOKUP(I604,$C$3:$L$6,10,0)),"",VLOOKUP(I604,$C$3:$L$6,10,0)+J604+IF(OR(VLOOKUP(I604,$C$3:$L$6,5,0)=Variables!$B$5,B604&gt;VLOOKUP(I604,$C$3:$L$6,8,0)),IF(VLOOKUP(I604,$C$3:$L$6,5,0)=Variables!$B$5,((YEAR(B604)-YEAR($B$12))*12+MONTH(B604)-MONTH($B$12)),((YEAR(B604)-YEAR(VLOOKUP(I604,$C$3:$L$6,8,0)))*12+MONTH(B604)-MONTH(VLOOKUP(I604,$C$3:$L$6,8,0))))*VLOOKUP(I604,$C$3:$L$6,7,0),0)),""),"")</f>
        <v/>
      </c>
      <c r="L604" s="29" t="str">
        <f t="shared" ref="L604:L667" ca="1" si="59">IF(C604&lt;&gt;"",IF(ISERROR(IF(D604+G604&gt;=0,K604+D604+G604,"")),"",IF(D604+G604&gt;=0,K604+D604+G604,"")),"")</f>
        <v/>
      </c>
      <c r="M604" s="10"/>
      <c r="N604" s="10"/>
    </row>
    <row r="605" spans="1:14" x14ac:dyDescent="0.25">
      <c r="A605" s="10"/>
      <c r="B605" s="14" t="str">
        <f t="shared" ref="B605:B668" ca="1" si="60">IF(C605&lt;&gt;"",DATE(YEAR(B604),MONTH(B604)+1,DAY(B604)),"")</f>
        <v/>
      </c>
      <c r="C605" s="14" t="str">
        <f ca="1">IF(I604&lt;&gt;Variables!$B$1,IF(H604&lt;&gt;0,C604,I604),"")</f>
        <v/>
      </c>
      <c r="D605" s="29" t="str">
        <f t="shared" ca="1" si="57"/>
        <v/>
      </c>
      <c r="E605" s="29" t="str">
        <f t="shared" ca="1" si="58"/>
        <v/>
      </c>
      <c r="F605" s="29" t="str">
        <f ca="1">IF(C605&lt;&gt;"",IF(OR(VLOOKUP(C605,$C$3:$L$6,5,0)=Variables!$B$5,B605&gt;VLOOKUP(C605,$C$3:$L$6,8,0)),-D605*VLOOKUP(C605,$C$3:$L$6,6,0)/12,0),"")</f>
        <v/>
      </c>
      <c r="G605" s="29" t="str">
        <f ca="1">IF(I605&lt;&gt;Variables!$B$1,IF(C605&lt;&gt;"",$I$9-E605-F605,""),-D605)</f>
        <v/>
      </c>
      <c r="H605" s="29" t="str">
        <f t="shared" ref="H605:H668" ca="1" si="61">IF(C605&lt;&gt;"",IF(D605+G605&lt;0,D605+G605,0),"")</f>
        <v/>
      </c>
      <c r="I605" s="31" t="str">
        <f ca="1">IF(C605&lt;&gt;"",IF(D605+$I$9-E605-F605&gt;=0,IF(ISERROR(INDEX($C$3:$C$6,MATCH(C605,$C$3:$C$6,0)+1,0)),Variables!$B$1,INDEX($C$3:$C$6,MATCH(C605,$C$3:$C$6,0)+1,0)),""),"")</f>
        <v/>
      </c>
      <c r="J605" s="29" t="str">
        <f ca="1">IF(ISERROR(VLOOKUP(I605,$C$3:$L$6,5,0)),"",IF(OR(VLOOKUP(I605,$C$3:$L$6,5,0)=Variables!$B$5,B605&gt;VLOOKUP(I605,$C$3:$L$6,8,0)),IF(VLOOKUP(I605,$C$3:$L$6,5,0)=Variables!$B$5,((YEAR(B605)-YEAR($B$12))*12+MONTH(B605)-MONTH($B$12)),((YEAR(B605)-YEAR(VLOOKUP(I605,$C$3:$L$6,8,0)))*12+MONTH(B605)-MONTH(VLOOKUP(I605,$C$3:$L$6,8,0))))*(VLOOKUP(I605,$C$3:$L$6,10,0)*VLOOKUP(I605,$C$3:$L$6,6,0)/12),0))</f>
        <v/>
      </c>
      <c r="K605" s="29" t="str">
        <f ca="1">IF(C605&lt;&gt;"",IF(I605&lt;&gt;"",IF(ISERROR(VLOOKUP(I605,$C$3:$L$6,10,0)),"",VLOOKUP(I605,$C$3:$L$6,10,0)+J605+IF(OR(VLOOKUP(I605,$C$3:$L$6,5,0)=Variables!$B$5,B605&gt;VLOOKUP(I605,$C$3:$L$6,8,0)),IF(VLOOKUP(I605,$C$3:$L$6,5,0)=Variables!$B$5,((YEAR(B605)-YEAR($B$12))*12+MONTH(B605)-MONTH($B$12)),((YEAR(B605)-YEAR(VLOOKUP(I605,$C$3:$L$6,8,0)))*12+MONTH(B605)-MONTH(VLOOKUP(I605,$C$3:$L$6,8,0))))*VLOOKUP(I605,$C$3:$L$6,7,0),0)),""),"")</f>
        <v/>
      </c>
      <c r="L605" s="29" t="str">
        <f t="shared" ca="1" si="59"/>
        <v/>
      </c>
      <c r="M605" s="10"/>
      <c r="N605" s="10"/>
    </row>
    <row r="606" spans="1:14" x14ac:dyDescent="0.25">
      <c r="A606" s="10"/>
      <c r="B606" s="14" t="str">
        <f t="shared" ca="1" si="60"/>
        <v/>
      </c>
      <c r="C606" s="14" t="str">
        <f ca="1">IF(I605&lt;&gt;Variables!$B$1,IF(H605&lt;&gt;0,C605,I605),"")</f>
        <v/>
      </c>
      <c r="D606" s="29" t="str">
        <f t="shared" ca="1" si="57"/>
        <v/>
      </c>
      <c r="E606" s="29" t="str">
        <f t="shared" ca="1" si="58"/>
        <v/>
      </c>
      <c r="F606" s="29" t="str">
        <f ca="1">IF(C606&lt;&gt;"",IF(OR(VLOOKUP(C606,$C$3:$L$6,5,0)=Variables!$B$5,B606&gt;VLOOKUP(C606,$C$3:$L$6,8,0)),-D606*VLOOKUP(C606,$C$3:$L$6,6,0)/12,0),"")</f>
        <v/>
      </c>
      <c r="G606" s="29" t="str">
        <f ca="1">IF(I606&lt;&gt;Variables!$B$1,IF(C606&lt;&gt;"",$I$9-E606-F606,""),-D606)</f>
        <v/>
      </c>
      <c r="H606" s="29" t="str">
        <f t="shared" ca="1" si="61"/>
        <v/>
      </c>
      <c r="I606" s="31" t="str">
        <f ca="1">IF(C606&lt;&gt;"",IF(D606+$I$9-E606-F606&gt;=0,IF(ISERROR(INDEX($C$3:$C$6,MATCH(C606,$C$3:$C$6,0)+1,0)),Variables!$B$1,INDEX($C$3:$C$6,MATCH(C606,$C$3:$C$6,0)+1,0)),""),"")</f>
        <v/>
      </c>
      <c r="J606" s="29" t="str">
        <f ca="1">IF(ISERROR(VLOOKUP(I606,$C$3:$L$6,5,0)),"",IF(OR(VLOOKUP(I606,$C$3:$L$6,5,0)=Variables!$B$5,B606&gt;VLOOKUP(I606,$C$3:$L$6,8,0)),IF(VLOOKUP(I606,$C$3:$L$6,5,0)=Variables!$B$5,((YEAR(B606)-YEAR($B$12))*12+MONTH(B606)-MONTH($B$12)),((YEAR(B606)-YEAR(VLOOKUP(I606,$C$3:$L$6,8,0)))*12+MONTH(B606)-MONTH(VLOOKUP(I606,$C$3:$L$6,8,0))))*(VLOOKUP(I606,$C$3:$L$6,10,0)*VLOOKUP(I606,$C$3:$L$6,6,0)/12),0))</f>
        <v/>
      </c>
      <c r="K606" s="29" t="str">
        <f ca="1">IF(C606&lt;&gt;"",IF(I606&lt;&gt;"",IF(ISERROR(VLOOKUP(I606,$C$3:$L$6,10,0)),"",VLOOKUP(I606,$C$3:$L$6,10,0)+J606+IF(OR(VLOOKUP(I606,$C$3:$L$6,5,0)=Variables!$B$5,B606&gt;VLOOKUP(I606,$C$3:$L$6,8,0)),IF(VLOOKUP(I606,$C$3:$L$6,5,0)=Variables!$B$5,((YEAR(B606)-YEAR($B$12))*12+MONTH(B606)-MONTH($B$12)),((YEAR(B606)-YEAR(VLOOKUP(I606,$C$3:$L$6,8,0)))*12+MONTH(B606)-MONTH(VLOOKUP(I606,$C$3:$L$6,8,0))))*VLOOKUP(I606,$C$3:$L$6,7,0),0)),""),"")</f>
        <v/>
      </c>
      <c r="L606" s="29" t="str">
        <f t="shared" ca="1" si="59"/>
        <v/>
      </c>
      <c r="M606" s="10"/>
      <c r="N606" s="10"/>
    </row>
    <row r="607" spans="1:14" x14ac:dyDescent="0.25">
      <c r="A607" s="10"/>
      <c r="B607" s="14" t="str">
        <f t="shared" ca="1" si="60"/>
        <v/>
      </c>
      <c r="C607" s="14" t="str">
        <f ca="1">IF(I606&lt;&gt;Variables!$B$1,IF(H606&lt;&gt;0,C606,I606),"")</f>
        <v/>
      </c>
      <c r="D607" s="29" t="str">
        <f t="shared" ca="1" si="57"/>
        <v/>
      </c>
      <c r="E607" s="29" t="str">
        <f t="shared" ca="1" si="58"/>
        <v/>
      </c>
      <c r="F607" s="29" t="str">
        <f ca="1">IF(C607&lt;&gt;"",IF(OR(VLOOKUP(C607,$C$3:$L$6,5,0)=Variables!$B$5,B607&gt;VLOOKUP(C607,$C$3:$L$6,8,0)),-D607*VLOOKUP(C607,$C$3:$L$6,6,0)/12,0),"")</f>
        <v/>
      </c>
      <c r="G607" s="29" t="str">
        <f ca="1">IF(I607&lt;&gt;Variables!$B$1,IF(C607&lt;&gt;"",$I$9-E607-F607,""),-D607)</f>
        <v/>
      </c>
      <c r="H607" s="29" t="str">
        <f t="shared" ca="1" si="61"/>
        <v/>
      </c>
      <c r="I607" s="31" t="str">
        <f ca="1">IF(C607&lt;&gt;"",IF(D607+$I$9-E607-F607&gt;=0,IF(ISERROR(INDEX($C$3:$C$6,MATCH(C607,$C$3:$C$6,0)+1,0)),Variables!$B$1,INDEX($C$3:$C$6,MATCH(C607,$C$3:$C$6,0)+1,0)),""),"")</f>
        <v/>
      </c>
      <c r="J607" s="29" t="str">
        <f ca="1">IF(ISERROR(VLOOKUP(I607,$C$3:$L$6,5,0)),"",IF(OR(VLOOKUP(I607,$C$3:$L$6,5,0)=Variables!$B$5,B607&gt;VLOOKUP(I607,$C$3:$L$6,8,0)),IF(VLOOKUP(I607,$C$3:$L$6,5,0)=Variables!$B$5,((YEAR(B607)-YEAR($B$12))*12+MONTH(B607)-MONTH($B$12)),((YEAR(B607)-YEAR(VLOOKUP(I607,$C$3:$L$6,8,0)))*12+MONTH(B607)-MONTH(VLOOKUP(I607,$C$3:$L$6,8,0))))*(VLOOKUP(I607,$C$3:$L$6,10,0)*VLOOKUP(I607,$C$3:$L$6,6,0)/12),0))</f>
        <v/>
      </c>
      <c r="K607" s="29" t="str">
        <f ca="1">IF(C607&lt;&gt;"",IF(I607&lt;&gt;"",IF(ISERROR(VLOOKUP(I607,$C$3:$L$6,10,0)),"",VLOOKUP(I607,$C$3:$L$6,10,0)+J607+IF(OR(VLOOKUP(I607,$C$3:$L$6,5,0)=Variables!$B$5,B607&gt;VLOOKUP(I607,$C$3:$L$6,8,0)),IF(VLOOKUP(I607,$C$3:$L$6,5,0)=Variables!$B$5,((YEAR(B607)-YEAR($B$12))*12+MONTH(B607)-MONTH($B$12)),((YEAR(B607)-YEAR(VLOOKUP(I607,$C$3:$L$6,8,0)))*12+MONTH(B607)-MONTH(VLOOKUP(I607,$C$3:$L$6,8,0))))*VLOOKUP(I607,$C$3:$L$6,7,0),0)),""),"")</f>
        <v/>
      </c>
      <c r="L607" s="29" t="str">
        <f t="shared" ca="1" si="59"/>
        <v/>
      </c>
      <c r="M607" s="10"/>
      <c r="N607" s="10"/>
    </row>
    <row r="608" spans="1:14" x14ac:dyDescent="0.25">
      <c r="A608" s="10"/>
      <c r="B608" s="14" t="str">
        <f t="shared" ca="1" si="60"/>
        <v/>
      </c>
      <c r="C608" s="14" t="str">
        <f ca="1">IF(I607&lt;&gt;Variables!$B$1,IF(H607&lt;&gt;0,C607,I607),"")</f>
        <v/>
      </c>
      <c r="D608" s="29" t="str">
        <f t="shared" ca="1" si="57"/>
        <v/>
      </c>
      <c r="E608" s="29" t="str">
        <f t="shared" ca="1" si="58"/>
        <v/>
      </c>
      <c r="F608" s="29" t="str">
        <f ca="1">IF(C608&lt;&gt;"",IF(OR(VLOOKUP(C608,$C$3:$L$6,5,0)=Variables!$B$5,B608&gt;VLOOKUP(C608,$C$3:$L$6,8,0)),-D608*VLOOKUP(C608,$C$3:$L$6,6,0)/12,0),"")</f>
        <v/>
      </c>
      <c r="G608" s="29" t="str">
        <f ca="1">IF(I608&lt;&gt;Variables!$B$1,IF(C608&lt;&gt;"",$I$9-E608-F608,""),-D608)</f>
        <v/>
      </c>
      <c r="H608" s="29" t="str">
        <f t="shared" ca="1" si="61"/>
        <v/>
      </c>
      <c r="I608" s="31" t="str">
        <f ca="1">IF(C608&lt;&gt;"",IF(D608+$I$9-E608-F608&gt;=0,IF(ISERROR(INDEX($C$3:$C$6,MATCH(C608,$C$3:$C$6,0)+1,0)),Variables!$B$1,INDEX($C$3:$C$6,MATCH(C608,$C$3:$C$6,0)+1,0)),""),"")</f>
        <v/>
      </c>
      <c r="J608" s="29" t="str">
        <f ca="1">IF(ISERROR(VLOOKUP(I608,$C$3:$L$6,5,0)),"",IF(OR(VLOOKUP(I608,$C$3:$L$6,5,0)=Variables!$B$5,B608&gt;VLOOKUP(I608,$C$3:$L$6,8,0)),IF(VLOOKUP(I608,$C$3:$L$6,5,0)=Variables!$B$5,((YEAR(B608)-YEAR($B$12))*12+MONTH(B608)-MONTH($B$12)),((YEAR(B608)-YEAR(VLOOKUP(I608,$C$3:$L$6,8,0)))*12+MONTH(B608)-MONTH(VLOOKUP(I608,$C$3:$L$6,8,0))))*(VLOOKUP(I608,$C$3:$L$6,10,0)*VLOOKUP(I608,$C$3:$L$6,6,0)/12),0))</f>
        <v/>
      </c>
      <c r="K608" s="29" t="str">
        <f ca="1">IF(C608&lt;&gt;"",IF(I608&lt;&gt;"",IF(ISERROR(VLOOKUP(I608,$C$3:$L$6,10,0)),"",VLOOKUP(I608,$C$3:$L$6,10,0)+J608+IF(OR(VLOOKUP(I608,$C$3:$L$6,5,0)=Variables!$B$5,B608&gt;VLOOKUP(I608,$C$3:$L$6,8,0)),IF(VLOOKUP(I608,$C$3:$L$6,5,0)=Variables!$B$5,((YEAR(B608)-YEAR($B$12))*12+MONTH(B608)-MONTH($B$12)),((YEAR(B608)-YEAR(VLOOKUP(I608,$C$3:$L$6,8,0)))*12+MONTH(B608)-MONTH(VLOOKUP(I608,$C$3:$L$6,8,0))))*VLOOKUP(I608,$C$3:$L$6,7,0),0)),""),"")</f>
        <v/>
      </c>
      <c r="L608" s="29" t="str">
        <f t="shared" ca="1" si="59"/>
        <v/>
      </c>
      <c r="M608" s="10"/>
      <c r="N608" s="10"/>
    </row>
    <row r="609" spans="1:14" x14ac:dyDescent="0.25">
      <c r="A609" s="10"/>
      <c r="B609" s="14" t="str">
        <f t="shared" ca="1" si="60"/>
        <v/>
      </c>
      <c r="C609" s="14" t="str">
        <f ca="1">IF(I608&lt;&gt;Variables!$B$1,IF(H608&lt;&gt;0,C608,I608),"")</f>
        <v/>
      </c>
      <c r="D609" s="29" t="str">
        <f t="shared" ca="1" si="57"/>
        <v/>
      </c>
      <c r="E609" s="29" t="str">
        <f t="shared" ca="1" si="58"/>
        <v/>
      </c>
      <c r="F609" s="29" t="str">
        <f ca="1">IF(C609&lt;&gt;"",IF(OR(VLOOKUP(C609,$C$3:$L$6,5,0)=Variables!$B$5,B609&gt;VLOOKUP(C609,$C$3:$L$6,8,0)),-D609*VLOOKUP(C609,$C$3:$L$6,6,0)/12,0),"")</f>
        <v/>
      </c>
      <c r="G609" s="29" t="str">
        <f ca="1">IF(I609&lt;&gt;Variables!$B$1,IF(C609&lt;&gt;"",$I$9-E609-F609,""),-D609)</f>
        <v/>
      </c>
      <c r="H609" s="29" t="str">
        <f t="shared" ca="1" si="61"/>
        <v/>
      </c>
      <c r="I609" s="31" t="str">
        <f ca="1">IF(C609&lt;&gt;"",IF(D609+$I$9-E609-F609&gt;=0,IF(ISERROR(INDEX($C$3:$C$6,MATCH(C609,$C$3:$C$6,0)+1,0)),Variables!$B$1,INDEX($C$3:$C$6,MATCH(C609,$C$3:$C$6,0)+1,0)),""),"")</f>
        <v/>
      </c>
      <c r="J609" s="29" t="str">
        <f ca="1">IF(ISERROR(VLOOKUP(I609,$C$3:$L$6,5,0)),"",IF(OR(VLOOKUP(I609,$C$3:$L$6,5,0)=Variables!$B$5,B609&gt;VLOOKUP(I609,$C$3:$L$6,8,0)),IF(VLOOKUP(I609,$C$3:$L$6,5,0)=Variables!$B$5,((YEAR(B609)-YEAR($B$12))*12+MONTH(B609)-MONTH($B$12)),((YEAR(B609)-YEAR(VLOOKUP(I609,$C$3:$L$6,8,0)))*12+MONTH(B609)-MONTH(VLOOKUP(I609,$C$3:$L$6,8,0))))*(VLOOKUP(I609,$C$3:$L$6,10,0)*VLOOKUP(I609,$C$3:$L$6,6,0)/12),0))</f>
        <v/>
      </c>
      <c r="K609" s="29" t="str">
        <f ca="1">IF(C609&lt;&gt;"",IF(I609&lt;&gt;"",IF(ISERROR(VLOOKUP(I609,$C$3:$L$6,10,0)),"",VLOOKUP(I609,$C$3:$L$6,10,0)+J609+IF(OR(VLOOKUP(I609,$C$3:$L$6,5,0)=Variables!$B$5,B609&gt;VLOOKUP(I609,$C$3:$L$6,8,0)),IF(VLOOKUP(I609,$C$3:$L$6,5,0)=Variables!$B$5,((YEAR(B609)-YEAR($B$12))*12+MONTH(B609)-MONTH($B$12)),((YEAR(B609)-YEAR(VLOOKUP(I609,$C$3:$L$6,8,0)))*12+MONTH(B609)-MONTH(VLOOKUP(I609,$C$3:$L$6,8,0))))*VLOOKUP(I609,$C$3:$L$6,7,0),0)),""),"")</f>
        <v/>
      </c>
      <c r="L609" s="29" t="str">
        <f t="shared" ca="1" si="59"/>
        <v/>
      </c>
      <c r="M609" s="10"/>
      <c r="N609" s="10"/>
    </row>
    <row r="610" spans="1:14" x14ac:dyDescent="0.25">
      <c r="A610" s="10"/>
      <c r="B610" s="14" t="str">
        <f t="shared" ca="1" si="60"/>
        <v/>
      </c>
      <c r="C610" s="14" t="str">
        <f ca="1">IF(I609&lt;&gt;Variables!$B$1,IF(H609&lt;&gt;0,C609,I609),"")</f>
        <v/>
      </c>
      <c r="D610" s="29" t="str">
        <f t="shared" ca="1" si="57"/>
        <v/>
      </c>
      <c r="E610" s="29" t="str">
        <f t="shared" ca="1" si="58"/>
        <v/>
      </c>
      <c r="F610" s="29" t="str">
        <f ca="1">IF(C610&lt;&gt;"",IF(OR(VLOOKUP(C610,$C$3:$L$6,5,0)=Variables!$B$5,B610&gt;VLOOKUP(C610,$C$3:$L$6,8,0)),-D610*VLOOKUP(C610,$C$3:$L$6,6,0)/12,0),"")</f>
        <v/>
      </c>
      <c r="G610" s="29" t="str">
        <f ca="1">IF(I610&lt;&gt;Variables!$B$1,IF(C610&lt;&gt;"",$I$9-E610-F610,""),-D610)</f>
        <v/>
      </c>
      <c r="H610" s="29" t="str">
        <f t="shared" ca="1" si="61"/>
        <v/>
      </c>
      <c r="I610" s="31" t="str">
        <f ca="1">IF(C610&lt;&gt;"",IF(D610+$I$9-E610-F610&gt;=0,IF(ISERROR(INDEX($C$3:$C$6,MATCH(C610,$C$3:$C$6,0)+1,0)),Variables!$B$1,INDEX($C$3:$C$6,MATCH(C610,$C$3:$C$6,0)+1,0)),""),"")</f>
        <v/>
      </c>
      <c r="J610" s="29" t="str">
        <f ca="1">IF(ISERROR(VLOOKUP(I610,$C$3:$L$6,5,0)),"",IF(OR(VLOOKUP(I610,$C$3:$L$6,5,0)=Variables!$B$5,B610&gt;VLOOKUP(I610,$C$3:$L$6,8,0)),IF(VLOOKUP(I610,$C$3:$L$6,5,0)=Variables!$B$5,((YEAR(B610)-YEAR($B$12))*12+MONTH(B610)-MONTH($B$12)),((YEAR(B610)-YEAR(VLOOKUP(I610,$C$3:$L$6,8,0)))*12+MONTH(B610)-MONTH(VLOOKUP(I610,$C$3:$L$6,8,0))))*(VLOOKUP(I610,$C$3:$L$6,10,0)*VLOOKUP(I610,$C$3:$L$6,6,0)/12),0))</f>
        <v/>
      </c>
      <c r="K610" s="29" t="str">
        <f ca="1">IF(C610&lt;&gt;"",IF(I610&lt;&gt;"",IF(ISERROR(VLOOKUP(I610,$C$3:$L$6,10,0)),"",VLOOKUP(I610,$C$3:$L$6,10,0)+J610+IF(OR(VLOOKUP(I610,$C$3:$L$6,5,0)=Variables!$B$5,B610&gt;VLOOKUP(I610,$C$3:$L$6,8,0)),IF(VLOOKUP(I610,$C$3:$L$6,5,0)=Variables!$B$5,((YEAR(B610)-YEAR($B$12))*12+MONTH(B610)-MONTH($B$12)),((YEAR(B610)-YEAR(VLOOKUP(I610,$C$3:$L$6,8,0)))*12+MONTH(B610)-MONTH(VLOOKUP(I610,$C$3:$L$6,8,0))))*VLOOKUP(I610,$C$3:$L$6,7,0),0)),""),"")</f>
        <v/>
      </c>
      <c r="L610" s="29" t="str">
        <f t="shared" ca="1" si="59"/>
        <v/>
      </c>
      <c r="M610" s="10"/>
      <c r="N610" s="10"/>
    </row>
    <row r="611" spans="1:14" x14ac:dyDescent="0.25">
      <c r="A611" s="10"/>
      <c r="B611" s="14" t="str">
        <f t="shared" ca="1" si="60"/>
        <v/>
      </c>
      <c r="C611" s="14" t="str">
        <f ca="1">IF(I610&lt;&gt;Variables!$B$1,IF(H610&lt;&gt;0,C610,I610),"")</f>
        <v/>
      </c>
      <c r="D611" s="29" t="str">
        <f t="shared" ca="1" si="57"/>
        <v/>
      </c>
      <c r="E611" s="29" t="str">
        <f t="shared" ca="1" si="58"/>
        <v/>
      </c>
      <c r="F611" s="29" t="str">
        <f ca="1">IF(C611&lt;&gt;"",IF(OR(VLOOKUP(C611,$C$3:$L$6,5,0)=Variables!$B$5,B611&gt;VLOOKUP(C611,$C$3:$L$6,8,0)),-D611*VLOOKUP(C611,$C$3:$L$6,6,0)/12,0),"")</f>
        <v/>
      </c>
      <c r="G611" s="29" t="str">
        <f ca="1">IF(I611&lt;&gt;Variables!$B$1,IF(C611&lt;&gt;"",$I$9-E611-F611,""),-D611)</f>
        <v/>
      </c>
      <c r="H611" s="29" t="str">
        <f t="shared" ca="1" si="61"/>
        <v/>
      </c>
      <c r="I611" s="31" t="str">
        <f ca="1">IF(C611&lt;&gt;"",IF(D611+$I$9-E611-F611&gt;=0,IF(ISERROR(INDEX($C$3:$C$6,MATCH(C611,$C$3:$C$6,0)+1,0)),Variables!$B$1,INDEX($C$3:$C$6,MATCH(C611,$C$3:$C$6,0)+1,0)),""),"")</f>
        <v/>
      </c>
      <c r="J611" s="29" t="str">
        <f ca="1">IF(ISERROR(VLOOKUP(I611,$C$3:$L$6,5,0)),"",IF(OR(VLOOKUP(I611,$C$3:$L$6,5,0)=Variables!$B$5,B611&gt;VLOOKUP(I611,$C$3:$L$6,8,0)),IF(VLOOKUP(I611,$C$3:$L$6,5,0)=Variables!$B$5,((YEAR(B611)-YEAR($B$12))*12+MONTH(B611)-MONTH($B$12)),((YEAR(B611)-YEAR(VLOOKUP(I611,$C$3:$L$6,8,0)))*12+MONTH(B611)-MONTH(VLOOKUP(I611,$C$3:$L$6,8,0))))*(VLOOKUP(I611,$C$3:$L$6,10,0)*VLOOKUP(I611,$C$3:$L$6,6,0)/12),0))</f>
        <v/>
      </c>
      <c r="K611" s="29" t="str">
        <f ca="1">IF(C611&lt;&gt;"",IF(I611&lt;&gt;"",IF(ISERROR(VLOOKUP(I611,$C$3:$L$6,10,0)),"",VLOOKUP(I611,$C$3:$L$6,10,0)+J611+IF(OR(VLOOKUP(I611,$C$3:$L$6,5,0)=Variables!$B$5,B611&gt;VLOOKUP(I611,$C$3:$L$6,8,0)),IF(VLOOKUP(I611,$C$3:$L$6,5,0)=Variables!$B$5,((YEAR(B611)-YEAR($B$12))*12+MONTH(B611)-MONTH($B$12)),((YEAR(B611)-YEAR(VLOOKUP(I611,$C$3:$L$6,8,0)))*12+MONTH(B611)-MONTH(VLOOKUP(I611,$C$3:$L$6,8,0))))*VLOOKUP(I611,$C$3:$L$6,7,0),0)),""),"")</f>
        <v/>
      </c>
      <c r="L611" s="29" t="str">
        <f t="shared" ca="1" si="59"/>
        <v/>
      </c>
      <c r="M611" s="10"/>
      <c r="N611" s="10"/>
    </row>
    <row r="612" spans="1:14" x14ac:dyDescent="0.25">
      <c r="A612" s="10"/>
      <c r="B612" s="14" t="str">
        <f t="shared" ca="1" si="60"/>
        <v/>
      </c>
      <c r="C612" s="14" t="str">
        <f ca="1">IF(I611&lt;&gt;Variables!$B$1,IF(H611&lt;&gt;0,C611,I611),"")</f>
        <v/>
      </c>
      <c r="D612" s="29" t="str">
        <f t="shared" ca="1" si="57"/>
        <v/>
      </c>
      <c r="E612" s="29" t="str">
        <f t="shared" ca="1" si="58"/>
        <v/>
      </c>
      <c r="F612" s="29" t="str">
        <f ca="1">IF(C612&lt;&gt;"",IF(OR(VLOOKUP(C612,$C$3:$L$6,5,0)=Variables!$B$5,B612&gt;VLOOKUP(C612,$C$3:$L$6,8,0)),-D612*VLOOKUP(C612,$C$3:$L$6,6,0)/12,0),"")</f>
        <v/>
      </c>
      <c r="G612" s="29" t="str">
        <f ca="1">IF(I612&lt;&gt;Variables!$B$1,IF(C612&lt;&gt;"",$I$9-E612-F612,""),-D612)</f>
        <v/>
      </c>
      <c r="H612" s="29" t="str">
        <f t="shared" ca="1" si="61"/>
        <v/>
      </c>
      <c r="I612" s="31" t="str">
        <f ca="1">IF(C612&lt;&gt;"",IF(D612+$I$9-E612-F612&gt;=0,IF(ISERROR(INDEX($C$3:$C$6,MATCH(C612,$C$3:$C$6,0)+1,0)),Variables!$B$1,INDEX($C$3:$C$6,MATCH(C612,$C$3:$C$6,0)+1,0)),""),"")</f>
        <v/>
      </c>
      <c r="J612" s="29" t="str">
        <f ca="1">IF(ISERROR(VLOOKUP(I612,$C$3:$L$6,5,0)),"",IF(OR(VLOOKUP(I612,$C$3:$L$6,5,0)=Variables!$B$5,B612&gt;VLOOKUP(I612,$C$3:$L$6,8,0)),IF(VLOOKUP(I612,$C$3:$L$6,5,0)=Variables!$B$5,((YEAR(B612)-YEAR($B$12))*12+MONTH(B612)-MONTH($B$12)),((YEAR(B612)-YEAR(VLOOKUP(I612,$C$3:$L$6,8,0)))*12+MONTH(B612)-MONTH(VLOOKUP(I612,$C$3:$L$6,8,0))))*(VLOOKUP(I612,$C$3:$L$6,10,0)*VLOOKUP(I612,$C$3:$L$6,6,0)/12),0))</f>
        <v/>
      </c>
      <c r="K612" s="29" t="str">
        <f ca="1">IF(C612&lt;&gt;"",IF(I612&lt;&gt;"",IF(ISERROR(VLOOKUP(I612,$C$3:$L$6,10,0)),"",VLOOKUP(I612,$C$3:$L$6,10,0)+J612+IF(OR(VLOOKUP(I612,$C$3:$L$6,5,0)=Variables!$B$5,B612&gt;VLOOKUP(I612,$C$3:$L$6,8,0)),IF(VLOOKUP(I612,$C$3:$L$6,5,0)=Variables!$B$5,((YEAR(B612)-YEAR($B$12))*12+MONTH(B612)-MONTH($B$12)),((YEAR(B612)-YEAR(VLOOKUP(I612,$C$3:$L$6,8,0)))*12+MONTH(B612)-MONTH(VLOOKUP(I612,$C$3:$L$6,8,0))))*VLOOKUP(I612,$C$3:$L$6,7,0),0)),""),"")</f>
        <v/>
      </c>
      <c r="L612" s="29" t="str">
        <f t="shared" ca="1" si="59"/>
        <v/>
      </c>
      <c r="M612" s="10"/>
      <c r="N612" s="10"/>
    </row>
    <row r="613" spans="1:14" x14ac:dyDescent="0.25">
      <c r="A613" s="10"/>
      <c r="B613" s="14" t="str">
        <f t="shared" ca="1" si="60"/>
        <v/>
      </c>
      <c r="C613" s="14" t="str">
        <f ca="1">IF(I612&lt;&gt;Variables!$B$1,IF(H612&lt;&gt;0,C612,I612),"")</f>
        <v/>
      </c>
      <c r="D613" s="29" t="str">
        <f t="shared" ca="1" si="57"/>
        <v/>
      </c>
      <c r="E613" s="29" t="str">
        <f t="shared" ca="1" si="58"/>
        <v/>
      </c>
      <c r="F613" s="29" t="str">
        <f ca="1">IF(C613&lt;&gt;"",IF(OR(VLOOKUP(C613,$C$3:$L$6,5,0)=Variables!$B$5,B613&gt;VLOOKUP(C613,$C$3:$L$6,8,0)),-D613*VLOOKUP(C613,$C$3:$L$6,6,0)/12,0),"")</f>
        <v/>
      </c>
      <c r="G613" s="29" t="str">
        <f ca="1">IF(I613&lt;&gt;Variables!$B$1,IF(C613&lt;&gt;"",$I$9-E613-F613,""),-D613)</f>
        <v/>
      </c>
      <c r="H613" s="29" t="str">
        <f t="shared" ca="1" si="61"/>
        <v/>
      </c>
      <c r="I613" s="31" t="str">
        <f ca="1">IF(C613&lt;&gt;"",IF(D613+$I$9-E613-F613&gt;=0,IF(ISERROR(INDEX($C$3:$C$6,MATCH(C613,$C$3:$C$6,0)+1,0)),Variables!$B$1,INDEX($C$3:$C$6,MATCH(C613,$C$3:$C$6,0)+1,0)),""),"")</f>
        <v/>
      </c>
      <c r="J613" s="29" t="str">
        <f ca="1">IF(ISERROR(VLOOKUP(I613,$C$3:$L$6,5,0)),"",IF(OR(VLOOKUP(I613,$C$3:$L$6,5,0)=Variables!$B$5,B613&gt;VLOOKUP(I613,$C$3:$L$6,8,0)),IF(VLOOKUP(I613,$C$3:$L$6,5,0)=Variables!$B$5,((YEAR(B613)-YEAR($B$12))*12+MONTH(B613)-MONTH($B$12)),((YEAR(B613)-YEAR(VLOOKUP(I613,$C$3:$L$6,8,0)))*12+MONTH(B613)-MONTH(VLOOKUP(I613,$C$3:$L$6,8,0))))*(VLOOKUP(I613,$C$3:$L$6,10,0)*VLOOKUP(I613,$C$3:$L$6,6,0)/12),0))</f>
        <v/>
      </c>
      <c r="K613" s="29" t="str">
        <f ca="1">IF(C613&lt;&gt;"",IF(I613&lt;&gt;"",IF(ISERROR(VLOOKUP(I613,$C$3:$L$6,10,0)),"",VLOOKUP(I613,$C$3:$L$6,10,0)+J613+IF(OR(VLOOKUP(I613,$C$3:$L$6,5,0)=Variables!$B$5,B613&gt;VLOOKUP(I613,$C$3:$L$6,8,0)),IF(VLOOKUP(I613,$C$3:$L$6,5,0)=Variables!$B$5,((YEAR(B613)-YEAR($B$12))*12+MONTH(B613)-MONTH($B$12)),((YEAR(B613)-YEAR(VLOOKUP(I613,$C$3:$L$6,8,0)))*12+MONTH(B613)-MONTH(VLOOKUP(I613,$C$3:$L$6,8,0))))*VLOOKUP(I613,$C$3:$L$6,7,0),0)),""),"")</f>
        <v/>
      </c>
      <c r="L613" s="29" t="str">
        <f t="shared" ca="1" si="59"/>
        <v/>
      </c>
      <c r="M613" s="10"/>
      <c r="N613" s="10"/>
    </row>
    <row r="614" spans="1:14" x14ac:dyDescent="0.25">
      <c r="A614" s="10"/>
      <c r="B614" s="14" t="str">
        <f t="shared" ca="1" si="60"/>
        <v/>
      </c>
      <c r="C614" s="14" t="str">
        <f ca="1">IF(I613&lt;&gt;Variables!$B$1,IF(H613&lt;&gt;0,C613,I613),"")</f>
        <v/>
      </c>
      <c r="D614" s="29" t="str">
        <f t="shared" ca="1" si="57"/>
        <v/>
      </c>
      <c r="E614" s="29" t="str">
        <f t="shared" ca="1" si="58"/>
        <v/>
      </c>
      <c r="F614" s="29" t="str">
        <f ca="1">IF(C614&lt;&gt;"",IF(OR(VLOOKUP(C614,$C$3:$L$6,5,0)=Variables!$B$5,B614&gt;VLOOKUP(C614,$C$3:$L$6,8,0)),-D614*VLOOKUP(C614,$C$3:$L$6,6,0)/12,0),"")</f>
        <v/>
      </c>
      <c r="G614" s="29" t="str">
        <f ca="1">IF(I614&lt;&gt;Variables!$B$1,IF(C614&lt;&gt;"",$I$9-E614-F614,""),-D614)</f>
        <v/>
      </c>
      <c r="H614" s="29" t="str">
        <f t="shared" ca="1" si="61"/>
        <v/>
      </c>
      <c r="I614" s="31" t="str">
        <f ca="1">IF(C614&lt;&gt;"",IF(D614+$I$9-E614-F614&gt;=0,IF(ISERROR(INDEX($C$3:$C$6,MATCH(C614,$C$3:$C$6,0)+1,0)),Variables!$B$1,INDEX($C$3:$C$6,MATCH(C614,$C$3:$C$6,0)+1,0)),""),"")</f>
        <v/>
      </c>
      <c r="J614" s="29" t="str">
        <f ca="1">IF(ISERROR(VLOOKUP(I614,$C$3:$L$6,5,0)),"",IF(OR(VLOOKUP(I614,$C$3:$L$6,5,0)=Variables!$B$5,B614&gt;VLOOKUP(I614,$C$3:$L$6,8,0)),IF(VLOOKUP(I614,$C$3:$L$6,5,0)=Variables!$B$5,((YEAR(B614)-YEAR($B$12))*12+MONTH(B614)-MONTH($B$12)),((YEAR(B614)-YEAR(VLOOKUP(I614,$C$3:$L$6,8,0)))*12+MONTH(B614)-MONTH(VLOOKUP(I614,$C$3:$L$6,8,0))))*(VLOOKUP(I614,$C$3:$L$6,10,0)*VLOOKUP(I614,$C$3:$L$6,6,0)/12),0))</f>
        <v/>
      </c>
      <c r="K614" s="29" t="str">
        <f ca="1">IF(C614&lt;&gt;"",IF(I614&lt;&gt;"",IF(ISERROR(VLOOKUP(I614,$C$3:$L$6,10,0)),"",VLOOKUP(I614,$C$3:$L$6,10,0)+J614+IF(OR(VLOOKUP(I614,$C$3:$L$6,5,0)=Variables!$B$5,B614&gt;VLOOKUP(I614,$C$3:$L$6,8,0)),IF(VLOOKUP(I614,$C$3:$L$6,5,0)=Variables!$B$5,((YEAR(B614)-YEAR($B$12))*12+MONTH(B614)-MONTH($B$12)),((YEAR(B614)-YEAR(VLOOKUP(I614,$C$3:$L$6,8,0)))*12+MONTH(B614)-MONTH(VLOOKUP(I614,$C$3:$L$6,8,0))))*VLOOKUP(I614,$C$3:$L$6,7,0),0)),""),"")</f>
        <v/>
      </c>
      <c r="L614" s="29" t="str">
        <f t="shared" ca="1" si="59"/>
        <v/>
      </c>
      <c r="M614" s="10"/>
      <c r="N614" s="10"/>
    </row>
    <row r="615" spans="1:14" x14ac:dyDescent="0.25">
      <c r="A615" s="10"/>
      <c r="B615" s="14" t="str">
        <f t="shared" ca="1" si="60"/>
        <v/>
      </c>
      <c r="C615" s="14" t="str">
        <f ca="1">IF(I614&lt;&gt;Variables!$B$1,IF(H614&lt;&gt;0,C614,I614),"")</f>
        <v/>
      </c>
      <c r="D615" s="29" t="str">
        <f t="shared" ca="1" si="57"/>
        <v/>
      </c>
      <c r="E615" s="29" t="str">
        <f t="shared" ca="1" si="58"/>
        <v/>
      </c>
      <c r="F615" s="29" t="str">
        <f ca="1">IF(C615&lt;&gt;"",IF(OR(VLOOKUP(C615,$C$3:$L$6,5,0)=Variables!$B$5,B615&gt;VLOOKUP(C615,$C$3:$L$6,8,0)),-D615*VLOOKUP(C615,$C$3:$L$6,6,0)/12,0),"")</f>
        <v/>
      </c>
      <c r="G615" s="29" t="str">
        <f ca="1">IF(I615&lt;&gt;Variables!$B$1,IF(C615&lt;&gt;"",$I$9-E615-F615,""),-D615)</f>
        <v/>
      </c>
      <c r="H615" s="29" t="str">
        <f t="shared" ca="1" si="61"/>
        <v/>
      </c>
      <c r="I615" s="31" t="str">
        <f ca="1">IF(C615&lt;&gt;"",IF(D615+$I$9-E615-F615&gt;=0,IF(ISERROR(INDEX($C$3:$C$6,MATCH(C615,$C$3:$C$6,0)+1,0)),Variables!$B$1,INDEX($C$3:$C$6,MATCH(C615,$C$3:$C$6,0)+1,0)),""),"")</f>
        <v/>
      </c>
      <c r="J615" s="29" t="str">
        <f ca="1">IF(ISERROR(VLOOKUP(I615,$C$3:$L$6,5,0)),"",IF(OR(VLOOKUP(I615,$C$3:$L$6,5,0)=Variables!$B$5,B615&gt;VLOOKUP(I615,$C$3:$L$6,8,0)),IF(VLOOKUP(I615,$C$3:$L$6,5,0)=Variables!$B$5,((YEAR(B615)-YEAR($B$12))*12+MONTH(B615)-MONTH($B$12)),((YEAR(B615)-YEAR(VLOOKUP(I615,$C$3:$L$6,8,0)))*12+MONTH(B615)-MONTH(VLOOKUP(I615,$C$3:$L$6,8,0))))*(VLOOKUP(I615,$C$3:$L$6,10,0)*VLOOKUP(I615,$C$3:$L$6,6,0)/12),0))</f>
        <v/>
      </c>
      <c r="K615" s="29" t="str">
        <f ca="1">IF(C615&lt;&gt;"",IF(I615&lt;&gt;"",IF(ISERROR(VLOOKUP(I615,$C$3:$L$6,10,0)),"",VLOOKUP(I615,$C$3:$L$6,10,0)+J615+IF(OR(VLOOKUP(I615,$C$3:$L$6,5,0)=Variables!$B$5,B615&gt;VLOOKUP(I615,$C$3:$L$6,8,0)),IF(VLOOKUP(I615,$C$3:$L$6,5,0)=Variables!$B$5,((YEAR(B615)-YEAR($B$12))*12+MONTH(B615)-MONTH($B$12)),((YEAR(B615)-YEAR(VLOOKUP(I615,$C$3:$L$6,8,0)))*12+MONTH(B615)-MONTH(VLOOKUP(I615,$C$3:$L$6,8,0))))*VLOOKUP(I615,$C$3:$L$6,7,0),0)),""),"")</f>
        <v/>
      </c>
      <c r="L615" s="29" t="str">
        <f t="shared" ca="1" si="59"/>
        <v/>
      </c>
      <c r="M615" s="10"/>
      <c r="N615" s="10"/>
    </row>
    <row r="616" spans="1:14" x14ac:dyDescent="0.25">
      <c r="A616" s="10"/>
      <c r="B616" s="14" t="str">
        <f t="shared" ca="1" si="60"/>
        <v/>
      </c>
      <c r="C616" s="14" t="str">
        <f ca="1">IF(I615&lt;&gt;Variables!$B$1,IF(H615&lt;&gt;0,C615,I615),"")</f>
        <v/>
      </c>
      <c r="D616" s="29" t="str">
        <f t="shared" ca="1" si="57"/>
        <v/>
      </c>
      <c r="E616" s="29" t="str">
        <f t="shared" ca="1" si="58"/>
        <v/>
      </c>
      <c r="F616" s="29" t="str">
        <f ca="1">IF(C616&lt;&gt;"",IF(OR(VLOOKUP(C616,$C$3:$L$6,5,0)=Variables!$B$5,B616&gt;VLOOKUP(C616,$C$3:$L$6,8,0)),-D616*VLOOKUP(C616,$C$3:$L$6,6,0)/12,0),"")</f>
        <v/>
      </c>
      <c r="G616" s="29" t="str">
        <f ca="1">IF(I616&lt;&gt;Variables!$B$1,IF(C616&lt;&gt;"",$I$9-E616-F616,""),-D616)</f>
        <v/>
      </c>
      <c r="H616" s="29" t="str">
        <f t="shared" ca="1" si="61"/>
        <v/>
      </c>
      <c r="I616" s="31" t="str">
        <f ca="1">IF(C616&lt;&gt;"",IF(D616+$I$9-E616-F616&gt;=0,IF(ISERROR(INDEX($C$3:$C$6,MATCH(C616,$C$3:$C$6,0)+1,0)),Variables!$B$1,INDEX($C$3:$C$6,MATCH(C616,$C$3:$C$6,0)+1,0)),""),"")</f>
        <v/>
      </c>
      <c r="J616" s="29" t="str">
        <f ca="1">IF(ISERROR(VLOOKUP(I616,$C$3:$L$6,5,0)),"",IF(OR(VLOOKUP(I616,$C$3:$L$6,5,0)=Variables!$B$5,B616&gt;VLOOKUP(I616,$C$3:$L$6,8,0)),IF(VLOOKUP(I616,$C$3:$L$6,5,0)=Variables!$B$5,((YEAR(B616)-YEAR($B$12))*12+MONTH(B616)-MONTH($B$12)),((YEAR(B616)-YEAR(VLOOKUP(I616,$C$3:$L$6,8,0)))*12+MONTH(B616)-MONTH(VLOOKUP(I616,$C$3:$L$6,8,0))))*(VLOOKUP(I616,$C$3:$L$6,10,0)*VLOOKUP(I616,$C$3:$L$6,6,0)/12),0))</f>
        <v/>
      </c>
      <c r="K616" s="29" t="str">
        <f ca="1">IF(C616&lt;&gt;"",IF(I616&lt;&gt;"",IF(ISERROR(VLOOKUP(I616,$C$3:$L$6,10,0)),"",VLOOKUP(I616,$C$3:$L$6,10,0)+J616+IF(OR(VLOOKUP(I616,$C$3:$L$6,5,0)=Variables!$B$5,B616&gt;VLOOKUP(I616,$C$3:$L$6,8,0)),IF(VLOOKUP(I616,$C$3:$L$6,5,0)=Variables!$B$5,((YEAR(B616)-YEAR($B$12))*12+MONTH(B616)-MONTH($B$12)),((YEAR(B616)-YEAR(VLOOKUP(I616,$C$3:$L$6,8,0)))*12+MONTH(B616)-MONTH(VLOOKUP(I616,$C$3:$L$6,8,0))))*VLOOKUP(I616,$C$3:$L$6,7,0),0)),""),"")</f>
        <v/>
      </c>
      <c r="L616" s="29" t="str">
        <f t="shared" ca="1" si="59"/>
        <v/>
      </c>
      <c r="M616" s="10"/>
      <c r="N616" s="10"/>
    </row>
    <row r="617" spans="1:14" x14ac:dyDescent="0.25">
      <c r="A617" s="10"/>
      <c r="B617" s="14" t="str">
        <f t="shared" ca="1" si="60"/>
        <v/>
      </c>
      <c r="C617" s="14" t="str">
        <f ca="1">IF(I616&lt;&gt;Variables!$B$1,IF(H616&lt;&gt;0,C616,I616),"")</f>
        <v/>
      </c>
      <c r="D617" s="29" t="str">
        <f t="shared" ca="1" si="57"/>
        <v/>
      </c>
      <c r="E617" s="29" t="str">
        <f t="shared" ca="1" si="58"/>
        <v/>
      </c>
      <c r="F617" s="29" t="str">
        <f ca="1">IF(C617&lt;&gt;"",IF(OR(VLOOKUP(C617,$C$3:$L$6,5,0)=Variables!$B$5,B617&gt;VLOOKUP(C617,$C$3:$L$6,8,0)),-D617*VLOOKUP(C617,$C$3:$L$6,6,0)/12,0),"")</f>
        <v/>
      </c>
      <c r="G617" s="29" t="str">
        <f ca="1">IF(I617&lt;&gt;Variables!$B$1,IF(C617&lt;&gt;"",$I$9-E617-F617,""),-D617)</f>
        <v/>
      </c>
      <c r="H617" s="29" t="str">
        <f t="shared" ca="1" si="61"/>
        <v/>
      </c>
      <c r="I617" s="31" t="str">
        <f ca="1">IF(C617&lt;&gt;"",IF(D617+$I$9-E617-F617&gt;=0,IF(ISERROR(INDEX($C$3:$C$6,MATCH(C617,$C$3:$C$6,0)+1,0)),Variables!$B$1,INDEX($C$3:$C$6,MATCH(C617,$C$3:$C$6,0)+1,0)),""),"")</f>
        <v/>
      </c>
      <c r="J617" s="29" t="str">
        <f ca="1">IF(ISERROR(VLOOKUP(I617,$C$3:$L$6,5,0)),"",IF(OR(VLOOKUP(I617,$C$3:$L$6,5,0)=Variables!$B$5,B617&gt;VLOOKUP(I617,$C$3:$L$6,8,0)),IF(VLOOKUP(I617,$C$3:$L$6,5,0)=Variables!$B$5,((YEAR(B617)-YEAR($B$12))*12+MONTH(B617)-MONTH($B$12)),((YEAR(B617)-YEAR(VLOOKUP(I617,$C$3:$L$6,8,0)))*12+MONTH(B617)-MONTH(VLOOKUP(I617,$C$3:$L$6,8,0))))*(VLOOKUP(I617,$C$3:$L$6,10,0)*VLOOKUP(I617,$C$3:$L$6,6,0)/12),0))</f>
        <v/>
      </c>
      <c r="K617" s="29" t="str">
        <f ca="1">IF(C617&lt;&gt;"",IF(I617&lt;&gt;"",IF(ISERROR(VLOOKUP(I617,$C$3:$L$6,10,0)),"",VLOOKUP(I617,$C$3:$L$6,10,0)+J617+IF(OR(VLOOKUP(I617,$C$3:$L$6,5,0)=Variables!$B$5,B617&gt;VLOOKUP(I617,$C$3:$L$6,8,0)),IF(VLOOKUP(I617,$C$3:$L$6,5,0)=Variables!$B$5,((YEAR(B617)-YEAR($B$12))*12+MONTH(B617)-MONTH($B$12)),((YEAR(B617)-YEAR(VLOOKUP(I617,$C$3:$L$6,8,0)))*12+MONTH(B617)-MONTH(VLOOKUP(I617,$C$3:$L$6,8,0))))*VLOOKUP(I617,$C$3:$L$6,7,0),0)),""),"")</f>
        <v/>
      </c>
      <c r="L617" s="29" t="str">
        <f t="shared" ca="1" si="59"/>
        <v/>
      </c>
      <c r="M617" s="10"/>
      <c r="N617" s="10"/>
    </row>
    <row r="618" spans="1:14" x14ac:dyDescent="0.25">
      <c r="A618" s="10"/>
      <c r="B618" s="14" t="str">
        <f t="shared" ca="1" si="60"/>
        <v/>
      </c>
      <c r="C618" s="14" t="str">
        <f ca="1">IF(I617&lt;&gt;Variables!$B$1,IF(H617&lt;&gt;0,C617,I617),"")</f>
        <v/>
      </c>
      <c r="D618" s="29" t="str">
        <f t="shared" ca="1" si="57"/>
        <v/>
      </c>
      <c r="E618" s="29" t="str">
        <f t="shared" ca="1" si="58"/>
        <v/>
      </c>
      <c r="F618" s="29" t="str">
        <f ca="1">IF(C618&lt;&gt;"",IF(OR(VLOOKUP(C618,$C$3:$L$6,5,0)=Variables!$B$5,B618&gt;VLOOKUP(C618,$C$3:$L$6,8,0)),-D618*VLOOKUP(C618,$C$3:$L$6,6,0)/12,0),"")</f>
        <v/>
      </c>
      <c r="G618" s="29" t="str">
        <f ca="1">IF(I618&lt;&gt;Variables!$B$1,IF(C618&lt;&gt;"",$I$9-E618-F618,""),-D618)</f>
        <v/>
      </c>
      <c r="H618" s="29" t="str">
        <f t="shared" ca="1" si="61"/>
        <v/>
      </c>
      <c r="I618" s="31" t="str">
        <f ca="1">IF(C618&lt;&gt;"",IF(D618+$I$9-E618-F618&gt;=0,IF(ISERROR(INDEX($C$3:$C$6,MATCH(C618,$C$3:$C$6,0)+1,0)),Variables!$B$1,INDEX($C$3:$C$6,MATCH(C618,$C$3:$C$6,0)+1,0)),""),"")</f>
        <v/>
      </c>
      <c r="J618" s="29" t="str">
        <f ca="1">IF(ISERROR(VLOOKUP(I618,$C$3:$L$6,5,0)),"",IF(OR(VLOOKUP(I618,$C$3:$L$6,5,0)=Variables!$B$5,B618&gt;VLOOKUP(I618,$C$3:$L$6,8,0)),IF(VLOOKUP(I618,$C$3:$L$6,5,0)=Variables!$B$5,((YEAR(B618)-YEAR($B$12))*12+MONTH(B618)-MONTH($B$12)),((YEAR(B618)-YEAR(VLOOKUP(I618,$C$3:$L$6,8,0)))*12+MONTH(B618)-MONTH(VLOOKUP(I618,$C$3:$L$6,8,0))))*(VLOOKUP(I618,$C$3:$L$6,10,0)*VLOOKUP(I618,$C$3:$L$6,6,0)/12),0))</f>
        <v/>
      </c>
      <c r="K618" s="29" t="str">
        <f ca="1">IF(C618&lt;&gt;"",IF(I618&lt;&gt;"",IF(ISERROR(VLOOKUP(I618,$C$3:$L$6,10,0)),"",VLOOKUP(I618,$C$3:$L$6,10,0)+J618+IF(OR(VLOOKUP(I618,$C$3:$L$6,5,0)=Variables!$B$5,B618&gt;VLOOKUP(I618,$C$3:$L$6,8,0)),IF(VLOOKUP(I618,$C$3:$L$6,5,0)=Variables!$B$5,((YEAR(B618)-YEAR($B$12))*12+MONTH(B618)-MONTH($B$12)),((YEAR(B618)-YEAR(VLOOKUP(I618,$C$3:$L$6,8,0)))*12+MONTH(B618)-MONTH(VLOOKUP(I618,$C$3:$L$6,8,0))))*VLOOKUP(I618,$C$3:$L$6,7,0),0)),""),"")</f>
        <v/>
      </c>
      <c r="L618" s="29" t="str">
        <f t="shared" ca="1" si="59"/>
        <v/>
      </c>
      <c r="M618" s="10"/>
      <c r="N618" s="10"/>
    </row>
    <row r="619" spans="1:14" x14ac:dyDescent="0.25">
      <c r="A619" s="10"/>
      <c r="B619" s="14" t="str">
        <f t="shared" ca="1" si="60"/>
        <v/>
      </c>
      <c r="C619" s="14" t="str">
        <f ca="1">IF(I618&lt;&gt;Variables!$B$1,IF(H618&lt;&gt;0,C618,I618),"")</f>
        <v/>
      </c>
      <c r="D619" s="29" t="str">
        <f t="shared" ca="1" si="57"/>
        <v/>
      </c>
      <c r="E619" s="29" t="str">
        <f t="shared" ca="1" si="58"/>
        <v/>
      </c>
      <c r="F619" s="29" t="str">
        <f ca="1">IF(C619&lt;&gt;"",IF(OR(VLOOKUP(C619,$C$3:$L$6,5,0)=Variables!$B$5,B619&gt;VLOOKUP(C619,$C$3:$L$6,8,0)),-D619*VLOOKUP(C619,$C$3:$L$6,6,0)/12,0),"")</f>
        <v/>
      </c>
      <c r="G619" s="29" t="str">
        <f ca="1">IF(I619&lt;&gt;Variables!$B$1,IF(C619&lt;&gt;"",$I$9-E619-F619,""),-D619)</f>
        <v/>
      </c>
      <c r="H619" s="29" t="str">
        <f t="shared" ca="1" si="61"/>
        <v/>
      </c>
      <c r="I619" s="31" t="str">
        <f ca="1">IF(C619&lt;&gt;"",IF(D619+$I$9-E619-F619&gt;=0,IF(ISERROR(INDEX($C$3:$C$6,MATCH(C619,$C$3:$C$6,0)+1,0)),Variables!$B$1,INDEX($C$3:$C$6,MATCH(C619,$C$3:$C$6,0)+1,0)),""),"")</f>
        <v/>
      </c>
      <c r="J619" s="29" t="str">
        <f ca="1">IF(ISERROR(VLOOKUP(I619,$C$3:$L$6,5,0)),"",IF(OR(VLOOKUP(I619,$C$3:$L$6,5,0)=Variables!$B$5,B619&gt;VLOOKUP(I619,$C$3:$L$6,8,0)),IF(VLOOKUP(I619,$C$3:$L$6,5,0)=Variables!$B$5,((YEAR(B619)-YEAR($B$12))*12+MONTH(B619)-MONTH($B$12)),((YEAR(B619)-YEAR(VLOOKUP(I619,$C$3:$L$6,8,0)))*12+MONTH(B619)-MONTH(VLOOKUP(I619,$C$3:$L$6,8,0))))*(VLOOKUP(I619,$C$3:$L$6,10,0)*VLOOKUP(I619,$C$3:$L$6,6,0)/12),0))</f>
        <v/>
      </c>
      <c r="K619" s="29" t="str">
        <f ca="1">IF(C619&lt;&gt;"",IF(I619&lt;&gt;"",IF(ISERROR(VLOOKUP(I619,$C$3:$L$6,10,0)),"",VLOOKUP(I619,$C$3:$L$6,10,0)+J619+IF(OR(VLOOKUP(I619,$C$3:$L$6,5,0)=Variables!$B$5,B619&gt;VLOOKUP(I619,$C$3:$L$6,8,0)),IF(VLOOKUP(I619,$C$3:$L$6,5,0)=Variables!$B$5,((YEAR(B619)-YEAR($B$12))*12+MONTH(B619)-MONTH($B$12)),((YEAR(B619)-YEAR(VLOOKUP(I619,$C$3:$L$6,8,0)))*12+MONTH(B619)-MONTH(VLOOKUP(I619,$C$3:$L$6,8,0))))*VLOOKUP(I619,$C$3:$L$6,7,0),0)),""),"")</f>
        <v/>
      </c>
      <c r="L619" s="29" t="str">
        <f t="shared" ca="1" si="59"/>
        <v/>
      </c>
      <c r="M619" s="10"/>
      <c r="N619" s="10"/>
    </row>
    <row r="620" spans="1:14" x14ac:dyDescent="0.25">
      <c r="A620" s="10"/>
      <c r="B620" s="14" t="str">
        <f t="shared" ca="1" si="60"/>
        <v/>
      </c>
      <c r="C620" s="14" t="str">
        <f ca="1">IF(I619&lt;&gt;Variables!$B$1,IF(H619&lt;&gt;0,C619,I619),"")</f>
        <v/>
      </c>
      <c r="D620" s="29" t="str">
        <f t="shared" ca="1" si="57"/>
        <v/>
      </c>
      <c r="E620" s="29" t="str">
        <f t="shared" ca="1" si="58"/>
        <v/>
      </c>
      <c r="F620" s="29" t="str">
        <f ca="1">IF(C620&lt;&gt;"",IF(OR(VLOOKUP(C620,$C$3:$L$6,5,0)=Variables!$B$5,B620&gt;VLOOKUP(C620,$C$3:$L$6,8,0)),-D620*VLOOKUP(C620,$C$3:$L$6,6,0)/12,0),"")</f>
        <v/>
      </c>
      <c r="G620" s="29" t="str">
        <f ca="1">IF(I620&lt;&gt;Variables!$B$1,IF(C620&lt;&gt;"",$I$9-E620-F620,""),-D620)</f>
        <v/>
      </c>
      <c r="H620" s="29" t="str">
        <f t="shared" ca="1" si="61"/>
        <v/>
      </c>
      <c r="I620" s="31" t="str">
        <f ca="1">IF(C620&lt;&gt;"",IF(D620+$I$9-E620-F620&gt;=0,IF(ISERROR(INDEX($C$3:$C$6,MATCH(C620,$C$3:$C$6,0)+1,0)),Variables!$B$1,INDEX($C$3:$C$6,MATCH(C620,$C$3:$C$6,0)+1,0)),""),"")</f>
        <v/>
      </c>
      <c r="J620" s="29" t="str">
        <f ca="1">IF(ISERROR(VLOOKUP(I620,$C$3:$L$6,5,0)),"",IF(OR(VLOOKUP(I620,$C$3:$L$6,5,0)=Variables!$B$5,B620&gt;VLOOKUP(I620,$C$3:$L$6,8,0)),IF(VLOOKUP(I620,$C$3:$L$6,5,0)=Variables!$B$5,((YEAR(B620)-YEAR($B$12))*12+MONTH(B620)-MONTH($B$12)),((YEAR(B620)-YEAR(VLOOKUP(I620,$C$3:$L$6,8,0)))*12+MONTH(B620)-MONTH(VLOOKUP(I620,$C$3:$L$6,8,0))))*(VLOOKUP(I620,$C$3:$L$6,10,0)*VLOOKUP(I620,$C$3:$L$6,6,0)/12),0))</f>
        <v/>
      </c>
      <c r="K620" s="29" t="str">
        <f ca="1">IF(C620&lt;&gt;"",IF(I620&lt;&gt;"",IF(ISERROR(VLOOKUP(I620,$C$3:$L$6,10,0)),"",VLOOKUP(I620,$C$3:$L$6,10,0)+J620+IF(OR(VLOOKUP(I620,$C$3:$L$6,5,0)=Variables!$B$5,B620&gt;VLOOKUP(I620,$C$3:$L$6,8,0)),IF(VLOOKUP(I620,$C$3:$L$6,5,0)=Variables!$B$5,((YEAR(B620)-YEAR($B$12))*12+MONTH(B620)-MONTH($B$12)),((YEAR(B620)-YEAR(VLOOKUP(I620,$C$3:$L$6,8,0)))*12+MONTH(B620)-MONTH(VLOOKUP(I620,$C$3:$L$6,8,0))))*VLOOKUP(I620,$C$3:$L$6,7,0),0)),""),"")</f>
        <v/>
      </c>
      <c r="L620" s="29" t="str">
        <f t="shared" ca="1" si="59"/>
        <v/>
      </c>
      <c r="M620" s="10"/>
      <c r="N620" s="10"/>
    </row>
    <row r="621" spans="1:14" x14ac:dyDescent="0.25">
      <c r="A621" s="10"/>
      <c r="B621" s="14" t="str">
        <f t="shared" ca="1" si="60"/>
        <v/>
      </c>
      <c r="C621" s="14" t="str">
        <f ca="1">IF(I620&lt;&gt;Variables!$B$1,IF(H620&lt;&gt;0,C620,I620),"")</f>
        <v/>
      </c>
      <c r="D621" s="29" t="str">
        <f t="shared" ca="1" si="57"/>
        <v/>
      </c>
      <c r="E621" s="29" t="str">
        <f t="shared" ca="1" si="58"/>
        <v/>
      </c>
      <c r="F621" s="29" t="str">
        <f ca="1">IF(C621&lt;&gt;"",IF(OR(VLOOKUP(C621,$C$3:$L$6,5,0)=Variables!$B$5,B621&gt;VLOOKUP(C621,$C$3:$L$6,8,0)),-D621*VLOOKUP(C621,$C$3:$L$6,6,0)/12,0),"")</f>
        <v/>
      </c>
      <c r="G621" s="29" t="str">
        <f ca="1">IF(I621&lt;&gt;Variables!$B$1,IF(C621&lt;&gt;"",$I$9-E621-F621,""),-D621)</f>
        <v/>
      </c>
      <c r="H621" s="29" t="str">
        <f t="shared" ca="1" si="61"/>
        <v/>
      </c>
      <c r="I621" s="31" t="str">
        <f ca="1">IF(C621&lt;&gt;"",IF(D621+$I$9-E621-F621&gt;=0,IF(ISERROR(INDEX($C$3:$C$6,MATCH(C621,$C$3:$C$6,0)+1,0)),Variables!$B$1,INDEX($C$3:$C$6,MATCH(C621,$C$3:$C$6,0)+1,0)),""),"")</f>
        <v/>
      </c>
      <c r="J621" s="29" t="str">
        <f ca="1">IF(ISERROR(VLOOKUP(I621,$C$3:$L$6,5,0)),"",IF(OR(VLOOKUP(I621,$C$3:$L$6,5,0)=Variables!$B$5,B621&gt;VLOOKUP(I621,$C$3:$L$6,8,0)),IF(VLOOKUP(I621,$C$3:$L$6,5,0)=Variables!$B$5,((YEAR(B621)-YEAR($B$12))*12+MONTH(B621)-MONTH($B$12)),((YEAR(B621)-YEAR(VLOOKUP(I621,$C$3:$L$6,8,0)))*12+MONTH(B621)-MONTH(VLOOKUP(I621,$C$3:$L$6,8,0))))*(VLOOKUP(I621,$C$3:$L$6,10,0)*VLOOKUP(I621,$C$3:$L$6,6,0)/12),0))</f>
        <v/>
      </c>
      <c r="K621" s="29" t="str">
        <f ca="1">IF(C621&lt;&gt;"",IF(I621&lt;&gt;"",IF(ISERROR(VLOOKUP(I621,$C$3:$L$6,10,0)),"",VLOOKUP(I621,$C$3:$L$6,10,0)+J621+IF(OR(VLOOKUP(I621,$C$3:$L$6,5,0)=Variables!$B$5,B621&gt;VLOOKUP(I621,$C$3:$L$6,8,0)),IF(VLOOKUP(I621,$C$3:$L$6,5,0)=Variables!$B$5,((YEAR(B621)-YEAR($B$12))*12+MONTH(B621)-MONTH($B$12)),((YEAR(B621)-YEAR(VLOOKUP(I621,$C$3:$L$6,8,0)))*12+MONTH(B621)-MONTH(VLOOKUP(I621,$C$3:$L$6,8,0))))*VLOOKUP(I621,$C$3:$L$6,7,0),0)),""),"")</f>
        <v/>
      </c>
      <c r="L621" s="29" t="str">
        <f t="shared" ca="1" si="59"/>
        <v/>
      </c>
      <c r="M621" s="10"/>
      <c r="N621" s="10"/>
    </row>
    <row r="622" spans="1:14" x14ac:dyDescent="0.25">
      <c r="A622" s="10"/>
      <c r="B622" s="14" t="str">
        <f t="shared" ca="1" si="60"/>
        <v/>
      </c>
      <c r="C622" s="14" t="str">
        <f ca="1">IF(I621&lt;&gt;Variables!$B$1,IF(H621&lt;&gt;0,C621,I621),"")</f>
        <v/>
      </c>
      <c r="D622" s="29" t="str">
        <f t="shared" ca="1" si="57"/>
        <v/>
      </c>
      <c r="E622" s="29" t="str">
        <f t="shared" ca="1" si="58"/>
        <v/>
      </c>
      <c r="F622" s="29" t="str">
        <f ca="1">IF(C622&lt;&gt;"",IF(OR(VLOOKUP(C622,$C$3:$L$6,5,0)=Variables!$B$5,B622&gt;VLOOKUP(C622,$C$3:$L$6,8,0)),-D622*VLOOKUP(C622,$C$3:$L$6,6,0)/12,0),"")</f>
        <v/>
      </c>
      <c r="G622" s="29" t="str">
        <f ca="1">IF(I622&lt;&gt;Variables!$B$1,IF(C622&lt;&gt;"",$I$9-E622-F622,""),-D622)</f>
        <v/>
      </c>
      <c r="H622" s="29" t="str">
        <f t="shared" ca="1" si="61"/>
        <v/>
      </c>
      <c r="I622" s="31" t="str">
        <f ca="1">IF(C622&lt;&gt;"",IF(D622+$I$9-E622-F622&gt;=0,IF(ISERROR(INDEX($C$3:$C$6,MATCH(C622,$C$3:$C$6,0)+1,0)),Variables!$B$1,INDEX($C$3:$C$6,MATCH(C622,$C$3:$C$6,0)+1,0)),""),"")</f>
        <v/>
      </c>
      <c r="J622" s="29" t="str">
        <f ca="1">IF(ISERROR(VLOOKUP(I622,$C$3:$L$6,5,0)),"",IF(OR(VLOOKUP(I622,$C$3:$L$6,5,0)=Variables!$B$5,B622&gt;VLOOKUP(I622,$C$3:$L$6,8,0)),IF(VLOOKUP(I622,$C$3:$L$6,5,0)=Variables!$B$5,((YEAR(B622)-YEAR($B$12))*12+MONTH(B622)-MONTH($B$12)),((YEAR(B622)-YEAR(VLOOKUP(I622,$C$3:$L$6,8,0)))*12+MONTH(B622)-MONTH(VLOOKUP(I622,$C$3:$L$6,8,0))))*(VLOOKUP(I622,$C$3:$L$6,10,0)*VLOOKUP(I622,$C$3:$L$6,6,0)/12),0))</f>
        <v/>
      </c>
      <c r="K622" s="29" t="str">
        <f ca="1">IF(C622&lt;&gt;"",IF(I622&lt;&gt;"",IF(ISERROR(VLOOKUP(I622,$C$3:$L$6,10,0)),"",VLOOKUP(I622,$C$3:$L$6,10,0)+J622+IF(OR(VLOOKUP(I622,$C$3:$L$6,5,0)=Variables!$B$5,B622&gt;VLOOKUP(I622,$C$3:$L$6,8,0)),IF(VLOOKUP(I622,$C$3:$L$6,5,0)=Variables!$B$5,((YEAR(B622)-YEAR($B$12))*12+MONTH(B622)-MONTH($B$12)),((YEAR(B622)-YEAR(VLOOKUP(I622,$C$3:$L$6,8,0)))*12+MONTH(B622)-MONTH(VLOOKUP(I622,$C$3:$L$6,8,0))))*VLOOKUP(I622,$C$3:$L$6,7,0),0)),""),"")</f>
        <v/>
      </c>
      <c r="L622" s="29" t="str">
        <f t="shared" ca="1" si="59"/>
        <v/>
      </c>
      <c r="M622" s="10"/>
      <c r="N622" s="10"/>
    </row>
    <row r="623" spans="1:14" x14ac:dyDescent="0.25">
      <c r="A623" s="10"/>
      <c r="B623" s="14" t="str">
        <f t="shared" ca="1" si="60"/>
        <v/>
      </c>
      <c r="C623" s="14" t="str">
        <f ca="1">IF(I622&lt;&gt;Variables!$B$1,IF(H622&lt;&gt;0,C622,I622),"")</f>
        <v/>
      </c>
      <c r="D623" s="29" t="str">
        <f t="shared" ca="1" si="57"/>
        <v/>
      </c>
      <c r="E623" s="29" t="str">
        <f t="shared" ca="1" si="58"/>
        <v/>
      </c>
      <c r="F623" s="29" t="str">
        <f ca="1">IF(C623&lt;&gt;"",IF(OR(VLOOKUP(C623,$C$3:$L$6,5,0)=Variables!$B$5,B623&gt;VLOOKUP(C623,$C$3:$L$6,8,0)),-D623*VLOOKUP(C623,$C$3:$L$6,6,0)/12,0),"")</f>
        <v/>
      </c>
      <c r="G623" s="29" t="str">
        <f ca="1">IF(I623&lt;&gt;Variables!$B$1,IF(C623&lt;&gt;"",$I$9-E623-F623,""),-D623)</f>
        <v/>
      </c>
      <c r="H623" s="29" t="str">
        <f t="shared" ca="1" si="61"/>
        <v/>
      </c>
      <c r="I623" s="31" t="str">
        <f ca="1">IF(C623&lt;&gt;"",IF(D623+$I$9-E623-F623&gt;=0,IF(ISERROR(INDEX($C$3:$C$6,MATCH(C623,$C$3:$C$6,0)+1,0)),Variables!$B$1,INDEX($C$3:$C$6,MATCH(C623,$C$3:$C$6,0)+1,0)),""),"")</f>
        <v/>
      </c>
      <c r="J623" s="29" t="str">
        <f ca="1">IF(ISERROR(VLOOKUP(I623,$C$3:$L$6,5,0)),"",IF(OR(VLOOKUP(I623,$C$3:$L$6,5,0)=Variables!$B$5,B623&gt;VLOOKUP(I623,$C$3:$L$6,8,0)),IF(VLOOKUP(I623,$C$3:$L$6,5,0)=Variables!$B$5,((YEAR(B623)-YEAR($B$12))*12+MONTH(B623)-MONTH($B$12)),((YEAR(B623)-YEAR(VLOOKUP(I623,$C$3:$L$6,8,0)))*12+MONTH(B623)-MONTH(VLOOKUP(I623,$C$3:$L$6,8,0))))*(VLOOKUP(I623,$C$3:$L$6,10,0)*VLOOKUP(I623,$C$3:$L$6,6,0)/12),0))</f>
        <v/>
      </c>
      <c r="K623" s="29" t="str">
        <f ca="1">IF(C623&lt;&gt;"",IF(I623&lt;&gt;"",IF(ISERROR(VLOOKUP(I623,$C$3:$L$6,10,0)),"",VLOOKUP(I623,$C$3:$L$6,10,0)+J623+IF(OR(VLOOKUP(I623,$C$3:$L$6,5,0)=Variables!$B$5,B623&gt;VLOOKUP(I623,$C$3:$L$6,8,0)),IF(VLOOKUP(I623,$C$3:$L$6,5,0)=Variables!$B$5,((YEAR(B623)-YEAR($B$12))*12+MONTH(B623)-MONTH($B$12)),((YEAR(B623)-YEAR(VLOOKUP(I623,$C$3:$L$6,8,0)))*12+MONTH(B623)-MONTH(VLOOKUP(I623,$C$3:$L$6,8,0))))*VLOOKUP(I623,$C$3:$L$6,7,0),0)),""),"")</f>
        <v/>
      </c>
      <c r="L623" s="29" t="str">
        <f t="shared" ca="1" si="59"/>
        <v/>
      </c>
      <c r="M623" s="10"/>
      <c r="N623" s="10"/>
    </row>
    <row r="624" spans="1:14" x14ac:dyDescent="0.25">
      <c r="A624" s="10"/>
      <c r="B624" s="14" t="str">
        <f t="shared" ca="1" si="60"/>
        <v/>
      </c>
      <c r="C624" s="14" t="str">
        <f ca="1">IF(I623&lt;&gt;Variables!$B$1,IF(H623&lt;&gt;0,C623,I623),"")</f>
        <v/>
      </c>
      <c r="D624" s="29" t="str">
        <f t="shared" ca="1" si="57"/>
        <v/>
      </c>
      <c r="E624" s="29" t="str">
        <f t="shared" ca="1" si="58"/>
        <v/>
      </c>
      <c r="F624" s="29" t="str">
        <f ca="1">IF(C624&lt;&gt;"",IF(OR(VLOOKUP(C624,$C$3:$L$6,5,0)=Variables!$B$5,B624&gt;VLOOKUP(C624,$C$3:$L$6,8,0)),-D624*VLOOKUP(C624,$C$3:$L$6,6,0)/12,0),"")</f>
        <v/>
      </c>
      <c r="G624" s="29" t="str">
        <f ca="1">IF(I624&lt;&gt;Variables!$B$1,IF(C624&lt;&gt;"",$I$9-E624-F624,""),-D624)</f>
        <v/>
      </c>
      <c r="H624" s="29" t="str">
        <f t="shared" ca="1" si="61"/>
        <v/>
      </c>
      <c r="I624" s="31" t="str">
        <f ca="1">IF(C624&lt;&gt;"",IF(D624+$I$9-E624-F624&gt;=0,IF(ISERROR(INDEX($C$3:$C$6,MATCH(C624,$C$3:$C$6,0)+1,0)),Variables!$B$1,INDEX($C$3:$C$6,MATCH(C624,$C$3:$C$6,0)+1,0)),""),"")</f>
        <v/>
      </c>
      <c r="J624" s="29" t="str">
        <f ca="1">IF(ISERROR(VLOOKUP(I624,$C$3:$L$6,5,0)),"",IF(OR(VLOOKUP(I624,$C$3:$L$6,5,0)=Variables!$B$5,B624&gt;VLOOKUP(I624,$C$3:$L$6,8,0)),IF(VLOOKUP(I624,$C$3:$L$6,5,0)=Variables!$B$5,((YEAR(B624)-YEAR($B$12))*12+MONTH(B624)-MONTH($B$12)),((YEAR(B624)-YEAR(VLOOKUP(I624,$C$3:$L$6,8,0)))*12+MONTH(B624)-MONTH(VLOOKUP(I624,$C$3:$L$6,8,0))))*(VLOOKUP(I624,$C$3:$L$6,10,0)*VLOOKUP(I624,$C$3:$L$6,6,0)/12),0))</f>
        <v/>
      </c>
      <c r="K624" s="29" t="str">
        <f ca="1">IF(C624&lt;&gt;"",IF(I624&lt;&gt;"",IF(ISERROR(VLOOKUP(I624,$C$3:$L$6,10,0)),"",VLOOKUP(I624,$C$3:$L$6,10,0)+J624+IF(OR(VLOOKUP(I624,$C$3:$L$6,5,0)=Variables!$B$5,B624&gt;VLOOKUP(I624,$C$3:$L$6,8,0)),IF(VLOOKUP(I624,$C$3:$L$6,5,0)=Variables!$B$5,((YEAR(B624)-YEAR($B$12))*12+MONTH(B624)-MONTH($B$12)),((YEAR(B624)-YEAR(VLOOKUP(I624,$C$3:$L$6,8,0)))*12+MONTH(B624)-MONTH(VLOOKUP(I624,$C$3:$L$6,8,0))))*VLOOKUP(I624,$C$3:$L$6,7,0),0)),""),"")</f>
        <v/>
      </c>
      <c r="L624" s="29" t="str">
        <f t="shared" ca="1" si="59"/>
        <v/>
      </c>
      <c r="M624" s="10"/>
      <c r="N624" s="10"/>
    </row>
    <row r="625" spans="1:14" x14ac:dyDescent="0.25">
      <c r="A625" s="10"/>
      <c r="B625" s="14" t="str">
        <f t="shared" ca="1" si="60"/>
        <v/>
      </c>
      <c r="C625" s="14" t="str">
        <f ca="1">IF(I624&lt;&gt;Variables!$B$1,IF(H624&lt;&gt;0,C624,I624),"")</f>
        <v/>
      </c>
      <c r="D625" s="29" t="str">
        <f t="shared" ca="1" si="57"/>
        <v/>
      </c>
      <c r="E625" s="29" t="str">
        <f t="shared" ca="1" si="58"/>
        <v/>
      </c>
      <c r="F625" s="29" t="str">
        <f ca="1">IF(C625&lt;&gt;"",IF(OR(VLOOKUP(C625,$C$3:$L$6,5,0)=Variables!$B$5,B625&gt;VLOOKUP(C625,$C$3:$L$6,8,0)),-D625*VLOOKUP(C625,$C$3:$L$6,6,0)/12,0),"")</f>
        <v/>
      </c>
      <c r="G625" s="29" t="str">
        <f ca="1">IF(I625&lt;&gt;Variables!$B$1,IF(C625&lt;&gt;"",$I$9-E625-F625,""),-D625)</f>
        <v/>
      </c>
      <c r="H625" s="29" t="str">
        <f t="shared" ca="1" si="61"/>
        <v/>
      </c>
      <c r="I625" s="31" t="str">
        <f ca="1">IF(C625&lt;&gt;"",IF(D625+$I$9-E625-F625&gt;=0,IF(ISERROR(INDEX($C$3:$C$6,MATCH(C625,$C$3:$C$6,0)+1,0)),Variables!$B$1,INDEX($C$3:$C$6,MATCH(C625,$C$3:$C$6,0)+1,0)),""),"")</f>
        <v/>
      </c>
      <c r="J625" s="29" t="str">
        <f ca="1">IF(ISERROR(VLOOKUP(I625,$C$3:$L$6,5,0)),"",IF(OR(VLOOKUP(I625,$C$3:$L$6,5,0)=Variables!$B$5,B625&gt;VLOOKUP(I625,$C$3:$L$6,8,0)),IF(VLOOKUP(I625,$C$3:$L$6,5,0)=Variables!$B$5,((YEAR(B625)-YEAR($B$12))*12+MONTH(B625)-MONTH($B$12)),((YEAR(B625)-YEAR(VLOOKUP(I625,$C$3:$L$6,8,0)))*12+MONTH(B625)-MONTH(VLOOKUP(I625,$C$3:$L$6,8,0))))*(VLOOKUP(I625,$C$3:$L$6,10,0)*VLOOKUP(I625,$C$3:$L$6,6,0)/12),0))</f>
        <v/>
      </c>
      <c r="K625" s="29" t="str">
        <f ca="1">IF(C625&lt;&gt;"",IF(I625&lt;&gt;"",IF(ISERROR(VLOOKUP(I625,$C$3:$L$6,10,0)),"",VLOOKUP(I625,$C$3:$L$6,10,0)+J625+IF(OR(VLOOKUP(I625,$C$3:$L$6,5,0)=Variables!$B$5,B625&gt;VLOOKUP(I625,$C$3:$L$6,8,0)),IF(VLOOKUP(I625,$C$3:$L$6,5,0)=Variables!$B$5,((YEAR(B625)-YEAR($B$12))*12+MONTH(B625)-MONTH($B$12)),((YEAR(B625)-YEAR(VLOOKUP(I625,$C$3:$L$6,8,0)))*12+MONTH(B625)-MONTH(VLOOKUP(I625,$C$3:$L$6,8,0))))*VLOOKUP(I625,$C$3:$L$6,7,0),0)),""),"")</f>
        <v/>
      </c>
      <c r="L625" s="29" t="str">
        <f t="shared" ca="1" si="59"/>
        <v/>
      </c>
      <c r="M625" s="10"/>
      <c r="N625" s="10"/>
    </row>
    <row r="626" spans="1:14" x14ac:dyDescent="0.25">
      <c r="A626" s="10"/>
      <c r="B626" s="14" t="str">
        <f t="shared" ca="1" si="60"/>
        <v/>
      </c>
      <c r="C626" s="14" t="str">
        <f ca="1">IF(I625&lt;&gt;Variables!$B$1,IF(H625&lt;&gt;0,C625,I625),"")</f>
        <v/>
      </c>
      <c r="D626" s="29" t="str">
        <f t="shared" ca="1" si="57"/>
        <v/>
      </c>
      <c r="E626" s="29" t="str">
        <f t="shared" ca="1" si="58"/>
        <v/>
      </c>
      <c r="F626" s="29" t="str">
        <f ca="1">IF(C626&lt;&gt;"",IF(OR(VLOOKUP(C626,$C$3:$L$6,5,0)=Variables!$B$5,B626&gt;VLOOKUP(C626,$C$3:$L$6,8,0)),-D626*VLOOKUP(C626,$C$3:$L$6,6,0)/12,0),"")</f>
        <v/>
      </c>
      <c r="G626" s="29" t="str">
        <f ca="1">IF(I626&lt;&gt;Variables!$B$1,IF(C626&lt;&gt;"",$I$9-E626-F626,""),-D626)</f>
        <v/>
      </c>
      <c r="H626" s="29" t="str">
        <f t="shared" ca="1" si="61"/>
        <v/>
      </c>
      <c r="I626" s="31" t="str">
        <f ca="1">IF(C626&lt;&gt;"",IF(D626+$I$9-E626-F626&gt;=0,IF(ISERROR(INDEX($C$3:$C$6,MATCH(C626,$C$3:$C$6,0)+1,0)),Variables!$B$1,INDEX($C$3:$C$6,MATCH(C626,$C$3:$C$6,0)+1,0)),""),"")</f>
        <v/>
      </c>
      <c r="J626" s="29" t="str">
        <f ca="1">IF(ISERROR(VLOOKUP(I626,$C$3:$L$6,5,0)),"",IF(OR(VLOOKUP(I626,$C$3:$L$6,5,0)=Variables!$B$5,B626&gt;VLOOKUP(I626,$C$3:$L$6,8,0)),IF(VLOOKUP(I626,$C$3:$L$6,5,0)=Variables!$B$5,((YEAR(B626)-YEAR($B$12))*12+MONTH(B626)-MONTH($B$12)),((YEAR(B626)-YEAR(VLOOKUP(I626,$C$3:$L$6,8,0)))*12+MONTH(B626)-MONTH(VLOOKUP(I626,$C$3:$L$6,8,0))))*(VLOOKUP(I626,$C$3:$L$6,10,0)*VLOOKUP(I626,$C$3:$L$6,6,0)/12),0))</f>
        <v/>
      </c>
      <c r="K626" s="29" t="str">
        <f ca="1">IF(C626&lt;&gt;"",IF(I626&lt;&gt;"",IF(ISERROR(VLOOKUP(I626,$C$3:$L$6,10,0)),"",VLOOKUP(I626,$C$3:$L$6,10,0)+J626+IF(OR(VLOOKUP(I626,$C$3:$L$6,5,0)=Variables!$B$5,B626&gt;VLOOKUP(I626,$C$3:$L$6,8,0)),IF(VLOOKUP(I626,$C$3:$L$6,5,0)=Variables!$B$5,((YEAR(B626)-YEAR($B$12))*12+MONTH(B626)-MONTH($B$12)),((YEAR(B626)-YEAR(VLOOKUP(I626,$C$3:$L$6,8,0)))*12+MONTH(B626)-MONTH(VLOOKUP(I626,$C$3:$L$6,8,0))))*VLOOKUP(I626,$C$3:$L$6,7,0),0)),""),"")</f>
        <v/>
      </c>
      <c r="L626" s="29" t="str">
        <f t="shared" ca="1" si="59"/>
        <v/>
      </c>
      <c r="M626" s="10"/>
      <c r="N626" s="10"/>
    </row>
    <row r="627" spans="1:14" x14ac:dyDescent="0.25">
      <c r="A627" s="10"/>
      <c r="B627" s="14" t="str">
        <f t="shared" ca="1" si="60"/>
        <v/>
      </c>
      <c r="C627" s="14" t="str">
        <f ca="1">IF(I626&lt;&gt;Variables!$B$1,IF(H626&lt;&gt;0,C626,I626),"")</f>
        <v/>
      </c>
      <c r="D627" s="29" t="str">
        <f t="shared" ca="1" si="57"/>
        <v/>
      </c>
      <c r="E627" s="29" t="str">
        <f t="shared" ca="1" si="58"/>
        <v/>
      </c>
      <c r="F627" s="29" t="str">
        <f ca="1">IF(C627&lt;&gt;"",IF(OR(VLOOKUP(C627,$C$3:$L$6,5,0)=Variables!$B$5,B627&gt;VLOOKUP(C627,$C$3:$L$6,8,0)),-D627*VLOOKUP(C627,$C$3:$L$6,6,0)/12,0),"")</f>
        <v/>
      </c>
      <c r="G627" s="29" t="str">
        <f ca="1">IF(I627&lt;&gt;Variables!$B$1,IF(C627&lt;&gt;"",$I$9-E627-F627,""),-D627)</f>
        <v/>
      </c>
      <c r="H627" s="29" t="str">
        <f t="shared" ca="1" si="61"/>
        <v/>
      </c>
      <c r="I627" s="31" t="str">
        <f ca="1">IF(C627&lt;&gt;"",IF(D627+$I$9-E627-F627&gt;=0,IF(ISERROR(INDEX($C$3:$C$6,MATCH(C627,$C$3:$C$6,0)+1,0)),Variables!$B$1,INDEX($C$3:$C$6,MATCH(C627,$C$3:$C$6,0)+1,0)),""),"")</f>
        <v/>
      </c>
      <c r="J627" s="29" t="str">
        <f ca="1">IF(ISERROR(VLOOKUP(I627,$C$3:$L$6,5,0)),"",IF(OR(VLOOKUP(I627,$C$3:$L$6,5,0)=Variables!$B$5,B627&gt;VLOOKUP(I627,$C$3:$L$6,8,0)),IF(VLOOKUP(I627,$C$3:$L$6,5,0)=Variables!$B$5,((YEAR(B627)-YEAR($B$12))*12+MONTH(B627)-MONTH($B$12)),((YEAR(B627)-YEAR(VLOOKUP(I627,$C$3:$L$6,8,0)))*12+MONTH(B627)-MONTH(VLOOKUP(I627,$C$3:$L$6,8,0))))*(VLOOKUP(I627,$C$3:$L$6,10,0)*VLOOKUP(I627,$C$3:$L$6,6,0)/12),0))</f>
        <v/>
      </c>
      <c r="K627" s="29" t="str">
        <f ca="1">IF(C627&lt;&gt;"",IF(I627&lt;&gt;"",IF(ISERROR(VLOOKUP(I627,$C$3:$L$6,10,0)),"",VLOOKUP(I627,$C$3:$L$6,10,0)+J627+IF(OR(VLOOKUP(I627,$C$3:$L$6,5,0)=Variables!$B$5,B627&gt;VLOOKUP(I627,$C$3:$L$6,8,0)),IF(VLOOKUP(I627,$C$3:$L$6,5,0)=Variables!$B$5,((YEAR(B627)-YEAR($B$12))*12+MONTH(B627)-MONTH($B$12)),((YEAR(B627)-YEAR(VLOOKUP(I627,$C$3:$L$6,8,0)))*12+MONTH(B627)-MONTH(VLOOKUP(I627,$C$3:$L$6,8,0))))*VLOOKUP(I627,$C$3:$L$6,7,0),0)),""),"")</f>
        <v/>
      </c>
      <c r="L627" s="29" t="str">
        <f t="shared" ca="1" si="59"/>
        <v/>
      </c>
      <c r="M627" s="10"/>
      <c r="N627" s="10"/>
    </row>
    <row r="628" spans="1:14" x14ac:dyDescent="0.25">
      <c r="A628" s="10"/>
      <c r="B628" s="14" t="str">
        <f t="shared" ca="1" si="60"/>
        <v/>
      </c>
      <c r="C628" s="14" t="str">
        <f ca="1">IF(I627&lt;&gt;Variables!$B$1,IF(H627&lt;&gt;0,C627,I627),"")</f>
        <v/>
      </c>
      <c r="D628" s="29" t="str">
        <f t="shared" ca="1" si="57"/>
        <v/>
      </c>
      <c r="E628" s="29" t="str">
        <f t="shared" ca="1" si="58"/>
        <v/>
      </c>
      <c r="F628" s="29" t="str">
        <f ca="1">IF(C628&lt;&gt;"",IF(OR(VLOOKUP(C628,$C$3:$L$6,5,0)=Variables!$B$5,B628&gt;VLOOKUP(C628,$C$3:$L$6,8,0)),-D628*VLOOKUP(C628,$C$3:$L$6,6,0)/12,0),"")</f>
        <v/>
      </c>
      <c r="G628" s="29" t="str">
        <f ca="1">IF(I628&lt;&gt;Variables!$B$1,IF(C628&lt;&gt;"",$I$9-E628-F628,""),-D628)</f>
        <v/>
      </c>
      <c r="H628" s="29" t="str">
        <f t="shared" ca="1" si="61"/>
        <v/>
      </c>
      <c r="I628" s="31" t="str">
        <f ca="1">IF(C628&lt;&gt;"",IF(D628+$I$9-E628-F628&gt;=0,IF(ISERROR(INDEX($C$3:$C$6,MATCH(C628,$C$3:$C$6,0)+1,0)),Variables!$B$1,INDEX($C$3:$C$6,MATCH(C628,$C$3:$C$6,0)+1,0)),""),"")</f>
        <v/>
      </c>
      <c r="J628" s="29" t="str">
        <f ca="1">IF(ISERROR(VLOOKUP(I628,$C$3:$L$6,5,0)),"",IF(OR(VLOOKUP(I628,$C$3:$L$6,5,0)=Variables!$B$5,B628&gt;VLOOKUP(I628,$C$3:$L$6,8,0)),IF(VLOOKUP(I628,$C$3:$L$6,5,0)=Variables!$B$5,((YEAR(B628)-YEAR($B$12))*12+MONTH(B628)-MONTH($B$12)),((YEAR(B628)-YEAR(VLOOKUP(I628,$C$3:$L$6,8,0)))*12+MONTH(B628)-MONTH(VLOOKUP(I628,$C$3:$L$6,8,0))))*(VLOOKUP(I628,$C$3:$L$6,10,0)*VLOOKUP(I628,$C$3:$L$6,6,0)/12),0))</f>
        <v/>
      </c>
      <c r="K628" s="29" t="str">
        <f ca="1">IF(C628&lt;&gt;"",IF(I628&lt;&gt;"",IF(ISERROR(VLOOKUP(I628,$C$3:$L$6,10,0)),"",VLOOKUP(I628,$C$3:$L$6,10,0)+J628+IF(OR(VLOOKUP(I628,$C$3:$L$6,5,0)=Variables!$B$5,B628&gt;VLOOKUP(I628,$C$3:$L$6,8,0)),IF(VLOOKUP(I628,$C$3:$L$6,5,0)=Variables!$B$5,((YEAR(B628)-YEAR($B$12))*12+MONTH(B628)-MONTH($B$12)),((YEAR(B628)-YEAR(VLOOKUP(I628,$C$3:$L$6,8,0)))*12+MONTH(B628)-MONTH(VLOOKUP(I628,$C$3:$L$6,8,0))))*VLOOKUP(I628,$C$3:$L$6,7,0),0)),""),"")</f>
        <v/>
      </c>
      <c r="L628" s="29" t="str">
        <f t="shared" ca="1" si="59"/>
        <v/>
      </c>
      <c r="M628" s="10"/>
      <c r="N628" s="10"/>
    </row>
    <row r="629" spans="1:14" x14ac:dyDescent="0.25">
      <c r="A629" s="10"/>
      <c r="B629" s="14" t="str">
        <f t="shared" ca="1" si="60"/>
        <v/>
      </c>
      <c r="C629" s="14" t="str">
        <f ca="1">IF(I628&lt;&gt;Variables!$B$1,IF(H628&lt;&gt;0,C628,I628),"")</f>
        <v/>
      </c>
      <c r="D629" s="29" t="str">
        <f t="shared" ca="1" si="57"/>
        <v/>
      </c>
      <c r="E629" s="29" t="str">
        <f t="shared" ca="1" si="58"/>
        <v/>
      </c>
      <c r="F629" s="29" t="str">
        <f ca="1">IF(C629&lt;&gt;"",IF(OR(VLOOKUP(C629,$C$3:$L$6,5,0)=Variables!$B$5,B629&gt;VLOOKUP(C629,$C$3:$L$6,8,0)),-D629*VLOOKUP(C629,$C$3:$L$6,6,0)/12,0),"")</f>
        <v/>
      </c>
      <c r="G629" s="29" t="str">
        <f ca="1">IF(I629&lt;&gt;Variables!$B$1,IF(C629&lt;&gt;"",$I$9-E629-F629,""),-D629)</f>
        <v/>
      </c>
      <c r="H629" s="29" t="str">
        <f t="shared" ca="1" si="61"/>
        <v/>
      </c>
      <c r="I629" s="31" t="str">
        <f ca="1">IF(C629&lt;&gt;"",IF(D629+$I$9-E629-F629&gt;=0,IF(ISERROR(INDEX($C$3:$C$6,MATCH(C629,$C$3:$C$6,0)+1,0)),Variables!$B$1,INDEX($C$3:$C$6,MATCH(C629,$C$3:$C$6,0)+1,0)),""),"")</f>
        <v/>
      </c>
      <c r="J629" s="29" t="str">
        <f ca="1">IF(ISERROR(VLOOKUP(I629,$C$3:$L$6,5,0)),"",IF(OR(VLOOKUP(I629,$C$3:$L$6,5,0)=Variables!$B$5,B629&gt;VLOOKUP(I629,$C$3:$L$6,8,0)),IF(VLOOKUP(I629,$C$3:$L$6,5,0)=Variables!$B$5,((YEAR(B629)-YEAR($B$12))*12+MONTH(B629)-MONTH($B$12)),((YEAR(B629)-YEAR(VLOOKUP(I629,$C$3:$L$6,8,0)))*12+MONTH(B629)-MONTH(VLOOKUP(I629,$C$3:$L$6,8,0))))*(VLOOKUP(I629,$C$3:$L$6,10,0)*VLOOKUP(I629,$C$3:$L$6,6,0)/12),0))</f>
        <v/>
      </c>
      <c r="K629" s="29" t="str">
        <f ca="1">IF(C629&lt;&gt;"",IF(I629&lt;&gt;"",IF(ISERROR(VLOOKUP(I629,$C$3:$L$6,10,0)),"",VLOOKUP(I629,$C$3:$L$6,10,0)+J629+IF(OR(VLOOKUP(I629,$C$3:$L$6,5,0)=Variables!$B$5,B629&gt;VLOOKUP(I629,$C$3:$L$6,8,0)),IF(VLOOKUP(I629,$C$3:$L$6,5,0)=Variables!$B$5,((YEAR(B629)-YEAR($B$12))*12+MONTH(B629)-MONTH($B$12)),((YEAR(B629)-YEAR(VLOOKUP(I629,$C$3:$L$6,8,0)))*12+MONTH(B629)-MONTH(VLOOKUP(I629,$C$3:$L$6,8,0))))*VLOOKUP(I629,$C$3:$L$6,7,0),0)),""),"")</f>
        <v/>
      </c>
      <c r="L629" s="29" t="str">
        <f t="shared" ca="1" si="59"/>
        <v/>
      </c>
      <c r="M629" s="10"/>
      <c r="N629" s="10"/>
    </row>
    <row r="630" spans="1:14" x14ac:dyDescent="0.25">
      <c r="A630" s="10"/>
      <c r="B630" s="14" t="str">
        <f t="shared" ca="1" si="60"/>
        <v/>
      </c>
      <c r="C630" s="14" t="str">
        <f ca="1">IF(I629&lt;&gt;Variables!$B$1,IF(H629&lt;&gt;0,C629,I629),"")</f>
        <v/>
      </c>
      <c r="D630" s="29" t="str">
        <f t="shared" ca="1" si="57"/>
        <v/>
      </c>
      <c r="E630" s="29" t="str">
        <f t="shared" ca="1" si="58"/>
        <v/>
      </c>
      <c r="F630" s="29" t="str">
        <f ca="1">IF(C630&lt;&gt;"",IF(OR(VLOOKUP(C630,$C$3:$L$6,5,0)=Variables!$B$5,B630&gt;VLOOKUP(C630,$C$3:$L$6,8,0)),-D630*VLOOKUP(C630,$C$3:$L$6,6,0)/12,0),"")</f>
        <v/>
      </c>
      <c r="G630" s="29" t="str">
        <f ca="1">IF(I630&lt;&gt;Variables!$B$1,IF(C630&lt;&gt;"",$I$9-E630-F630,""),-D630)</f>
        <v/>
      </c>
      <c r="H630" s="29" t="str">
        <f t="shared" ca="1" si="61"/>
        <v/>
      </c>
      <c r="I630" s="31" t="str">
        <f ca="1">IF(C630&lt;&gt;"",IF(D630+$I$9-E630-F630&gt;=0,IF(ISERROR(INDEX($C$3:$C$6,MATCH(C630,$C$3:$C$6,0)+1,0)),Variables!$B$1,INDEX($C$3:$C$6,MATCH(C630,$C$3:$C$6,0)+1,0)),""),"")</f>
        <v/>
      </c>
      <c r="J630" s="29" t="str">
        <f ca="1">IF(ISERROR(VLOOKUP(I630,$C$3:$L$6,5,0)),"",IF(OR(VLOOKUP(I630,$C$3:$L$6,5,0)=Variables!$B$5,B630&gt;VLOOKUP(I630,$C$3:$L$6,8,0)),IF(VLOOKUP(I630,$C$3:$L$6,5,0)=Variables!$B$5,((YEAR(B630)-YEAR($B$12))*12+MONTH(B630)-MONTH($B$12)),((YEAR(B630)-YEAR(VLOOKUP(I630,$C$3:$L$6,8,0)))*12+MONTH(B630)-MONTH(VLOOKUP(I630,$C$3:$L$6,8,0))))*(VLOOKUP(I630,$C$3:$L$6,10,0)*VLOOKUP(I630,$C$3:$L$6,6,0)/12),0))</f>
        <v/>
      </c>
      <c r="K630" s="29" t="str">
        <f ca="1">IF(C630&lt;&gt;"",IF(I630&lt;&gt;"",IF(ISERROR(VLOOKUP(I630,$C$3:$L$6,10,0)),"",VLOOKUP(I630,$C$3:$L$6,10,0)+J630+IF(OR(VLOOKUP(I630,$C$3:$L$6,5,0)=Variables!$B$5,B630&gt;VLOOKUP(I630,$C$3:$L$6,8,0)),IF(VLOOKUP(I630,$C$3:$L$6,5,0)=Variables!$B$5,((YEAR(B630)-YEAR($B$12))*12+MONTH(B630)-MONTH($B$12)),((YEAR(B630)-YEAR(VLOOKUP(I630,$C$3:$L$6,8,0)))*12+MONTH(B630)-MONTH(VLOOKUP(I630,$C$3:$L$6,8,0))))*VLOOKUP(I630,$C$3:$L$6,7,0),0)),""),"")</f>
        <v/>
      </c>
      <c r="L630" s="29" t="str">
        <f t="shared" ca="1" si="59"/>
        <v/>
      </c>
      <c r="M630" s="10"/>
      <c r="N630" s="10"/>
    </row>
    <row r="631" spans="1:14" x14ac:dyDescent="0.25">
      <c r="A631" s="10"/>
      <c r="B631" s="14" t="str">
        <f t="shared" ca="1" si="60"/>
        <v/>
      </c>
      <c r="C631" s="14" t="str">
        <f ca="1">IF(I630&lt;&gt;Variables!$B$1,IF(H630&lt;&gt;0,C630,I630),"")</f>
        <v/>
      </c>
      <c r="D631" s="29" t="str">
        <f t="shared" ca="1" si="57"/>
        <v/>
      </c>
      <c r="E631" s="29" t="str">
        <f t="shared" ca="1" si="58"/>
        <v/>
      </c>
      <c r="F631" s="29" t="str">
        <f ca="1">IF(C631&lt;&gt;"",IF(OR(VLOOKUP(C631,$C$3:$L$6,5,0)=Variables!$B$5,B631&gt;VLOOKUP(C631,$C$3:$L$6,8,0)),-D631*VLOOKUP(C631,$C$3:$L$6,6,0)/12,0),"")</f>
        <v/>
      </c>
      <c r="G631" s="29" t="str">
        <f ca="1">IF(I631&lt;&gt;Variables!$B$1,IF(C631&lt;&gt;"",$I$9-E631-F631,""),-D631)</f>
        <v/>
      </c>
      <c r="H631" s="29" t="str">
        <f t="shared" ca="1" si="61"/>
        <v/>
      </c>
      <c r="I631" s="31" t="str">
        <f ca="1">IF(C631&lt;&gt;"",IF(D631+$I$9-E631-F631&gt;=0,IF(ISERROR(INDEX($C$3:$C$6,MATCH(C631,$C$3:$C$6,0)+1,0)),Variables!$B$1,INDEX($C$3:$C$6,MATCH(C631,$C$3:$C$6,0)+1,0)),""),"")</f>
        <v/>
      </c>
      <c r="J631" s="29" t="str">
        <f ca="1">IF(ISERROR(VLOOKUP(I631,$C$3:$L$6,5,0)),"",IF(OR(VLOOKUP(I631,$C$3:$L$6,5,0)=Variables!$B$5,B631&gt;VLOOKUP(I631,$C$3:$L$6,8,0)),IF(VLOOKUP(I631,$C$3:$L$6,5,0)=Variables!$B$5,((YEAR(B631)-YEAR($B$12))*12+MONTH(B631)-MONTH($B$12)),((YEAR(B631)-YEAR(VLOOKUP(I631,$C$3:$L$6,8,0)))*12+MONTH(B631)-MONTH(VLOOKUP(I631,$C$3:$L$6,8,0))))*(VLOOKUP(I631,$C$3:$L$6,10,0)*VLOOKUP(I631,$C$3:$L$6,6,0)/12),0))</f>
        <v/>
      </c>
      <c r="K631" s="29" t="str">
        <f ca="1">IF(C631&lt;&gt;"",IF(I631&lt;&gt;"",IF(ISERROR(VLOOKUP(I631,$C$3:$L$6,10,0)),"",VLOOKUP(I631,$C$3:$L$6,10,0)+J631+IF(OR(VLOOKUP(I631,$C$3:$L$6,5,0)=Variables!$B$5,B631&gt;VLOOKUP(I631,$C$3:$L$6,8,0)),IF(VLOOKUP(I631,$C$3:$L$6,5,0)=Variables!$B$5,((YEAR(B631)-YEAR($B$12))*12+MONTH(B631)-MONTH($B$12)),((YEAR(B631)-YEAR(VLOOKUP(I631,$C$3:$L$6,8,0)))*12+MONTH(B631)-MONTH(VLOOKUP(I631,$C$3:$L$6,8,0))))*VLOOKUP(I631,$C$3:$L$6,7,0),0)),""),"")</f>
        <v/>
      </c>
      <c r="L631" s="29" t="str">
        <f t="shared" ca="1" si="59"/>
        <v/>
      </c>
      <c r="M631" s="10"/>
      <c r="N631" s="10"/>
    </row>
    <row r="632" spans="1:14" x14ac:dyDescent="0.25">
      <c r="A632" s="10"/>
      <c r="B632" s="14" t="str">
        <f t="shared" ca="1" si="60"/>
        <v/>
      </c>
      <c r="C632" s="14" t="str">
        <f ca="1">IF(I631&lt;&gt;Variables!$B$1,IF(H631&lt;&gt;0,C631,I631),"")</f>
        <v/>
      </c>
      <c r="D632" s="29" t="str">
        <f t="shared" ca="1" si="57"/>
        <v/>
      </c>
      <c r="E632" s="29" t="str">
        <f t="shared" ca="1" si="58"/>
        <v/>
      </c>
      <c r="F632" s="29" t="str">
        <f ca="1">IF(C632&lt;&gt;"",IF(OR(VLOOKUP(C632,$C$3:$L$6,5,0)=Variables!$B$5,B632&gt;VLOOKUP(C632,$C$3:$L$6,8,0)),-D632*VLOOKUP(C632,$C$3:$L$6,6,0)/12,0),"")</f>
        <v/>
      </c>
      <c r="G632" s="29" t="str">
        <f ca="1">IF(I632&lt;&gt;Variables!$B$1,IF(C632&lt;&gt;"",$I$9-E632-F632,""),-D632)</f>
        <v/>
      </c>
      <c r="H632" s="29" t="str">
        <f t="shared" ca="1" si="61"/>
        <v/>
      </c>
      <c r="I632" s="31" t="str">
        <f ca="1">IF(C632&lt;&gt;"",IF(D632+$I$9-E632-F632&gt;=0,IF(ISERROR(INDEX($C$3:$C$6,MATCH(C632,$C$3:$C$6,0)+1,0)),Variables!$B$1,INDEX($C$3:$C$6,MATCH(C632,$C$3:$C$6,0)+1,0)),""),"")</f>
        <v/>
      </c>
      <c r="J632" s="29" t="str">
        <f ca="1">IF(ISERROR(VLOOKUP(I632,$C$3:$L$6,5,0)),"",IF(OR(VLOOKUP(I632,$C$3:$L$6,5,0)=Variables!$B$5,B632&gt;VLOOKUP(I632,$C$3:$L$6,8,0)),IF(VLOOKUP(I632,$C$3:$L$6,5,0)=Variables!$B$5,((YEAR(B632)-YEAR($B$12))*12+MONTH(B632)-MONTH($B$12)),((YEAR(B632)-YEAR(VLOOKUP(I632,$C$3:$L$6,8,0)))*12+MONTH(B632)-MONTH(VLOOKUP(I632,$C$3:$L$6,8,0))))*(VLOOKUP(I632,$C$3:$L$6,10,0)*VLOOKUP(I632,$C$3:$L$6,6,0)/12),0))</f>
        <v/>
      </c>
      <c r="K632" s="29" t="str">
        <f ca="1">IF(C632&lt;&gt;"",IF(I632&lt;&gt;"",IF(ISERROR(VLOOKUP(I632,$C$3:$L$6,10,0)),"",VLOOKUP(I632,$C$3:$L$6,10,0)+J632+IF(OR(VLOOKUP(I632,$C$3:$L$6,5,0)=Variables!$B$5,B632&gt;VLOOKUP(I632,$C$3:$L$6,8,0)),IF(VLOOKUP(I632,$C$3:$L$6,5,0)=Variables!$B$5,((YEAR(B632)-YEAR($B$12))*12+MONTH(B632)-MONTH($B$12)),((YEAR(B632)-YEAR(VLOOKUP(I632,$C$3:$L$6,8,0)))*12+MONTH(B632)-MONTH(VLOOKUP(I632,$C$3:$L$6,8,0))))*VLOOKUP(I632,$C$3:$L$6,7,0),0)),""),"")</f>
        <v/>
      </c>
      <c r="L632" s="29" t="str">
        <f t="shared" ca="1" si="59"/>
        <v/>
      </c>
      <c r="M632" s="10"/>
      <c r="N632" s="10"/>
    </row>
    <row r="633" spans="1:14" x14ac:dyDescent="0.25">
      <c r="A633" s="10"/>
      <c r="B633" s="14" t="str">
        <f t="shared" ca="1" si="60"/>
        <v/>
      </c>
      <c r="C633" s="14" t="str">
        <f ca="1">IF(I632&lt;&gt;Variables!$B$1,IF(H632&lt;&gt;0,C632,I632),"")</f>
        <v/>
      </c>
      <c r="D633" s="29" t="str">
        <f t="shared" ca="1" si="57"/>
        <v/>
      </c>
      <c r="E633" s="29" t="str">
        <f t="shared" ca="1" si="58"/>
        <v/>
      </c>
      <c r="F633" s="29" t="str">
        <f ca="1">IF(C633&lt;&gt;"",IF(OR(VLOOKUP(C633,$C$3:$L$6,5,0)=Variables!$B$5,B633&gt;VLOOKUP(C633,$C$3:$L$6,8,0)),-D633*VLOOKUP(C633,$C$3:$L$6,6,0)/12,0),"")</f>
        <v/>
      </c>
      <c r="G633" s="29" t="str">
        <f ca="1">IF(I633&lt;&gt;Variables!$B$1,IF(C633&lt;&gt;"",$I$9-E633-F633,""),-D633)</f>
        <v/>
      </c>
      <c r="H633" s="29" t="str">
        <f t="shared" ca="1" si="61"/>
        <v/>
      </c>
      <c r="I633" s="31" t="str">
        <f ca="1">IF(C633&lt;&gt;"",IF(D633+$I$9-E633-F633&gt;=0,IF(ISERROR(INDEX($C$3:$C$6,MATCH(C633,$C$3:$C$6,0)+1,0)),Variables!$B$1,INDEX($C$3:$C$6,MATCH(C633,$C$3:$C$6,0)+1,0)),""),"")</f>
        <v/>
      </c>
      <c r="J633" s="29" t="str">
        <f ca="1">IF(ISERROR(VLOOKUP(I633,$C$3:$L$6,5,0)),"",IF(OR(VLOOKUP(I633,$C$3:$L$6,5,0)=Variables!$B$5,B633&gt;VLOOKUP(I633,$C$3:$L$6,8,0)),IF(VLOOKUP(I633,$C$3:$L$6,5,0)=Variables!$B$5,((YEAR(B633)-YEAR($B$12))*12+MONTH(B633)-MONTH($B$12)),((YEAR(B633)-YEAR(VLOOKUP(I633,$C$3:$L$6,8,0)))*12+MONTH(B633)-MONTH(VLOOKUP(I633,$C$3:$L$6,8,0))))*(VLOOKUP(I633,$C$3:$L$6,10,0)*VLOOKUP(I633,$C$3:$L$6,6,0)/12),0))</f>
        <v/>
      </c>
      <c r="K633" s="29" t="str">
        <f ca="1">IF(C633&lt;&gt;"",IF(I633&lt;&gt;"",IF(ISERROR(VLOOKUP(I633,$C$3:$L$6,10,0)),"",VLOOKUP(I633,$C$3:$L$6,10,0)+J633+IF(OR(VLOOKUP(I633,$C$3:$L$6,5,0)=Variables!$B$5,B633&gt;VLOOKUP(I633,$C$3:$L$6,8,0)),IF(VLOOKUP(I633,$C$3:$L$6,5,0)=Variables!$B$5,((YEAR(B633)-YEAR($B$12))*12+MONTH(B633)-MONTH($B$12)),((YEAR(B633)-YEAR(VLOOKUP(I633,$C$3:$L$6,8,0)))*12+MONTH(B633)-MONTH(VLOOKUP(I633,$C$3:$L$6,8,0))))*VLOOKUP(I633,$C$3:$L$6,7,0),0)),""),"")</f>
        <v/>
      </c>
      <c r="L633" s="29" t="str">
        <f t="shared" ca="1" si="59"/>
        <v/>
      </c>
      <c r="M633" s="10"/>
      <c r="N633" s="10"/>
    </row>
    <row r="634" spans="1:14" x14ac:dyDescent="0.25">
      <c r="A634" s="10"/>
      <c r="B634" s="14" t="str">
        <f t="shared" ca="1" si="60"/>
        <v/>
      </c>
      <c r="C634" s="14" t="str">
        <f ca="1">IF(I633&lt;&gt;Variables!$B$1,IF(H633&lt;&gt;0,C633,I633),"")</f>
        <v/>
      </c>
      <c r="D634" s="29" t="str">
        <f t="shared" ca="1" si="57"/>
        <v/>
      </c>
      <c r="E634" s="29" t="str">
        <f t="shared" ca="1" si="58"/>
        <v/>
      </c>
      <c r="F634" s="29" t="str">
        <f ca="1">IF(C634&lt;&gt;"",IF(OR(VLOOKUP(C634,$C$3:$L$6,5,0)=Variables!$B$5,B634&gt;VLOOKUP(C634,$C$3:$L$6,8,0)),-D634*VLOOKUP(C634,$C$3:$L$6,6,0)/12,0),"")</f>
        <v/>
      </c>
      <c r="G634" s="29" t="str">
        <f ca="1">IF(I634&lt;&gt;Variables!$B$1,IF(C634&lt;&gt;"",$I$9-E634-F634,""),-D634)</f>
        <v/>
      </c>
      <c r="H634" s="29" t="str">
        <f t="shared" ca="1" si="61"/>
        <v/>
      </c>
      <c r="I634" s="31" t="str">
        <f ca="1">IF(C634&lt;&gt;"",IF(D634+$I$9-E634-F634&gt;=0,IF(ISERROR(INDEX($C$3:$C$6,MATCH(C634,$C$3:$C$6,0)+1,0)),Variables!$B$1,INDEX($C$3:$C$6,MATCH(C634,$C$3:$C$6,0)+1,0)),""),"")</f>
        <v/>
      </c>
      <c r="J634" s="29" t="str">
        <f ca="1">IF(ISERROR(VLOOKUP(I634,$C$3:$L$6,5,0)),"",IF(OR(VLOOKUP(I634,$C$3:$L$6,5,0)=Variables!$B$5,B634&gt;VLOOKUP(I634,$C$3:$L$6,8,0)),IF(VLOOKUP(I634,$C$3:$L$6,5,0)=Variables!$B$5,((YEAR(B634)-YEAR($B$12))*12+MONTH(B634)-MONTH($B$12)),((YEAR(B634)-YEAR(VLOOKUP(I634,$C$3:$L$6,8,0)))*12+MONTH(B634)-MONTH(VLOOKUP(I634,$C$3:$L$6,8,0))))*(VLOOKUP(I634,$C$3:$L$6,10,0)*VLOOKUP(I634,$C$3:$L$6,6,0)/12),0))</f>
        <v/>
      </c>
      <c r="K634" s="29" t="str">
        <f ca="1">IF(C634&lt;&gt;"",IF(I634&lt;&gt;"",IF(ISERROR(VLOOKUP(I634,$C$3:$L$6,10,0)),"",VLOOKUP(I634,$C$3:$L$6,10,0)+J634+IF(OR(VLOOKUP(I634,$C$3:$L$6,5,0)=Variables!$B$5,B634&gt;VLOOKUP(I634,$C$3:$L$6,8,0)),IF(VLOOKUP(I634,$C$3:$L$6,5,0)=Variables!$B$5,((YEAR(B634)-YEAR($B$12))*12+MONTH(B634)-MONTH($B$12)),((YEAR(B634)-YEAR(VLOOKUP(I634,$C$3:$L$6,8,0)))*12+MONTH(B634)-MONTH(VLOOKUP(I634,$C$3:$L$6,8,0))))*VLOOKUP(I634,$C$3:$L$6,7,0),0)),""),"")</f>
        <v/>
      </c>
      <c r="L634" s="29" t="str">
        <f t="shared" ca="1" si="59"/>
        <v/>
      </c>
      <c r="M634" s="10"/>
      <c r="N634" s="10"/>
    </row>
    <row r="635" spans="1:14" x14ac:dyDescent="0.25">
      <c r="A635" s="10"/>
      <c r="B635" s="14" t="str">
        <f t="shared" ca="1" si="60"/>
        <v/>
      </c>
      <c r="C635" s="14" t="str">
        <f ca="1">IF(I634&lt;&gt;Variables!$B$1,IF(H634&lt;&gt;0,C634,I634),"")</f>
        <v/>
      </c>
      <c r="D635" s="29" t="str">
        <f t="shared" ca="1" si="57"/>
        <v/>
      </c>
      <c r="E635" s="29" t="str">
        <f t="shared" ca="1" si="58"/>
        <v/>
      </c>
      <c r="F635" s="29" t="str">
        <f ca="1">IF(C635&lt;&gt;"",IF(OR(VLOOKUP(C635,$C$3:$L$6,5,0)=Variables!$B$5,B635&gt;VLOOKUP(C635,$C$3:$L$6,8,0)),-D635*VLOOKUP(C635,$C$3:$L$6,6,0)/12,0),"")</f>
        <v/>
      </c>
      <c r="G635" s="29" t="str">
        <f ca="1">IF(I635&lt;&gt;Variables!$B$1,IF(C635&lt;&gt;"",$I$9-E635-F635,""),-D635)</f>
        <v/>
      </c>
      <c r="H635" s="29" t="str">
        <f t="shared" ca="1" si="61"/>
        <v/>
      </c>
      <c r="I635" s="31" t="str">
        <f ca="1">IF(C635&lt;&gt;"",IF(D635+$I$9-E635-F635&gt;=0,IF(ISERROR(INDEX($C$3:$C$6,MATCH(C635,$C$3:$C$6,0)+1,0)),Variables!$B$1,INDEX($C$3:$C$6,MATCH(C635,$C$3:$C$6,0)+1,0)),""),"")</f>
        <v/>
      </c>
      <c r="J635" s="29" t="str">
        <f ca="1">IF(ISERROR(VLOOKUP(I635,$C$3:$L$6,5,0)),"",IF(OR(VLOOKUP(I635,$C$3:$L$6,5,0)=Variables!$B$5,B635&gt;VLOOKUP(I635,$C$3:$L$6,8,0)),IF(VLOOKUP(I635,$C$3:$L$6,5,0)=Variables!$B$5,((YEAR(B635)-YEAR($B$12))*12+MONTH(B635)-MONTH($B$12)),((YEAR(B635)-YEAR(VLOOKUP(I635,$C$3:$L$6,8,0)))*12+MONTH(B635)-MONTH(VLOOKUP(I635,$C$3:$L$6,8,0))))*(VLOOKUP(I635,$C$3:$L$6,10,0)*VLOOKUP(I635,$C$3:$L$6,6,0)/12),0))</f>
        <v/>
      </c>
      <c r="K635" s="29" t="str">
        <f ca="1">IF(C635&lt;&gt;"",IF(I635&lt;&gt;"",IF(ISERROR(VLOOKUP(I635,$C$3:$L$6,10,0)),"",VLOOKUP(I635,$C$3:$L$6,10,0)+J635+IF(OR(VLOOKUP(I635,$C$3:$L$6,5,0)=Variables!$B$5,B635&gt;VLOOKUP(I635,$C$3:$L$6,8,0)),IF(VLOOKUP(I635,$C$3:$L$6,5,0)=Variables!$B$5,((YEAR(B635)-YEAR($B$12))*12+MONTH(B635)-MONTH($B$12)),((YEAR(B635)-YEAR(VLOOKUP(I635,$C$3:$L$6,8,0)))*12+MONTH(B635)-MONTH(VLOOKUP(I635,$C$3:$L$6,8,0))))*VLOOKUP(I635,$C$3:$L$6,7,0),0)),""),"")</f>
        <v/>
      </c>
      <c r="L635" s="29" t="str">
        <f t="shared" ca="1" si="59"/>
        <v/>
      </c>
      <c r="M635" s="10"/>
      <c r="N635" s="10"/>
    </row>
    <row r="636" spans="1:14" x14ac:dyDescent="0.25">
      <c r="A636" s="10"/>
      <c r="B636" s="14" t="str">
        <f t="shared" ca="1" si="60"/>
        <v/>
      </c>
      <c r="C636" s="14" t="str">
        <f ca="1">IF(I635&lt;&gt;Variables!$B$1,IF(H635&lt;&gt;0,C635,I635),"")</f>
        <v/>
      </c>
      <c r="D636" s="29" t="str">
        <f t="shared" ca="1" si="57"/>
        <v/>
      </c>
      <c r="E636" s="29" t="str">
        <f t="shared" ca="1" si="58"/>
        <v/>
      </c>
      <c r="F636" s="29" t="str">
        <f ca="1">IF(C636&lt;&gt;"",IF(OR(VLOOKUP(C636,$C$3:$L$6,5,0)=Variables!$B$5,B636&gt;VLOOKUP(C636,$C$3:$L$6,8,0)),-D636*VLOOKUP(C636,$C$3:$L$6,6,0)/12,0),"")</f>
        <v/>
      </c>
      <c r="G636" s="29" t="str">
        <f ca="1">IF(I636&lt;&gt;Variables!$B$1,IF(C636&lt;&gt;"",$I$9-E636-F636,""),-D636)</f>
        <v/>
      </c>
      <c r="H636" s="29" t="str">
        <f t="shared" ca="1" si="61"/>
        <v/>
      </c>
      <c r="I636" s="31" t="str">
        <f ca="1">IF(C636&lt;&gt;"",IF(D636+$I$9-E636-F636&gt;=0,IF(ISERROR(INDEX($C$3:$C$6,MATCH(C636,$C$3:$C$6,0)+1,0)),Variables!$B$1,INDEX($C$3:$C$6,MATCH(C636,$C$3:$C$6,0)+1,0)),""),"")</f>
        <v/>
      </c>
      <c r="J636" s="29" t="str">
        <f ca="1">IF(ISERROR(VLOOKUP(I636,$C$3:$L$6,5,0)),"",IF(OR(VLOOKUP(I636,$C$3:$L$6,5,0)=Variables!$B$5,B636&gt;VLOOKUP(I636,$C$3:$L$6,8,0)),IF(VLOOKUP(I636,$C$3:$L$6,5,0)=Variables!$B$5,((YEAR(B636)-YEAR($B$12))*12+MONTH(B636)-MONTH($B$12)),((YEAR(B636)-YEAR(VLOOKUP(I636,$C$3:$L$6,8,0)))*12+MONTH(B636)-MONTH(VLOOKUP(I636,$C$3:$L$6,8,0))))*(VLOOKUP(I636,$C$3:$L$6,10,0)*VLOOKUP(I636,$C$3:$L$6,6,0)/12),0))</f>
        <v/>
      </c>
      <c r="K636" s="29" t="str">
        <f ca="1">IF(C636&lt;&gt;"",IF(I636&lt;&gt;"",IF(ISERROR(VLOOKUP(I636,$C$3:$L$6,10,0)),"",VLOOKUP(I636,$C$3:$L$6,10,0)+J636+IF(OR(VLOOKUP(I636,$C$3:$L$6,5,0)=Variables!$B$5,B636&gt;VLOOKUP(I636,$C$3:$L$6,8,0)),IF(VLOOKUP(I636,$C$3:$L$6,5,0)=Variables!$B$5,((YEAR(B636)-YEAR($B$12))*12+MONTH(B636)-MONTH($B$12)),((YEAR(B636)-YEAR(VLOOKUP(I636,$C$3:$L$6,8,0)))*12+MONTH(B636)-MONTH(VLOOKUP(I636,$C$3:$L$6,8,0))))*VLOOKUP(I636,$C$3:$L$6,7,0),0)),""),"")</f>
        <v/>
      </c>
      <c r="L636" s="29" t="str">
        <f t="shared" ca="1" si="59"/>
        <v/>
      </c>
      <c r="M636" s="10"/>
      <c r="N636" s="10"/>
    </row>
    <row r="637" spans="1:14" x14ac:dyDescent="0.25">
      <c r="A637" s="10"/>
      <c r="B637" s="14" t="str">
        <f t="shared" ca="1" si="60"/>
        <v/>
      </c>
      <c r="C637" s="14" t="str">
        <f ca="1">IF(I636&lt;&gt;Variables!$B$1,IF(H636&lt;&gt;0,C636,I636),"")</f>
        <v/>
      </c>
      <c r="D637" s="29" t="str">
        <f t="shared" ca="1" si="57"/>
        <v/>
      </c>
      <c r="E637" s="29" t="str">
        <f t="shared" ca="1" si="58"/>
        <v/>
      </c>
      <c r="F637" s="29" t="str">
        <f ca="1">IF(C637&lt;&gt;"",IF(OR(VLOOKUP(C637,$C$3:$L$6,5,0)=Variables!$B$5,B637&gt;VLOOKUP(C637,$C$3:$L$6,8,0)),-D637*VLOOKUP(C637,$C$3:$L$6,6,0)/12,0),"")</f>
        <v/>
      </c>
      <c r="G637" s="29" t="str">
        <f ca="1">IF(I637&lt;&gt;Variables!$B$1,IF(C637&lt;&gt;"",$I$9-E637-F637,""),-D637)</f>
        <v/>
      </c>
      <c r="H637" s="29" t="str">
        <f t="shared" ca="1" si="61"/>
        <v/>
      </c>
      <c r="I637" s="31" t="str">
        <f ca="1">IF(C637&lt;&gt;"",IF(D637+$I$9-E637-F637&gt;=0,IF(ISERROR(INDEX($C$3:$C$6,MATCH(C637,$C$3:$C$6,0)+1,0)),Variables!$B$1,INDEX($C$3:$C$6,MATCH(C637,$C$3:$C$6,0)+1,0)),""),"")</f>
        <v/>
      </c>
      <c r="J637" s="29" t="str">
        <f ca="1">IF(ISERROR(VLOOKUP(I637,$C$3:$L$6,5,0)),"",IF(OR(VLOOKUP(I637,$C$3:$L$6,5,0)=Variables!$B$5,B637&gt;VLOOKUP(I637,$C$3:$L$6,8,0)),IF(VLOOKUP(I637,$C$3:$L$6,5,0)=Variables!$B$5,((YEAR(B637)-YEAR($B$12))*12+MONTH(B637)-MONTH($B$12)),((YEAR(B637)-YEAR(VLOOKUP(I637,$C$3:$L$6,8,0)))*12+MONTH(B637)-MONTH(VLOOKUP(I637,$C$3:$L$6,8,0))))*(VLOOKUP(I637,$C$3:$L$6,10,0)*VLOOKUP(I637,$C$3:$L$6,6,0)/12),0))</f>
        <v/>
      </c>
      <c r="K637" s="29" t="str">
        <f ca="1">IF(C637&lt;&gt;"",IF(I637&lt;&gt;"",IF(ISERROR(VLOOKUP(I637,$C$3:$L$6,10,0)),"",VLOOKUP(I637,$C$3:$L$6,10,0)+J637+IF(OR(VLOOKUP(I637,$C$3:$L$6,5,0)=Variables!$B$5,B637&gt;VLOOKUP(I637,$C$3:$L$6,8,0)),IF(VLOOKUP(I637,$C$3:$L$6,5,0)=Variables!$B$5,((YEAR(B637)-YEAR($B$12))*12+MONTH(B637)-MONTH($B$12)),((YEAR(B637)-YEAR(VLOOKUP(I637,$C$3:$L$6,8,0)))*12+MONTH(B637)-MONTH(VLOOKUP(I637,$C$3:$L$6,8,0))))*VLOOKUP(I637,$C$3:$L$6,7,0),0)),""),"")</f>
        <v/>
      </c>
      <c r="L637" s="29" t="str">
        <f t="shared" ca="1" si="59"/>
        <v/>
      </c>
      <c r="M637" s="10"/>
      <c r="N637" s="10"/>
    </row>
    <row r="638" spans="1:14" x14ac:dyDescent="0.25">
      <c r="A638" s="10"/>
      <c r="B638" s="14" t="str">
        <f t="shared" ca="1" si="60"/>
        <v/>
      </c>
      <c r="C638" s="14" t="str">
        <f ca="1">IF(I637&lt;&gt;Variables!$B$1,IF(H637&lt;&gt;0,C637,I637),"")</f>
        <v/>
      </c>
      <c r="D638" s="29" t="str">
        <f t="shared" ca="1" si="57"/>
        <v/>
      </c>
      <c r="E638" s="29" t="str">
        <f t="shared" ca="1" si="58"/>
        <v/>
      </c>
      <c r="F638" s="29" t="str">
        <f ca="1">IF(C638&lt;&gt;"",IF(OR(VLOOKUP(C638,$C$3:$L$6,5,0)=Variables!$B$5,B638&gt;VLOOKUP(C638,$C$3:$L$6,8,0)),-D638*VLOOKUP(C638,$C$3:$L$6,6,0)/12,0),"")</f>
        <v/>
      </c>
      <c r="G638" s="29" t="str">
        <f ca="1">IF(I638&lt;&gt;Variables!$B$1,IF(C638&lt;&gt;"",$I$9-E638-F638,""),-D638)</f>
        <v/>
      </c>
      <c r="H638" s="29" t="str">
        <f t="shared" ca="1" si="61"/>
        <v/>
      </c>
      <c r="I638" s="31" t="str">
        <f ca="1">IF(C638&lt;&gt;"",IF(D638+$I$9-E638-F638&gt;=0,IF(ISERROR(INDEX($C$3:$C$6,MATCH(C638,$C$3:$C$6,0)+1,0)),Variables!$B$1,INDEX($C$3:$C$6,MATCH(C638,$C$3:$C$6,0)+1,0)),""),"")</f>
        <v/>
      </c>
      <c r="J638" s="29" t="str">
        <f ca="1">IF(ISERROR(VLOOKUP(I638,$C$3:$L$6,5,0)),"",IF(OR(VLOOKUP(I638,$C$3:$L$6,5,0)=Variables!$B$5,B638&gt;VLOOKUP(I638,$C$3:$L$6,8,0)),IF(VLOOKUP(I638,$C$3:$L$6,5,0)=Variables!$B$5,((YEAR(B638)-YEAR($B$12))*12+MONTH(B638)-MONTH($B$12)),((YEAR(B638)-YEAR(VLOOKUP(I638,$C$3:$L$6,8,0)))*12+MONTH(B638)-MONTH(VLOOKUP(I638,$C$3:$L$6,8,0))))*(VLOOKUP(I638,$C$3:$L$6,10,0)*VLOOKUP(I638,$C$3:$L$6,6,0)/12),0))</f>
        <v/>
      </c>
      <c r="K638" s="29" t="str">
        <f ca="1">IF(C638&lt;&gt;"",IF(I638&lt;&gt;"",IF(ISERROR(VLOOKUP(I638,$C$3:$L$6,10,0)),"",VLOOKUP(I638,$C$3:$L$6,10,0)+J638+IF(OR(VLOOKUP(I638,$C$3:$L$6,5,0)=Variables!$B$5,B638&gt;VLOOKUP(I638,$C$3:$L$6,8,0)),IF(VLOOKUP(I638,$C$3:$L$6,5,0)=Variables!$B$5,((YEAR(B638)-YEAR($B$12))*12+MONTH(B638)-MONTH($B$12)),((YEAR(B638)-YEAR(VLOOKUP(I638,$C$3:$L$6,8,0)))*12+MONTH(B638)-MONTH(VLOOKUP(I638,$C$3:$L$6,8,0))))*VLOOKUP(I638,$C$3:$L$6,7,0),0)),""),"")</f>
        <v/>
      </c>
      <c r="L638" s="29" t="str">
        <f t="shared" ca="1" si="59"/>
        <v/>
      </c>
      <c r="M638" s="10"/>
      <c r="N638" s="10"/>
    </row>
    <row r="639" spans="1:14" x14ac:dyDescent="0.25">
      <c r="A639" s="10"/>
      <c r="B639" s="14" t="str">
        <f t="shared" ca="1" si="60"/>
        <v/>
      </c>
      <c r="C639" s="14" t="str">
        <f ca="1">IF(I638&lt;&gt;Variables!$B$1,IF(H638&lt;&gt;0,C638,I638),"")</f>
        <v/>
      </c>
      <c r="D639" s="29" t="str">
        <f t="shared" ca="1" si="57"/>
        <v/>
      </c>
      <c r="E639" s="29" t="str">
        <f t="shared" ca="1" si="58"/>
        <v/>
      </c>
      <c r="F639" s="29" t="str">
        <f ca="1">IF(C639&lt;&gt;"",IF(OR(VLOOKUP(C639,$C$3:$L$6,5,0)=Variables!$B$5,B639&gt;VLOOKUP(C639,$C$3:$L$6,8,0)),-D639*VLOOKUP(C639,$C$3:$L$6,6,0)/12,0),"")</f>
        <v/>
      </c>
      <c r="G639" s="29" t="str">
        <f ca="1">IF(I639&lt;&gt;Variables!$B$1,IF(C639&lt;&gt;"",$I$9-E639-F639,""),-D639)</f>
        <v/>
      </c>
      <c r="H639" s="29" t="str">
        <f t="shared" ca="1" si="61"/>
        <v/>
      </c>
      <c r="I639" s="31" t="str">
        <f ca="1">IF(C639&lt;&gt;"",IF(D639+$I$9-E639-F639&gt;=0,IF(ISERROR(INDEX($C$3:$C$6,MATCH(C639,$C$3:$C$6,0)+1,0)),Variables!$B$1,INDEX($C$3:$C$6,MATCH(C639,$C$3:$C$6,0)+1,0)),""),"")</f>
        <v/>
      </c>
      <c r="J639" s="29" t="str">
        <f ca="1">IF(ISERROR(VLOOKUP(I639,$C$3:$L$6,5,0)),"",IF(OR(VLOOKUP(I639,$C$3:$L$6,5,0)=Variables!$B$5,B639&gt;VLOOKUP(I639,$C$3:$L$6,8,0)),IF(VLOOKUP(I639,$C$3:$L$6,5,0)=Variables!$B$5,((YEAR(B639)-YEAR($B$12))*12+MONTH(B639)-MONTH($B$12)),((YEAR(B639)-YEAR(VLOOKUP(I639,$C$3:$L$6,8,0)))*12+MONTH(B639)-MONTH(VLOOKUP(I639,$C$3:$L$6,8,0))))*(VLOOKUP(I639,$C$3:$L$6,10,0)*VLOOKUP(I639,$C$3:$L$6,6,0)/12),0))</f>
        <v/>
      </c>
      <c r="K639" s="29" t="str">
        <f ca="1">IF(C639&lt;&gt;"",IF(I639&lt;&gt;"",IF(ISERROR(VLOOKUP(I639,$C$3:$L$6,10,0)),"",VLOOKUP(I639,$C$3:$L$6,10,0)+J639+IF(OR(VLOOKUP(I639,$C$3:$L$6,5,0)=Variables!$B$5,B639&gt;VLOOKUP(I639,$C$3:$L$6,8,0)),IF(VLOOKUP(I639,$C$3:$L$6,5,0)=Variables!$B$5,((YEAR(B639)-YEAR($B$12))*12+MONTH(B639)-MONTH($B$12)),((YEAR(B639)-YEAR(VLOOKUP(I639,$C$3:$L$6,8,0)))*12+MONTH(B639)-MONTH(VLOOKUP(I639,$C$3:$L$6,8,0))))*VLOOKUP(I639,$C$3:$L$6,7,0),0)),""),"")</f>
        <v/>
      </c>
      <c r="L639" s="29" t="str">
        <f t="shared" ca="1" si="59"/>
        <v/>
      </c>
      <c r="M639" s="10"/>
      <c r="N639" s="10"/>
    </row>
    <row r="640" spans="1:14" x14ac:dyDescent="0.25">
      <c r="A640" s="10"/>
      <c r="B640" s="14" t="str">
        <f t="shared" ca="1" si="60"/>
        <v/>
      </c>
      <c r="C640" s="14" t="str">
        <f ca="1">IF(I639&lt;&gt;Variables!$B$1,IF(H639&lt;&gt;0,C639,I639),"")</f>
        <v/>
      </c>
      <c r="D640" s="29" t="str">
        <f t="shared" ca="1" si="57"/>
        <v/>
      </c>
      <c r="E640" s="29" t="str">
        <f t="shared" ca="1" si="58"/>
        <v/>
      </c>
      <c r="F640" s="29" t="str">
        <f ca="1">IF(C640&lt;&gt;"",IF(OR(VLOOKUP(C640,$C$3:$L$6,5,0)=Variables!$B$5,B640&gt;VLOOKUP(C640,$C$3:$L$6,8,0)),-D640*VLOOKUP(C640,$C$3:$L$6,6,0)/12,0),"")</f>
        <v/>
      </c>
      <c r="G640" s="29" t="str">
        <f ca="1">IF(I640&lt;&gt;Variables!$B$1,IF(C640&lt;&gt;"",$I$9-E640-F640,""),-D640)</f>
        <v/>
      </c>
      <c r="H640" s="29" t="str">
        <f t="shared" ca="1" si="61"/>
        <v/>
      </c>
      <c r="I640" s="31" t="str">
        <f ca="1">IF(C640&lt;&gt;"",IF(D640+$I$9-E640-F640&gt;=0,IF(ISERROR(INDEX($C$3:$C$6,MATCH(C640,$C$3:$C$6,0)+1,0)),Variables!$B$1,INDEX($C$3:$C$6,MATCH(C640,$C$3:$C$6,0)+1,0)),""),"")</f>
        <v/>
      </c>
      <c r="J640" s="29" t="str">
        <f ca="1">IF(ISERROR(VLOOKUP(I640,$C$3:$L$6,5,0)),"",IF(OR(VLOOKUP(I640,$C$3:$L$6,5,0)=Variables!$B$5,B640&gt;VLOOKUP(I640,$C$3:$L$6,8,0)),IF(VLOOKUP(I640,$C$3:$L$6,5,0)=Variables!$B$5,((YEAR(B640)-YEAR($B$12))*12+MONTH(B640)-MONTH($B$12)),((YEAR(B640)-YEAR(VLOOKUP(I640,$C$3:$L$6,8,0)))*12+MONTH(B640)-MONTH(VLOOKUP(I640,$C$3:$L$6,8,0))))*(VLOOKUP(I640,$C$3:$L$6,10,0)*VLOOKUP(I640,$C$3:$L$6,6,0)/12),0))</f>
        <v/>
      </c>
      <c r="K640" s="29" t="str">
        <f ca="1">IF(C640&lt;&gt;"",IF(I640&lt;&gt;"",IF(ISERROR(VLOOKUP(I640,$C$3:$L$6,10,0)),"",VLOOKUP(I640,$C$3:$L$6,10,0)+J640+IF(OR(VLOOKUP(I640,$C$3:$L$6,5,0)=Variables!$B$5,B640&gt;VLOOKUP(I640,$C$3:$L$6,8,0)),IF(VLOOKUP(I640,$C$3:$L$6,5,0)=Variables!$B$5,((YEAR(B640)-YEAR($B$12))*12+MONTH(B640)-MONTH($B$12)),((YEAR(B640)-YEAR(VLOOKUP(I640,$C$3:$L$6,8,0)))*12+MONTH(B640)-MONTH(VLOOKUP(I640,$C$3:$L$6,8,0))))*VLOOKUP(I640,$C$3:$L$6,7,0),0)),""),"")</f>
        <v/>
      </c>
      <c r="L640" s="29" t="str">
        <f t="shared" ca="1" si="59"/>
        <v/>
      </c>
      <c r="M640" s="10"/>
      <c r="N640" s="10"/>
    </row>
    <row r="641" spans="1:14" x14ac:dyDescent="0.25">
      <c r="A641" s="10"/>
      <c r="B641" s="14" t="str">
        <f t="shared" ca="1" si="60"/>
        <v/>
      </c>
      <c r="C641" s="14" t="str">
        <f ca="1">IF(I640&lt;&gt;Variables!$B$1,IF(H640&lt;&gt;0,C640,I640),"")</f>
        <v/>
      </c>
      <c r="D641" s="29" t="str">
        <f t="shared" ca="1" si="57"/>
        <v/>
      </c>
      <c r="E641" s="29" t="str">
        <f t="shared" ca="1" si="58"/>
        <v/>
      </c>
      <c r="F641" s="29" t="str">
        <f ca="1">IF(C641&lt;&gt;"",IF(OR(VLOOKUP(C641,$C$3:$L$6,5,0)=Variables!$B$5,B641&gt;VLOOKUP(C641,$C$3:$L$6,8,0)),-D641*VLOOKUP(C641,$C$3:$L$6,6,0)/12,0),"")</f>
        <v/>
      </c>
      <c r="G641" s="29" t="str">
        <f ca="1">IF(I641&lt;&gt;Variables!$B$1,IF(C641&lt;&gt;"",$I$9-E641-F641,""),-D641)</f>
        <v/>
      </c>
      <c r="H641" s="29" t="str">
        <f t="shared" ca="1" si="61"/>
        <v/>
      </c>
      <c r="I641" s="31" t="str">
        <f ca="1">IF(C641&lt;&gt;"",IF(D641+$I$9-E641-F641&gt;=0,IF(ISERROR(INDEX($C$3:$C$6,MATCH(C641,$C$3:$C$6,0)+1,0)),Variables!$B$1,INDEX($C$3:$C$6,MATCH(C641,$C$3:$C$6,0)+1,0)),""),"")</f>
        <v/>
      </c>
      <c r="J641" s="29" t="str">
        <f ca="1">IF(ISERROR(VLOOKUP(I641,$C$3:$L$6,5,0)),"",IF(OR(VLOOKUP(I641,$C$3:$L$6,5,0)=Variables!$B$5,B641&gt;VLOOKUP(I641,$C$3:$L$6,8,0)),IF(VLOOKUP(I641,$C$3:$L$6,5,0)=Variables!$B$5,((YEAR(B641)-YEAR($B$12))*12+MONTH(B641)-MONTH($B$12)),((YEAR(B641)-YEAR(VLOOKUP(I641,$C$3:$L$6,8,0)))*12+MONTH(B641)-MONTH(VLOOKUP(I641,$C$3:$L$6,8,0))))*(VLOOKUP(I641,$C$3:$L$6,10,0)*VLOOKUP(I641,$C$3:$L$6,6,0)/12),0))</f>
        <v/>
      </c>
      <c r="K641" s="29" t="str">
        <f ca="1">IF(C641&lt;&gt;"",IF(I641&lt;&gt;"",IF(ISERROR(VLOOKUP(I641,$C$3:$L$6,10,0)),"",VLOOKUP(I641,$C$3:$L$6,10,0)+J641+IF(OR(VLOOKUP(I641,$C$3:$L$6,5,0)=Variables!$B$5,B641&gt;VLOOKUP(I641,$C$3:$L$6,8,0)),IF(VLOOKUP(I641,$C$3:$L$6,5,0)=Variables!$B$5,((YEAR(B641)-YEAR($B$12))*12+MONTH(B641)-MONTH($B$12)),((YEAR(B641)-YEAR(VLOOKUP(I641,$C$3:$L$6,8,0)))*12+MONTH(B641)-MONTH(VLOOKUP(I641,$C$3:$L$6,8,0))))*VLOOKUP(I641,$C$3:$L$6,7,0),0)),""),"")</f>
        <v/>
      </c>
      <c r="L641" s="29" t="str">
        <f t="shared" ca="1" si="59"/>
        <v/>
      </c>
      <c r="M641" s="10"/>
      <c r="N641" s="10"/>
    </row>
    <row r="642" spans="1:14" x14ac:dyDescent="0.25">
      <c r="A642" s="10"/>
      <c r="B642" s="14" t="str">
        <f t="shared" ca="1" si="60"/>
        <v/>
      </c>
      <c r="C642" s="14" t="str">
        <f ca="1">IF(I641&lt;&gt;Variables!$B$1,IF(H641&lt;&gt;0,C641,I641),"")</f>
        <v/>
      </c>
      <c r="D642" s="29" t="str">
        <f t="shared" ca="1" si="57"/>
        <v/>
      </c>
      <c r="E642" s="29" t="str">
        <f t="shared" ca="1" si="58"/>
        <v/>
      </c>
      <c r="F642" s="29" t="str">
        <f ca="1">IF(C642&lt;&gt;"",IF(OR(VLOOKUP(C642,$C$3:$L$6,5,0)=Variables!$B$5,B642&gt;VLOOKUP(C642,$C$3:$L$6,8,0)),-D642*VLOOKUP(C642,$C$3:$L$6,6,0)/12,0),"")</f>
        <v/>
      </c>
      <c r="G642" s="29" t="str">
        <f ca="1">IF(I642&lt;&gt;Variables!$B$1,IF(C642&lt;&gt;"",$I$9-E642-F642,""),-D642)</f>
        <v/>
      </c>
      <c r="H642" s="29" t="str">
        <f t="shared" ca="1" si="61"/>
        <v/>
      </c>
      <c r="I642" s="31" t="str">
        <f ca="1">IF(C642&lt;&gt;"",IF(D642+$I$9-E642-F642&gt;=0,IF(ISERROR(INDEX($C$3:$C$6,MATCH(C642,$C$3:$C$6,0)+1,0)),Variables!$B$1,INDEX($C$3:$C$6,MATCH(C642,$C$3:$C$6,0)+1,0)),""),"")</f>
        <v/>
      </c>
      <c r="J642" s="29" t="str">
        <f ca="1">IF(ISERROR(VLOOKUP(I642,$C$3:$L$6,5,0)),"",IF(OR(VLOOKUP(I642,$C$3:$L$6,5,0)=Variables!$B$5,B642&gt;VLOOKUP(I642,$C$3:$L$6,8,0)),IF(VLOOKUP(I642,$C$3:$L$6,5,0)=Variables!$B$5,((YEAR(B642)-YEAR($B$12))*12+MONTH(B642)-MONTH($B$12)),((YEAR(B642)-YEAR(VLOOKUP(I642,$C$3:$L$6,8,0)))*12+MONTH(B642)-MONTH(VLOOKUP(I642,$C$3:$L$6,8,0))))*(VLOOKUP(I642,$C$3:$L$6,10,0)*VLOOKUP(I642,$C$3:$L$6,6,0)/12),0))</f>
        <v/>
      </c>
      <c r="K642" s="29" t="str">
        <f ca="1">IF(C642&lt;&gt;"",IF(I642&lt;&gt;"",IF(ISERROR(VLOOKUP(I642,$C$3:$L$6,10,0)),"",VLOOKUP(I642,$C$3:$L$6,10,0)+J642+IF(OR(VLOOKUP(I642,$C$3:$L$6,5,0)=Variables!$B$5,B642&gt;VLOOKUP(I642,$C$3:$L$6,8,0)),IF(VLOOKUP(I642,$C$3:$L$6,5,0)=Variables!$B$5,((YEAR(B642)-YEAR($B$12))*12+MONTH(B642)-MONTH($B$12)),((YEAR(B642)-YEAR(VLOOKUP(I642,$C$3:$L$6,8,0)))*12+MONTH(B642)-MONTH(VLOOKUP(I642,$C$3:$L$6,8,0))))*VLOOKUP(I642,$C$3:$L$6,7,0),0)),""),"")</f>
        <v/>
      </c>
      <c r="L642" s="29" t="str">
        <f t="shared" ca="1" si="59"/>
        <v/>
      </c>
      <c r="M642" s="10"/>
      <c r="N642" s="10"/>
    </row>
    <row r="643" spans="1:14" x14ac:dyDescent="0.25">
      <c r="A643" s="10"/>
      <c r="B643" s="14" t="str">
        <f t="shared" ca="1" si="60"/>
        <v/>
      </c>
      <c r="C643" s="14" t="str">
        <f ca="1">IF(I642&lt;&gt;Variables!$B$1,IF(H642&lt;&gt;0,C642,I642),"")</f>
        <v/>
      </c>
      <c r="D643" s="29" t="str">
        <f t="shared" ca="1" si="57"/>
        <v/>
      </c>
      <c r="E643" s="29" t="str">
        <f t="shared" ca="1" si="58"/>
        <v/>
      </c>
      <c r="F643" s="29" t="str">
        <f ca="1">IF(C643&lt;&gt;"",IF(OR(VLOOKUP(C643,$C$3:$L$6,5,0)=Variables!$B$5,B643&gt;VLOOKUP(C643,$C$3:$L$6,8,0)),-D643*VLOOKUP(C643,$C$3:$L$6,6,0)/12,0),"")</f>
        <v/>
      </c>
      <c r="G643" s="29" t="str">
        <f ca="1">IF(I643&lt;&gt;Variables!$B$1,IF(C643&lt;&gt;"",$I$9-E643-F643,""),-D643)</f>
        <v/>
      </c>
      <c r="H643" s="29" t="str">
        <f t="shared" ca="1" si="61"/>
        <v/>
      </c>
      <c r="I643" s="31" t="str">
        <f ca="1">IF(C643&lt;&gt;"",IF(D643+$I$9-E643-F643&gt;=0,IF(ISERROR(INDEX($C$3:$C$6,MATCH(C643,$C$3:$C$6,0)+1,0)),Variables!$B$1,INDEX($C$3:$C$6,MATCH(C643,$C$3:$C$6,0)+1,0)),""),"")</f>
        <v/>
      </c>
      <c r="J643" s="29" t="str">
        <f ca="1">IF(ISERROR(VLOOKUP(I643,$C$3:$L$6,5,0)),"",IF(OR(VLOOKUP(I643,$C$3:$L$6,5,0)=Variables!$B$5,B643&gt;VLOOKUP(I643,$C$3:$L$6,8,0)),IF(VLOOKUP(I643,$C$3:$L$6,5,0)=Variables!$B$5,((YEAR(B643)-YEAR($B$12))*12+MONTH(B643)-MONTH($B$12)),((YEAR(B643)-YEAR(VLOOKUP(I643,$C$3:$L$6,8,0)))*12+MONTH(B643)-MONTH(VLOOKUP(I643,$C$3:$L$6,8,0))))*(VLOOKUP(I643,$C$3:$L$6,10,0)*VLOOKUP(I643,$C$3:$L$6,6,0)/12),0))</f>
        <v/>
      </c>
      <c r="K643" s="29" t="str">
        <f ca="1">IF(C643&lt;&gt;"",IF(I643&lt;&gt;"",IF(ISERROR(VLOOKUP(I643,$C$3:$L$6,10,0)),"",VLOOKUP(I643,$C$3:$L$6,10,0)+J643+IF(OR(VLOOKUP(I643,$C$3:$L$6,5,0)=Variables!$B$5,B643&gt;VLOOKUP(I643,$C$3:$L$6,8,0)),IF(VLOOKUP(I643,$C$3:$L$6,5,0)=Variables!$B$5,((YEAR(B643)-YEAR($B$12))*12+MONTH(B643)-MONTH($B$12)),((YEAR(B643)-YEAR(VLOOKUP(I643,$C$3:$L$6,8,0)))*12+MONTH(B643)-MONTH(VLOOKUP(I643,$C$3:$L$6,8,0))))*VLOOKUP(I643,$C$3:$L$6,7,0),0)),""),"")</f>
        <v/>
      </c>
      <c r="L643" s="29" t="str">
        <f t="shared" ca="1" si="59"/>
        <v/>
      </c>
      <c r="M643" s="10"/>
      <c r="N643" s="10"/>
    </row>
    <row r="644" spans="1:14" x14ac:dyDescent="0.25">
      <c r="A644" s="10"/>
      <c r="B644" s="14" t="str">
        <f t="shared" ca="1" si="60"/>
        <v/>
      </c>
      <c r="C644" s="14" t="str">
        <f ca="1">IF(I643&lt;&gt;Variables!$B$1,IF(H643&lt;&gt;0,C643,I643),"")</f>
        <v/>
      </c>
      <c r="D644" s="29" t="str">
        <f t="shared" ca="1" si="57"/>
        <v/>
      </c>
      <c r="E644" s="29" t="str">
        <f t="shared" ca="1" si="58"/>
        <v/>
      </c>
      <c r="F644" s="29" t="str">
        <f ca="1">IF(C644&lt;&gt;"",IF(OR(VLOOKUP(C644,$C$3:$L$6,5,0)=Variables!$B$5,B644&gt;VLOOKUP(C644,$C$3:$L$6,8,0)),-D644*VLOOKUP(C644,$C$3:$L$6,6,0)/12,0),"")</f>
        <v/>
      </c>
      <c r="G644" s="29" t="str">
        <f ca="1">IF(I644&lt;&gt;Variables!$B$1,IF(C644&lt;&gt;"",$I$9-E644-F644,""),-D644)</f>
        <v/>
      </c>
      <c r="H644" s="29" t="str">
        <f t="shared" ca="1" si="61"/>
        <v/>
      </c>
      <c r="I644" s="31" t="str">
        <f ca="1">IF(C644&lt;&gt;"",IF(D644+$I$9-E644-F644&gt;=0,IF(ISERROR(INDEX($C$3:$C$6,MATCH(C644,$C$3:$C$6,0)+1,0)),Variables!$B$1,INDEX($C$3:$C$6,MATCH(C644,$C$3:$C$6,0)+1,0)),""),"")</f>
        <v/>
      </c>
      <c r="J644" s="29" t="str">
        <f ca="1">IF(ISERROR(VLOOKUP(I644,$C$3:$L$6,5,0)),"",IF(OR(VLOOKUP(I644,$C$3:$L$6,5,0)=Variables!$B$5,B644&gt;VLOOKUP(I644,$C$3:$L$6,8,0)),IF(VLOOKUP(I644,$C$3:$L$6,5,0)=Variables!$B$5,((YEAR(B644)-YEAR($B$12))*12+MONTH(B644)-MONTH($B$12)),((YEAR(B644)-YEAR(VLOOKUP(I644,$C$3:$L$6,8,0)))*12+MONTH(B644)-MONTH(VLOOKUP(I644,$C$3:$L$6,8,0))))*(VLOOKUP(I644,$C$3:$L$6,10,0)*VLOOKUP(I644,$C$3:$L$6,6,0)/12),0))</f>
        <v/>
      </c>
      <c r="K644" s="29" t="str">
        <f ca="1">IF(C644&lt;&gt;"",IF(I644&lt;&gt;"",IF(ISERROR(VLOOKUP(I644,$C$3:$L$6,10,0)),"",VLOOKUP(I644,$C$3:$L$6,10,0)+J644+IF(OR(VLOOKUP(I644,$C$3:$L$6,5,0)=Variables!$B$5,B644&gt;VLOOKUP(I644,$C$3:$L$6,8,0)),IF(VLOOKUP(I644,$C$3:$L$6,5,0)=Variables!$B$5,((YEAR(B644)-YEAR($B$12))*12+MONTH(B644)-MONTH($B$12)),((YEAR(B644)-YEAR(VLOOKUP(I644,$C$3:$L$6,8,0)))*12+MONTH(B644)-MONTH(VLOOKUP(I644,$C$3:$L$6,8,0))))*VLOOKUP(I644,$C$3:$L$6,7,0),0)),""),"")</f>
        <v/>
      </c>
      <c r="L644" s="29" t="str">
        <f t="shared" ca="1" si="59"/>
        <v/>
      </c>
      <c r="M644" s="10"/>
      <c r="N644" s="10"/>
    </row>
    <row r="645" spans="1:14" x14ac:dyDescent="0.25">
      <c r="A645" s="10"/>
      <c r="B645" s="14" t="str">
        <f t="shared" ca="1" si="60"/>
        <v/>
      </c>
      <c r="C645" s="14" t="str">
        <f ca="1">IF(I644&lt;&gt;Variables!$B$1,IF(H644&lt;&gt;0,C644,I644),"")</f>
        <v/>
      </c>
      <c r="D645" s="29" t="str">
        <f t="shared" ca="1" si="57"/>
        <v/>
      </c>
      <c r="E645" s="29" t="str">
        <f t="shared" ca="1" si="58"/>
        <v/>
      </c>
      <c r="F645" s="29" t="str">
        <f ca="1">IF(C645&lt;&gt;"",IF(OR(VLOOKUP(C645,$C$3:$L$6,5,0)=Variables!$B$5,B645&gt;VLOOKUP(C645,$C$3:$L$6,8,0)),-D645*VLOOKUP(C645,$C$3:$L$6,6,0)/12,0),"")</f>
        <v/>
      </c>
      <c r="G645" s="29" t="str">
        <f ca="1">IF(I645&lt;&gt;Variables!$B$1,IF(C645&lt;&gt;"",$I$9-E645-F645,""),-D645)</f>
        <v/>
      </c>
      <c r="H645" s="29" t="str">
        <f t="shared" ca="1" si="61"/>
        <v/>
      </c>
      <c r="I645" s="31" t="str">
        <f ca="1">IF(C645&lt;&gt;"",IF(D645+$I$9-E645-F645&gt;=0,IF(ISERROR(INDEX($C$3:$C$6,MATCH(C645,$C$3:$C$6,0)+1,0)),Variables!$B$1,INDEX($C$3:$C$6,MATCH(C645,$C$3:$C$6,0)+1,0)),""),"")</f>
        <v/>
      </c>
      <c r="J645" s="29" t="str">
        <f ca="1">IF(ISERROR(VLOOKUP(I645,$C$3:$L$6,5,0)),"",IF(OR(VLOOKUP(I645,$C$3:$L$6,5,0)=Variables!$B$5,B645&gt;VLOOKUP(I645,$C$3:$L$6,8,0)),IF(VLOOKUP(I645,$C$3:$L$6,5,0)=Variables!$B$5,((YEAR(B645)-YEAR($B$12))*12+MONTH(B645)-MONTH($B$12)),((YEAR(B645)-YEAR(VLOOKUP(I645,$C$3:$L$6,8,0)))*12+MONTH(B645)-MONTH(VLOOKUP(I645,$C$3:$L$6,8,0))))*(VLOOKUP(I645,$C$3:$L$6,10,0)*VLOOKUP(I645,$C$3:$L$6,6,0)/12),0))</f>
        <v/>
      </c>
      <c r="K645" s="29" t="str">
        <f ca="1">IF(C645&lt;&gt;"",IF(I645&lt;&gt;"",IF(ISERROR(VLOOKUP(I645,$C$3:$L$6,10,0)),"",VLOOKUP(I645,$C$3:$L$6,10,0)+J645+IF(OR(VLOOKUP(I645,$C$3:$L$6,5,0)=Variables!$B$5,B645&gt;VLOOKUP(I645,$C$3:$L$6,8,0)),IF(VLOOKUP(I645,$C$3:$L$6,5,0)=Variables!$B$5,((YEAR(B645)-YEAR($B$12))*12+MONTH(B645)-MONTH($B$12)),((YEAR(B645)-YEAR(VLOOKUP(I645,$C$3:$L$6,8,0)))*12+MONTH(B645)-MONTH(VLOOKUP(I645,$C$3:$L$6,8,0))))*VLOOKUP(I645,$C$3:$L$6,7,0),0)),""),"")</f>
        <v/>
      </c>
      <c r="L645" s="29" t="str">
        <f t="shared" ca="1" si="59"/>
        <v/>
      </c>
      <c r="M645" s="10"/>
      <c r="N645" s="10"/>
    </row>
    <row r="646" spans="1:14" x14ac:dyDescent="0.25">
      <c r="A646" s="10"/>
      <c r="B646" s="14" t="str">
        <f t="shared" ca="1" si="60"/>
        <v/>
      </c>
      <c r="C646" s="14" t="str">
        <f ca="1">IF(I645&lt;&gt;Variables!$B$1,IF(H645&lt;&gt;0,C645,I645),"")</f>
        <v/>
      </c>
      <c r="D646" s="29" t="str">
        <f t="shared" ca="1" si="57"/>
        <v/>
      </c>
      <c r="E646" s="29" t="str">
        <f t="shared" ca="1" si="58"/>
        <v/>
      </c>
      <c r="F646" s="29" t="str">
        <f ca="1">IF(C646&lt;&gt;"",IF(OR(VLOOKUP(C646,$C$3:$L$6,5,0)=Variables!$B$5,B646&gt;VLOOKUP(C646,$C$3:$L$6,8,0)),-D646*VLOOKUP(C646,$C$3:$L$6,6,0)/12,0),"")</f>
        <v/>
      </c>
      <c r="G646" s="29" t="str">
        <f ca="1">IF(I646&lt;&gt;Variables!$B$1,IF(C646&lt;&gt;"",$I$9-E646-F646,""),-D646)</f>
        <v/>
      </c>
      <c r="H646" s="29" t="str">
        <f t="shared" ca="1" si="61"/>
        <v/>
      </c>
      <c r="I646" s="31" t="str">
        <f ca="1">IF(C646&lt;&gt;"",IF(D646+$I$9-E646-F646&gt;=0,IF(ISERROR(INDEX($C$3:$C$6,MATCH(C646,$C$3:$C$6,0)+1,0)),Variables!$B$1,INDEX($C$3:$C$6,MATCH(C646,$C$3:$C$6,0)+1,0)),""),"")</f>
        <v/>
      </c>
      <c r="J646" s="29" t="str">
        <f ca="1">IF(ISERROR(VLOOKUP(I646,$C$3:$L$6,5,0)),"",IF(OR(VLOOKUP(I646,$C$3:$L$6,5,0)=Variables!$B$5,B646&gt;VLOOKUP(I646,$C$3:$L$6,8,0)),IF(VLOOKUP(I646,$C$3:$L$6,5,0)=Variables!$B$5,((YEAR(B646)-YEAR($B$12))*12+MONTH(B646)-MONTH($B$12)),((YEAR(B646)-YEAR(VLOOKUP(I646,$C$3:$L$6,8,0)))*12+MONTH(B646)-MONTH(VLOOKUP(I646,$C$3:$L$6,8,0))))*(VLOOKUP(I646,$C$3:$L$6,10,0)*VLOOKUP(I646,$C$3:$L$6,6,0)/12),0))</f>
        <v/>
      </c>
      <c r="K646" s="29" t="str">
        <f ca="1">IF(C646&lt;&gt;"",IF(I646&lt;&gt;"",IF(ISERROR(VLOOKUP(I646,$C$3:$L$6,10,0)),"",VLOOKUP(I646,$C$3:$L$6,10,0)+J646+IF(OR(VLOOKUP(I646,$C$3:$L$6,5,0)=Variables!$B$5,B646&gt;VLOOKUP(I646,$C$3:$L$6,8,0)),IF(VLOOKUP(I646,$C$3:$L$6,5,0)=Variables!$B$5,((YEAR(B646)-YEAR($B$12))*12+MONTH(B646)-MONTH($B$12)),((YEAR(B646)-YEAR(VLOOKUP(I646,$C$3:$L$6,8,0)))*12+MONTH(B646)-MONTH(VLOOKUP(I646,$C$3:$L$6,8,0))))*VLOOKUP(I646,$C$3:$L$6,7,0),0)),""),"")</f>
        <v/>
      </c>
      <c r="L646" s="29" t="str">
        <f t="shared" ca="1" si="59"/>
        <v/>
      </c>
      <c r="M646" s="10"/>
      <c r="N646" s="10"/>
    </row>
    <row r="647" spans="1:14" x14ac:dyDescent="0.25">
      <c r="A647" s="10"/>
      <c r="B647" s="14" t="str">
        <f t="shared" ca="1" si="60"/>
        <v/>
      </c>
      <c r="C647" s="14" t="str">
        <f ca="1">IF(I646&lt;&gt;Variables!$B$1,IF(H646&lt;&gt;0,C646,I646),"")</f>
        <v/>
      </c>
      <c r="D647" s="29" t="str">
        <f t="shared" ca="1" si="57"/>
        <v/>
      </c>
      <c r="E647" s="29" t="str">
        <f t="shared" ca="1" si="58"/>
        <v/>
      </c>
      <c r="F647" s="29" t="str">
        <f ca="1">IF(C647&lt;&gt;"",IF(OR(VLOOKUP(C647,$C$3:$L$6,5,0)=Variables!$B$5,B647&gt;VLOOKUP(C647,$C$3:$L$6,8,0)),-D647*VLOOKUP(C647,$C$3:$L$6,6,0)/12,0),"")</f>
        <v/>
      </c>
      <c r="G647" s="29" t="str">
        <f ca="1">IF(I647&lt;&gt;Variables!$B$1,IF(C647&lt;&gt;"",$I$9-E647-F647,""),-D647)</f>
        <v/>
      </c>
      <c r="H647" s="29" t="str">
        <f t="shared" ca="1" si="61"/>
        <v/>
      </c>
      <c r="I647" s="31" t="str">
        <f ca="1">IF(C647&lt;&gt;"",IF(D647+$I$9-E647-F647&gt;=0,IF(ISERROR(INDEX($C$3:$C$6,MATCH(C647,$C$3:$C$6,0)+1,0)),Variables!$B$1,INDEX($C$3:$C$6,MATCH(C647,$C$3:$C$6,0)+1,0)),""),"")</f>
        <v/>
      </c>
      <c r="J647" s="29" t="str">
        <f ca="1">IF(ISERROR(VLOOKUP(I647,$C$3:$L$6,5,0)),"",IF(OR(VLOOKUP(I647,$C$3:$L$6,5,0)=Variables!$B$5,B647&gt;VLOOKUP(I647,$C$3:$L$6,8,0)),IF(VLOOKUP(I647,$C$3:$L$6,5,0)=Variables!$B$5,((YEAR(B647)-YEAR($B$12))*12+MONTH(B647)-MONTH($B$12)),((YEAR(B647)-YEAR(VLOOKUP(I647,$C$3:$L$6,8,0)))*12+MONTH(B647)-MONTH(VLOOKUP(I647,$C$3:$L$6,8,0))))*(VLOOKUP(I647,$C$3:$L$6,10,0)*VLOOKUP(I647,$C$3:$L$6,6,0)/12),0))</f>
        <v/>
      </c>
      <c r="K647" s="29" t="str">
        <f ca="1">IF(C647&lt;&gt;"",IF(I647&lt;&gt;"",IF(ISERROR(VLOOKUP(I647,$C$3:$L$6,10,0)),"",VLOOKUP(I647,$C$3:$L$6,10,0)+J647+IF(OR(VLOOKUP(I647,$C$3:$L$6,5,0)=Variables!$B$5,B647&gt;VLOOKUP(I647,$C$3:$L$6,8,0)),IF(VLOOKUP(I647,$C$3:$L$6,5,0)=Variables!$B$5,((YEAR(B647)-YEAR($B$12))*12+MONTH(B647)-MONTH($B$12)),((YEAR(B647)-YEAR(VLOOKUP(I647,$C$3:$L$6,8,0)))*12+MONTH(B647)-MONTH(VLOOKUP(I647,$C$3:$L$6,8,0))))*VLOOKUP(I647,$C$3:$L$6,7,0),0)),""),"")</f>
        <v/>
      </c>
      <c r="L647" s="29" t="str">
        <f t="shared" ca="1" si="59"/>
        <v/>
      </c>
      <c r="M647" s="10"/>
      <c r="N647" s="10"/>
    </row>
    <row r="648" spans="1:14" x14ac:dyDescent="0.25">
      <c r="A648" s="10"/>
      <c r="B648" s="14" t="str">
        <f t="shared" ca="1" si="60"/>
        <v/>
      </c>
      <c r="C648" s="14" t="str">
        <f ca="1">IF(I647&lt;&gt;Variables!$B$1,IF(H647&lt;&gt;0,C647,I647),"")</f>
        <v/>
      </c>
      <c r="D648" s="29" t="str">
        <f t="shared" ca="1" si="57"/>
        <v/>
      </c>
      <c r="E648" s="29" t="str">
        <f t="shared" ca="1" si="58"/>
        <v/>
      </c>
      <c r="F648" s="29" t="str">
        <f ca="1">IF(C648&lt;&gt;"",IF(OR(VLOOKUP(C648,$C$3:$L$6,5,0)=Variables!$B$5,B648&gt;VLOOKUP(C648,$C$3:$L$6,8,0)),-D648*VLOOKUP(C648,$C$3:$L$6,6,0)/12,0),"")</f>
        <v/>
      </c>
      <c r="G648" s="29" t="str">
        <f ca="1">IF(I648&lt;&gt;Variables!$B$1,IF(C648&lt;&gt;"",$I$9-E648-F648,""),-D648)</f>
        <v/>
      </c>
      <c r="H648" s="29" t="str">
        <f t="shared" ca="1" si="61"/>
        <v/>
      </c>
      <c r="I648" s="31" t="str">
        <f ca="1">IF(C648&lt;&gt;"",IF(D648+$I$9-E648-F648&gt;=0,IF(ISERROR(INDEX($C$3:$C$6,MATCH(C648,$C$3:$C$6,0)+1,0)),Variables!$B$1,INDEX($C$3:$C$6,MATCH(C648,$C$3:$C$6,0)+1,0)),""),"")</f>
        <v/>
      </c>
      <c r="J648" s="29" t="str">
        <f ca="1">IF(ISERROR(VLOOKUP(I648,$C$3:$L$6,5,0)),"",IF(OR(VLOOKUP(I648,$C$3:$L$6,5,0)=Variables!$B$5,B648&gt;VLOOKUP(I648,$C$3:$L$6,8,0)),IF(VLOOKUP(I648,$C$3:$L$6,5,0)=Variables!$B$5,((YEAR(B648)-YEAR($B$12))*12+MONTH(B648)-MONTH($B$12)),((YEAR(B648)-YEAR(VLOOKUP(I648,$C$3:$L$6,8,0)))*12+MONTH(B648)-MONTH(VLOOKUP(I648,$C$3:$L$6,8,0))))*(VLOOKUP(I648,$C$3:$L$6,10,0)*VLOOKUP(I648,$C$3:$L$6,6,0)/12),0))</f>
        <v/>
      </c>
      <c r="K648" s="29" t="str">
        <f ca="1">IF(C648&lt;&gt;"",IF(I648&lt;&gt;"",IF(ISERROR(VLOOKUP(I648,$C$3:$L$6,10,0)),"",VLOOKUP(I648,$C$3:$L$6,10,0)+J648+IF(OR(VLOOKUP(I648,$C$3:$L$6,5,0)=Variables!$B$5,B648&gt;VLOOKUP(I648,$C$3:$L$6,8,0)),IF(VLOOKUP(I648,$C$3:$L$6,5,0)=Variables!$B$5,((YEAR(B648)-YEAR($B$12))*12+MONTH(B648)-MONTH($B$12)),((YEAR(B648)-YEAR(VLOOKUP(I648,$C$3:$L$6,8,0)))*12+MONTH(B648)-MONTH(VLOOKUP(I648,$C$3:$L$6,8,0))))*VLOOKUP(I648,$C$3:$L$6,7,0),0)),""),"")</f>
        <v/>
      </c>
      <c r="L648" s="29" t="str">
        <f t="shared" ca="1" si="59"/>
        <v/>
      </c>
      <c r="M648" s="10"/>
      <c r="N648" s="10"/>
    </row>
    <row r="649" spans="1:14" x14ac:dyDescent="0.25">
      <c r="A649" s="10"/>
      <c r="B649" s="14" t="str">
        <f t="shared" ca="1" si="60"/>
        <v/>
      </c>
      <c r="C649" s="14" t="str">
        <f ca="1">IF(I648&lt;&gt;Variables!$B$1,IF(H648&lt;&gt;0,C648,I648),"")</f>
        <v/>
      </c>
      <c r="D649" s="29" t="str">
        <f t="shared" ca="1" si="57"/>
        <v/>
      </c>
      <c r="E649" s="29" t="str">
        <f t="shared" ca="1" si="58"/>
        <v/>
      </c>
      <c r="F649" s="29" t="str">
        <f ca="1">IF(C649&lt;&gt;"",IF(OR(VLOOKUP(C649,$C$3:$L$6,5,0)=Variables!$B$5,B649&gt;VLOOKUP(C649,$C$3:$L$6,8,0)),-D649*VLOOKUP(C649,$C$3:$L$6,6,0)/12,0),"")</f>
        <v/>
      </c>
      <c r="G649" s="29" t="str">
        <f ca="1">IF(I649&lt;&gt;Variables!$B$1,IF(C649&lt;&gt;"",$I$9-E649-F649,""),-D649)</f>
        <v/>
      </c>
      <c r="H649" s="29" t="str">
        <f t="shared" ca="1" si="61"/>
        <v/>
      </c>
      <c r="I649" s="31" t="str">
        <f ca="1">IF(C649&lt;&gt;"",IF(D649+$I$9-E649-F649&gt;=0,IF(ISERROR(INDEX($C$3:$C$6,MATCH(C649,$C$3:$C$6,0)+1,0)),Variables!$B$1,INDEX($C$3:$C$6,MATCH(C649,$C$3:$C$6,0)+1,0)),""),"")</f>
        <v/>
      </c>
      <c r="J649" s="29" t="str">
        <f ca="1">IF(ISERROR(VLOOKUP(I649,$C$3:$L$6,5,0)),"",IF(OR(VLOOKUP(I649,$C$3:$L$6,5,0)=Variables!$B$5,B649&gt;VLOOKUP(I649,$C$3:$L$6,8,0)),IF(VLOOKUP(I649,$C$3:$L$6,5,0)=Variables!$B$5,((YEAR(B649)-YEAR($B$12))*12+MONTH(B649)-MONTH($B$12)),((YEAR(B649)-YEAR(VLOOKUP(I649,$C$3:$L$6,8,0)))*12+MONTH(B649)-MONTH(VLOOKUP(I649,$C$3:$L$6,8,0))))*(VLOOKUP(I649,$C$3:$L$6,10,0)*VLOOKUP(I649,$C$3:$L$6,6,0)/12),0))</f>
        <v/>
      </c>
      <c r="K649" s="29" t="str">
        <f ca="1">IF(C649&lt;&gt;"",IF(I649&lt;&gt;"",IF(ISERROR(VLOOKUP(I649,$C$3:$L$6,10,0)),"",VLOOKUP(I649,$C$3:$L$6,10,0)+J649+IF(OR(VLOOKUP(I649,$C$3:$L$6,5,0)=Variables!$B$5,B649&gt;VLOOKUP(I649,$C$3:$L$6,8,0)),IF(VLOOKUP(I649,$C$3:$L$6,5,0)=Variables!$B$5,((YEAR(B649)-YEAR($B$12))*12+MONTH(B649)-MONTH($B$12)),((YEAR(B649)-YEAR(VLOOKUP(I649,$C$3:$L$6,8,0)))*12+MONTH(B649)-MONTH(VLOOKUP(I649,$C$3:$L$6,8,0))))*VLOOKUP(I649,$C$3:$L$6,7,0),0)),""),"")</f>
        <v/>
      </c>
      <c r="L649" s="29" t="str">
        <f t="shared" ca="1" si="59"/>
        <v/>
      </c>
      <c r="M649" s="10"/>
      <c r="N649" s="10"/>
    </row>
    <row r="650" spans="1:14" x14ac:dyDescent="0.25">
      <c r="A650" s="10"/>
      <c r="B650" s="14" t="str">
        <f t="shared" ca="1" si="60"/>
        <v/>
      </c>
      <c r="C650" s="14" t="str">
        <f ca="1">IF(I649&lt;&gt;Variables!$B$1,IF(H649&lt;&gt;0,C649,I649),"")</f>
        <v/>
      </c>
      <c r="D650" s="29" t="str">
        <f t="shared" ca="1" si="57"/>
        <v/>
      </c>
      <c r="E650" s="29" t="str">
        <f t="shared" ca="1" si="58"/>
        <v/>
      </c>
      <c r="F650" s="29" t="str">
        <f ca="1">IF(C650&lt;&gt;"",IF(OR(VLOOKUP(C650,$C$3:$L$6,5,0)=Variables!$B$5,B650&gt;VLOOKUP(C650,$C$3:$L$6,8,0)),-D650*VLOOKUP(C650,$C$3:$L$6,6,0)/12,0),"")</f>
        <v/>
      </c>
      <c r="G650" s="29" t="str">
        <f ca="1">IF(I650&lt;&gt;Variables!$B$1,IF(C650&lt;&gt;"",$I$9-E650-F650,""),-D650)</f>
        <v/>
      </c>
      <c r="H650" s="29" t="str">
        <f t="shared" ca="1" si="61"/>
        <v/>
      </c>
      <c r="I650" s="31" t="str">
        <f ca="1">IF(C650&lt;&gt;"",IF(D650+$I$9-E650-F650&gt;=0,IF(ISERROR(INDEX($C$3:$C$6,MATCH(C650,$C$3:$C$6,0)+1,0)),Variables!$B$1,INDEX($C$3:$C$6,MATCH(C650,$C$3:$C$6,0)+1,0)),""),"")</f>
        <v/>
      </c>
      <c r="J650" s="29" t="str">
        <f ca="1">IF(ISERROR(VLOOKUP(I650,$C$3:$L$6,5,0)),"",IF(OR(VLOOKUP(I650,$C$3:$L$6,5,0)=Variables!$B$5,B650&gt;VLOOKUP(I650,$C$3:$L$6,8,0)),IF(VLOOKUP(I650,$C$3:$L$6,5,0)=Variables!$B$5,((YEAR(B650)-YEAR($B$12))*12+MONTH(B650)-MONTH($B$12)),((YEAR(B650)-YEAR(VLOOKUP(I650,$C$3:$L$6,8,0)))*12+MONTH(B650)-MONTH(VLOOKUP(I650,$C$3:$L$6,8,0))))*(VLOOKUP(I650,$C$3:$L$6,10,0)*VLOOKUP(I650,$C$3:$L$6,6,0)/12),0))</f>
        <v/>
      </c>
      <c r="K650" s="29" t="str">
        <f ca="1">IF(C650&lt;&gt;"",IF(I650&lt;&gt;"",IF(ISERROR(VLOOKUP(I650,$C$3:$L$6,10,0)),"",VLOOKUP(I650,$C$3:$L$6,10,0)+J650+IF(OR(VLOOKUP(I650,$C$3:$L$6,5,0)=Variables!$B$5,B650&gt;VLOOKUP(I650,$C$3:$L$6,8,0)),IF(VLOOKUP(I650,$C$3:$L$6,5,0)=Variables!$B$5,((YEAR(B650)-YEAR($B$12))*12+MONTH(B650)-MONTH($B$12)),((YEAR(B650)-YEAR(VLOOKUP(I650,$C$3:$L$6,8,0)))*12+MONTH(B650)-MONTH(VLOOKUP(I650,$C$3:$L$6,8,0))))*VLOOKUP(I650,$C$3:$L$6,7,0),0)),""),"")</f>
        <v/>
      </c>
      <c r="L650" s="29" t="str">
        <f t="shared" ca="1" si="59"/>
        <v/>
      </c>
      <c r="M650" s="10"/>
      <c r="N650" s="10"/>
    </row>
    <row r="651" spans="1:14" x14ac:dyDescent="0.25">
      <c r="A651" s="10"/>
      <c r="B651" s="14" t="str">
        <f t="shared" ca="1" si="60"/>
        <v/>
      </c>
      <c r="C651" s="14" t="str">
        <f ca="1">IF(I650&lt;&gt;Variables!$B$1,IF(H650&lt;&gt;0,C650,I650),"")</f>
        <v/>
      </c>
      <c r="D651" s="29" t="str">
        <f t="shared" ca="1" si="57"/>
        <v/>
      </c>
      <c r="E651" s="29" t="str">
        <f t="shared" ca="1" si="58"/>
        <v/>
      </c>
      <c r="F651" s="29" t="str">
        <f ca="1">IF(C651&lt;&gt;"",IF(OR(VLOOKUP(C651,$C$3:$L$6,5,0)=Variables!$B$5,B651&gt;VLOOKUP(C651,$C$3:$L$6,8,0)),-D651*VLOOKUP(C651,$C$3:$L$6,6,0)/12,0),"")</f>
        <v/>
      </c>
      <c r="G651" s="29" t="str">
        <f ca="1">IF(I651&lt;&gt;Variables!$B$1,IF(C651&lt;&gt;"",$I$9-E651-F651,""),-D651)</f>
        <v/>
      </c>
      <c r="H651" s="29" t="str">
        <f t="shared" ca="1" si="61"/>
        <v/>
      </c>
      <c r="I651" s="31" t="str">
        <f ca="1">IF(C651&lt;&gt;"",IF(D651+$I$9-E651-F651&gt;=0,IF(ISERROR(INDEX($C$3:$C$6,MATCH(C651,$C$3:$C$6,0)+1,0)),Variables!$B$1,INDEX($C$3:$C$6,MATCH(C651,$C$3:$C$6,0)+1,0)),""),"")</f>
        <v/>
      </c>
      <c r="J651" s="29" t="str">
        <f ca="1">IF(ISERROR(VLOOKUP(I651,$C$3:$L$6,5,0)),"",IF(OR(VLOOKUP(I651,$C$3:$L$6,5,0)=Variables!$B$5,B651&gt;VLOOKUP(I651,$C$3:$L$6,8,0)),IF(VLOOKUP(I651,$C$3:$L$6,5,0)=Variables!$B$5,((YEAR(B651)-YEAR($B$12))*12+MONTH(B651)-MONTH($B$12)),((YEAR(B651)-YEAR(VLOOKUP(I651,$C$3:$L$6,8,0)))*12+MONTH(B651)-MONTH(VLOOKUP(I651,$C$3:$L$6,8,0))))*(VLOOKUP(I651,$C$3:$L$6,10,0)*VLOOKUP(I651,$C$3:$L$6,6,0)/12),0))</f>
        <v/>
      </c>
      <c r="K651" s="29" t="str">
        <f ca="1">IF(C651&lt;&gt;"",IF(I651&lt;&gt;"",IF(ISERROR(VLOOKUP(I651,$C$3:$L$6,10,0)),"",VLOOKUP(I651,$C$3:$L$6,10,0)+J651+IF(OR(VLOOKUP(I651,$C$3:$L$6,5,0)=Variables!$B$5,B651&gt;VLOOKUP(I651,$C$3:$L$6,8,0)),IF(VLOOKUP(I651,$C$3:$L$6,5,0)=Variables!$B$5,((YEAR(B651)-YEAR($B$12))*12+MONTH(B651)-MONTH($B$12)),((YEAR(B651)-YEAR(VLOOKUP(I651,$C$3:$L$6,8,0)))*12+MONTH(B651)-MONTH(VLOOKUP(I651,$C$3:$L$6,8,0))))*VLOOKUP(I651,$C$3:$L$6,7,0),0)),""),"")</f>
        <v/>
      </c>
      <c r="L651" s="29" t="str">
        <f t="shared" ca="1" si="59"/>
        <v/>
      </c>
      <c r="M651" s="10"/>
      <c r="N651" s="10"/>
    </row>
    <row r="652" spans="1:14" x14ac:dyDescent="0.25">
      <c r="A652" s="10"/>
      <c r="B652" s="14" t="str">
        <f t="shared" ca="1" si="60"/>
        <v/>
      </c>
      <c r="C652" s="14" t="str">
        <f ca="1">IF(I651&lt;&gt;Variables!$B$1,IF(H651&lt;&gt;0,C651,I651),"")</f>
        <v/>
      </c>
      <c r="D652" s="29" t="str">
        <f t="shared" ca="1" si="57"/>
        <v/>
      </c>
      <c r="E652" s="29" t="str">
        <f t="shared" ca="1" si="58"/>
        <v/>
      </c>
      <c r="F652" s="29" t="str">
        <f ca="1">IF(C652&lt;&gt;"",IF(OR(VLOOKUP(C652,$C$3:$L$6,5,0)=Variables!$B$5,B652&gt;VLOOKUP(C652,$C$3:$L$6,8,0)),-D652*VLOOKUP(C652,$C$3:$L$6,6,0)/12,0),"")</f>
        <v/>
      </c>
      <c r="G652" s="29" t="str">
        <f ca="1">IF(I652&lt;&gt;Variables!$B$1,IF(C652&lt;&gt;"",$I$9-E652-F652,""),-D652)</f>
        <v/>
      </c>
      <c r="H652" s="29" t="str">
        <f t="shared" ca="1" si="61"/>
        <v/>
      </c>
      <c r="I652" s="31" t="str">
        <f ca="1">IF(C652&lt;&gt;"",IF(D652+$I$9-E652-F652&gt;=0,IF(ISERROR(INDEX($C$3:$C$6,MATCH(C652,$C$3:$C$6,0)+1,0)),Variables!$B$1,INDEX($C$3:$C$6,MATCH(C652,$C$3:$C$6,0)+1,0)),""),"")</f>
        <v/>
      </c>
      <c r="J652" s="29" t="str">
        <f ca="1">IF(ISERROR(VLOOKUP(I652,$C$3:$L$6,5,0)),"",IF(OR(VLOOKUP(I652,$C$3:$L$6,5,0)=Variables!$B$5,B652&gt;VLOOKUP(I652,$C$3:$L$6,8,0)),IF(VLOOKUP(I652,$C$3:$L$6,5,0)=Variables!$B$5,((YEAR(B652)-YEAR($B$12))*12+MONTH(B652)-MONTH($B$12)),((YEAR(B652)-YEAR(VLOOKUP(I652,$C$3:$L$6,8,0)))*12+MONTH(B652)-MONTH(VLOOKUP(I652,$C$3:$L$6,8,0))))*(VLOOKUP(I652,$C$3:$L$6,10,0)*VLOOKUP(I652,$C$3:$L$6,6,0)/12),0))</f>
        <v/>
      </c>
      <c r="K652" s="29" t="str">
        <f ca="1">IF(C652&lt;&gt;"",IF(I652&lt;&gt;"",IF(ISERROR(VLOOKUP(I652,$C$3:$L$6,10,0)),"",VLOOKUP(I652,$C$3:$L$6,10,0)+J652+IF(OR(VLOOKUP(I652,$C$3:$L$6,5,0)=Variables!$B$5,B652&gt;VLOOKUP(I652,$C$3:$L$6,8,0)),IF(VLOOKUP(I652,$C$3:$L$6,5,0)=Variables!$B$5,((YEAR(B652)-YEAR($B$12))*12+MONTH(B652)-MONTH($B$12)),((YEAR(B652)-YEAR(VLOOKUP(I652,$C$3:$L$6,8,0)))*12+MONTH(B652)-MONTH(VLOOKUP(I652,$C$3:$L$6,8,0))))*VLOOKUP(I652,$C$3:$L$6,7,0),0)),""),"")</f>
        <v/>
      </c>
      <c r="L652" s="29" t="str">
        <f t="shared" ca="1" si="59"/>
        <v/>
      </c>
      <c r="M652" s="10"/>
      <c r="N652" s="10"/>
    </row>
    <row r="653" spans="1:14" x14ac:dyDescent="0.25">
      <c r="A653" s="10"/>
      <c r="B653" s="14" t="str">
        <f t="shared" ca="1" si="60"/>
        <v/>
      </c>
      <c r="C653" s="14" t="str">
        <f ca="1">IF(I652&lt;&gt;Variables!$B$1,IF(H652&lt;&gt;0,C652,I652),"")</f>
        <v/>
      </c>
      <c r="D653" s="29" t="str">
        <f t="shared" ca="1" si="57"/>
        <v/>
      </c>
      <c r="E653" s="29" t="str">
        <f t="shared" ca="1" si="58"/>
        <v/>
      </c>
      <c r="F653" s="29" t="str">
        <f ca="1">IF(C653&lt;&gt;"",IF(OR(VLOOKUP(C653,$C$3:$L$6,5,0)=Variables!$B$5,B653&gt;VLOOKUP(C653,$C$3:$L$6,8,0)),-D653*VLOOKUP(C653,$C$3:$L$6,6,0)/12,0),"")</f>
        <v/>
      </c>
      <c r="G653" s="29" t="str">
        <f ca="1">IF(I653&lt;&gt;Variables!$B$1,IF(C653&lt;&gt;"",$I$9-E653-F653,""),-D653)</f>
        <v/>
      </c>
      <c r="H653" s="29" t="str">
        <f t="shared" ca="1" si="61"/>
        <v/>
      </c>
      <c r="I653" s="31" t="str">
        <f ca="1">IF(C653&lt;&gt;"",IF(D653+$I$9-E653-F653&gt;=0,IF(ISERROR(INDEX($C$3:$C$6,MATCH(C653,$C$3:$C$6,0)+1,0)),Variables!$B$1,INDEX($C$3:$C$6,MATCH(C653,$C$3:$C$6,0)+1,0)),""),"")</f>
        <v/>
      </c>
      <c r="J653" s="29" t="str">
        <f ca="1">IF(ISERROR(VLOOKUP(I653,$C$3:$L$6,5,0)),"",IF(OR(VLOOKUP(I653,$C$3:$L$6,5,0)=Variables!$B$5,B653&gt;VLOOKUP(I653,$C$3:$L$6,8,0)),IF(VLOOKUP(I653,$C$3:$L$6,5,0)=Variables!$B$5,((YEAR(B653)-YEAR($B$12))*12+MONTH(B653)-MONTH($B$12)),((YEAR(B653)-YEAR(VLOOKUP(I653,$C$3:$L$6,8,0)))*12+MONTH(B653)-MONTH(VLOOKUP(I653,$C$3:$L$6,8,0))))*(VLOOKUP(I653,$C$3:$L$6,10,0)*VLOOKUP(I653,$C$3:$L$6,6,0)/12),0))</f>
        <v/>
      </c>
      <c r="K653" s="29" t="str">
        <f ca="1">IF(C653&lt;&gt;"",IF(I653&lt;&gt;"",IF(ISERROR(VLOOKUP(I653,$C$3:$L$6,10,0)),"",VLOOKUP(I653,$C$3:$L$6,10,0)+J653+IF(OR(VLOOKUP(I653,$C$3:$L$6,5,0)=Variables!$B$5,B653&gt;VLOOKUP(I653,$C$3:$L$6,8,0)),IF(VLOOKUP(I653,$C$3:$L$6,5,0)=Variables!$B$5,((YEAR(B653)-YEAR($B$12))*12+MONTH(B653)-MONTH($B$12)),((YEAR(B653)-YEAR(VLOOKUP(I653,$C$3:$L$6,8,0)))*12+MONTH(B653)-MONTH(VLOOKUP(I653,$C$3:$L$6,8,0))))*VLOOKUP(I653,$C$3:$L$6,7,0),0)),""),"")</f>
        <v/>
      </c>
      <c r="L653" s="29" t="str">
        <f t="shared" ca="1" si="59"/>
        <v/>
      </c>
      <c r="M653" s="10"/>
      <c r="N653" s="10"/>
    </row>
    <row r="654" spans="1:14" x14ac:dyDescent="0.25">
      <c r="A654" s="10"/>
      <c r="B654" s="14" t="str">
        <f t="shared" ca="1" si="60"/>
        <v/>
      </c>
      <c r="C654" s="14" t="str">
        <f ca="1">IF(I653&lt;&gt;Variables!$B$1,IF(H653&lt;&gt;0,C653,I653),"")</f>
        <v/>
      </c>
      <c r="D654" s="29" t="str">
        <f t="shared" ca="1" si="57"/>
        <v/>
      </c>
      <c r="E654" s="29" t="str">
        <f t="shared" ca="1" si="58"/>
        <v/>
      </c>
      <c r="F654" s="29" t="str">
        <f ca="1">IF(C654&lt;&gt;"",IF(OR(VLOOKUP(C654,$C$3:$L$6,5,0)=Variables!$B$5,B654&gt;VLOOKUP(C654,$C$3:$L$6,8,0)),-D654*VLOOKUP(C654,$C$3:$L$6,6,0)/12,0),"")</f>
        <v/>
      </c>
      <c r="G654" s="29" t="str">
        <f ca="1">IF(I654&lt;&gt;Variables!$B$1,IF(C654&lt;&gt;"",$I$9-E654-F654,""),-D654)</f>
        <v/>
      </c>
      <c r="H654" s="29" t="str">
        <f t="shared" ca="1" si="61"/>
        <v/>
      </c>
      <c r="I654" s="31" t="str">
        <f ca="1">IF(C654&lt;&gt;"",IF(D654+$I$9-E654-F654&gt;=0,IF(ISERROR(INDEX($C$3:$C$6,MATCH(C654,$C$3:$C$6,0)+1,0)),Variables!$B$1,INDEX($C$3:$C$6,MATCH(C654,$C$3:$C$6,0)+1,0)),""),"")</f>
        <v/>
      </c>
      <c r="J654" s="29" t="str">
        <f ca="1">IF(ISERROR(VLOOKUP(I654,$C$3:$L$6,5,0)),"",IF(OR(VLOOKUP(I654,$C$3:$L$6,5,0)=Variables!$B$5,B654&gt;VLOOKUP(I654,$C$3:$L$6,8,0)),IF(VLOOKUP(I654,$C$3:$L$6,5,0)=Variables!$B$5,((YEAR(B654)-YEAR($B$12))*12+MONTH(B654)-MONTH($B$12)),((YEAR(B654)-YEAR(VLOOKUP(I654,$C$3:$L$6,8,0)))*12+MONTH(B654)-MONTH(VLOOKUP(I654,$C$3:$L$6,8,0))))*(VLOOKUP(I654,$C$3:$L$6,10,0)*VLOOKUP(I654,$C$3:$L$6,6,0)/12),0))</f>
        <v/>
      </c>
      <c r="K654" s="29" t="str">
        <f ca="1">IF(C654&lt;&gt;"",IF(I654&lt;&gt;"",IF(ISERROR(VLOOKUP(I654,$C$3:$L$6,10,0)),"",VLOOKUP(I654,$C$3:$L$6,10,0)+J654+IF(OR(VLOOKUP(I654,$C$3:$L$6,5,0)=Variables!$B$5,B654&gt;VLOOKUP(I654,$C$3:$L$6,8,0)),IF(VLOOKUP(I654,$C$3:$L$6,5,0)=Variables!$B$5,((YEAR(B654)-YEAR($B$12))*12+MONTH(B654)-MONTH($B$12)),((YEAR(B654)-YEAR(VLOOKUP(I654,$C$3:$L$6,8,0)))*12+MONTH(B654)-MONTH(VLOOKUP(I654,$C$3:$L$6,8,0))))*VLOOKUP(I654,$C$3:$L$6,7,0),0)),""),"")</f>
        <v/>
      </c>
      <c r="L654" s="29" t="str">
        <f t="shared" ca="1" si="59"/>
        <v/>
      </c>
      <c r="M654" s="10"/>
      <c r="N654" s="10"/>
    </row>
    <row r="655" spans="1:14" x14ac:dyDescent="0.25">
      <c r="A655" s="10"/>
      <c r="B655" s="14" t="str">
        <f t="shared" ca="1" si="60"/>
        <v/>
      </c>
      <c r="C655" s="14" t="str">
        <f ca="1">IF(I654&lt;&gt;Variables!$B$1,IF(H654&lt;&gt;0,C654,I654),"")</f>
        <v/>
      </c>
      <c r="D655" s="29" t="str">
        <f t="shared" ca="1" si="57"/>
        <v/>
      </c>
      <c r="E655" s="29" t="str">
        <f t="shared" ca="1" si="58"/>
        <v/>
      </c>
      <c r="F655" s="29" t="str">
        <f ca="1">IF(C655&lt;&gt;"",IF(OR(VLOOKUP(C655,$C$3:$L$6,5,0)=Variables!$B$5,B655&gt;VLOOKUP(C655,$C$3:$L$6,8,0)),-D655*VLOOKUP(C655,$C$3:$L$6,6,0)/12,0),"")</f>
        <v/>
      </c>
      <c r="G655" s="29" t="str">
        <f ca="1">IF(I655&lt;&gt;Variables!$B$1,IF(C655&lt;&gt;"",$I$9-E655-F655,""),-D655)</f>
        <v/>
      </c>
      <c r="H655" s="29" t="str">
        <f t="shared" ca="1" si="61"/>
        <v/>
      </c>
      <c r="I655" s="31" t="str">
        <f ca="1">IF(C655&lt;&gt;"",IF(D655+$I$9-E655-F655&gt;=0,IF(ISERROR(INDEX($C$3:$C$6,MATCH(C655,$C$3:$C$6,0)+1,0)),Variables!$B$1,INDEX($C$3:$C$6,MATCH(C655,$C$3:$C$6,0)+1,0)),""),"")</f>
        <v/>
      </c>
      <c r="J655" s="29" t="str">
        <f ca="1">IF(ISERROR(VLOOKUP(I655,$C$3:$L$6,5,0)),"",IF(OR(VLOOKUP(I655,$C$3:$L$6,5,0)=Variables!$B$5,B655&gt;VLOOKUP(I655,$C$3:$L$6,8,0)),IF(VLOOKUP(I655,$C$3:$L$6,5,0)=Variables!$B$5,((YEAR(B655)-YEAR($B$12))*12+MONTH(B655)-MONTH($B$12)),((YEAR(B655)-YEAR(VLOOKUP(I655,$C$3:$L$6,8,0)))*12+MONTH(B655)-MONTH(VLOOKUP(I655,$C$3:$L$6,8,0))))*(VLOOKUP(I655,$C$3:$L$6,10,0)*VLOOKUP(I655,$C$3:$L$6,6,0)/12),0))</f>
        <v/>
      </c>
      <c r="K655" s="29" t="str">
        <f ca="1">IF(C655&lt;&gt;"",IF(I655&lt;&gt;"",IF(ISERROR(VLOOKUP(I655,$C$3:$L$6,10,0)),"",VLOOKUP(I655,$C$3:$L$6,10,0)+J655+IF(OR(VLOOKUP(I655,$C$3:$L$6,5,0)=Variables!$B$5,B655&gt;VLOOKUP(I655,$C$3:$L$6,8,0)),IF(VLOOKUP(I655,$C$3:$L$6,5,0)=Variables!$B$5,((YEAR(B655)-YEAR($B$12))*12+MONTH(B655)-MONTH($B$12)),((YEAR(B655)-YEAR(VLOOKUP(I655,$C$3:$L$6,8,0)))*12+MONTH(B655)-MONTH(VLOOKUP(I655,$C$3:$L$6,8,0))))*VLOOKUP(I655,$C$3:$L$6,7,0),0)),""),"")</f>
        <v/>
      </c>
      <c r="L655" s="29" t="str">
        <f t="shared" ca="1" si="59"/>
        <v/>
      </c>
      <c r="M655" s="10"/>
      <c r="N655" s="10"/>
    </row>
    <row r="656" spans="1:14" x14ac:dyDescent="0.25">
      <c r="A656" s="10"/>
      <c r="B656" s="14" t="str">
        <f t="shared" ca="1" si="60"/>
        <v/>
      </c>
      <c r="C656" s="14" t="str">
        <f ca="1">IF(I655&lt;&gt;Variables!$B$1,IF(H655&lt;&gt;0,C655,I655),"")</f>
        <v/>
      </c>
      <c r="D656" s="29" t="str">
        <f t="shared" ca="1" si="57"/>
        <v/>
      </c>
      <c r="E656" s="29" t="str">
        <f t="shared" ca="1" si="58"/>
        <v/>
      </c>
      <c r="F656" s="29" t="str">
        <f ca="1">IF(C656&lt;&gt;"",IF(OR(VLOOKUP(C656,$C$3:$L$6,5,0)=Variables!$B$5,B656&gt;VLOOKUP(C656,$C$3:$L$6,8,0)),-D656*VLOOKUP(C656,$C$3:$L$6,6,0)/12,0),"")</f>
        <v/>
      </c>
      <c r="G656" s="29" t="str">
        <f ca="1">IF(I656&lt;&gt;Variables!$B$1,IF(C656&lt;&gt;"",$I$9-E656-F656,""),-D656)</f>
        <v/>
      </c>
      <c r="H656" s="29" t="str">
        <f t="shared" ca="1" si="61"/>
        <v/>
      </c>
      <c r="I656" s="31" t="str">
        <f ca="1">IF(C656&lt;&gt;"",IF(D656+$I$9-E656-F656&gt;=0,IF(ISERROR(INDEX($C$3:$C$6,MATCH(C656,$C$3:$C$6,0)+1,0)),Variables!$B$1,INDEX($C$3:$C$6,MATCH(C656,$C$3:$C$6,0)+1,0)),""),"")</f>
        <v/>
      </c>
      <c r="J656" s="29" t="str">
        <f ca="1">IF(ISERROR(VLOOKUP(I656,$C$3:$L$6,5,0)),"",IF(OR(VLOOKUP(I656,$C$3:$L$6,5,0)=Variables!$B$5,B656&gt;VLOOKUP(I656,$C$3:$L$6,8,0)),IF(VLOOKUP(I656,$C$3:$L$6,5,0)=Variables!$B$5,((YEAR(B656)-YEAR($B$12))*12+MONTH(B656)-MONTH($B$12)),((YEAR(B656)-YEAR(VLOOKUP(I656,$C$3:$L$6,8,0)))*12+MONTH(B656)-MONTH(VLOOKUP(I656,$C$3:$L$6,8,0))))*(VLOOKUP(I656,$C$3:$L$6,10,0)*VLOOKUP(I656,$C$3:$L$6,6,0)/12),0))</f>
        <v/>
      </c>
      <c r="K656" s="29" t="str">
        <f ca="1">IF(C656&lt;&gt;"",IF(I656&lt;&gt;"",IF(ISERROR(VLOOKUP(I656,$C$3:$L$6,10,0)),"",VLOOKUP(I656,$C$3:$L$6,10,0)+J656+IF(OR(VLOOKUP(I656,$C$3:$L$6,5,0)=Variables!$B$5,B656&gt;VLOOKUP(I656,$C$3:$L$6,8,0)),IF(VLOOKUP(I656,$C$3:$L$6,5,0)=Variables!$B$5,((YEAR(B656)-YEAR($B$12))*12+MONTH(B656)-MONTH($B$12)),((YEAR(B656)-YEAR(VLOOKUP(I656,$C$3:$L$6,8,0)))*12+MONTH(B656)-MONTH(VLOOKUP(I656,$C$3:$L$6,8,0))))*VLOOKUP(I656,$C$3:$L$6,7,0),0)),""),"")</f>
        <v/>
      </c>
      <c r="L656" s="29" t="str">
        <f t="shared" ca="1" si="59"/>
        <v/>
      </c>
      <c r="M656" s="10"/>
      <c r="N656" s="10"/>
    </row>
    <row r="657" spans="1:14" x14ac:dyDescent="0.25">
      <c r="A657" s="10"/>
      <c r="B657" s="14" t="str">
        <f t="shared" ca="1" si="60"/>
        <v/>
      </c>
      <c r="C657" s="14" t="str">
        <f ca="1">IF(I656&lt;&gt;Variables!$B$1,IF(H656&lt;&gt;0,C656,I656),"")</f>
        <v/>
      </c>
      <c r="D657" s="29" t="str">
        <f t="shared" ca="1" si="57"/>
        <v/>
      </c>
      <c r="E657" s="29" t="str">
        <f t="shared" ca="1" si="58"/>
        <v/>
      </c>
      <c r="F657" s="29" t="str">
        <f ca="1">IF(C657&lt;&gt;"",IF(OR(VLOOKUP(C657,$C$3:$L$6,5,0)=Variables!$B$5,B657&gt;VLOOKUP(C657,$C$3:$L$6,8,0)),-D657*VLOOKUP(C657,$C$3:$L$6,6,0)/12,0),"")</f>
        <v/>
      </c>
      <c r="G657" s="29" t="str">
        <f ca="1">IF(I657&lt;&gt;Variables!$B$1,IF(C657&lt;&gt;"",$I$9-E657-F657,""),-D657)</f>
        <v/>
      </c>
      <c r="H657" s="29" t="str">
        <f t="shared" ca="1" si="61"/>
        <v/>
      </c>
      <c r="I657" s="31" t="str">
        <f ca="1">IF(C657&lt;&gt;"",IF(D657+$I$9-E657-F657&gt;=0,IF(ISERROR(INDEX($C$3:$C$6,MATCH(C657,$C$3:$C$6,0)+1,0)),Variables!$B$1,INDEX($C$3:$C$6,MATCH(C657,$C$3:$C$6,0)+1,0)),""),"")</f>
        <v/>
      </c>
      <c r="J657" s="29" t="str">
        <f ca="1">IF(ISERROR(VLOOKUP(I657,$C$3:$L$6,5,0)),"",IF(OR(VLOOKUP(I657,$C$3:$L$6,5,0)=Variables!$B$5,B657&gt;VLOOKUP(I657,$C$3:$L$6,8,0)),IF(VLOOKUP(I657,$C$3:$L$6,5,0)=Variables!$B$5,((YEAR(B657)-YEAR($B$12))*12+MONTH(B657)-MONTH($B$12)),((YEAR(B657)-YEAR(VLOOKUP(I657,$C$3:$L$6,8,0)))*12+MONTH(B657)-MONTH(VLOOKUP(I657,$C$3:$L$6,8,0))))*(VLOOKUP(I657,$C$3:$L$6,10,0)*VLOOKUP(I657,$C$3:$L$6,6,0)/12),0))</f>
        <v/>
      </c>
      <c r="K657" s="29" t="str">
        <f ca="1">IF(C657&lt;&gt;"",IF(I657&lt;&gt;"",IF(ISERROR(VLOOKUP(I657,$C$3:$L$6,10,0)),"",VLOOKUP(I657,$C$3:$L$6,10,0)+J657+IF(OR(VLOOKUP(I657,$C$3:$L$6,5,0)=Variables!$B$5,B657&gt;VLOOKUP(I657,$C$3:$L$6,8,0)),IF(VLOOKUP(I657,$C$3:$L$6,5,0)=Variables!$B$5,((YEAR(B657)-YEAR($B$12))*12+MONTH(B657)-MONTH($B$12)),((YEAR(B657)-YEAR(VLOOKUP(I657,$C$3:$L$6,8,0)))*12+MONTH(B657)-MONTH(VLOOKUP(I657,$C$3:$L$6,8,0))))*VLOOKUP(I657,$C$3:$L$6,7,0),0)),""),"")</f>
        <v/>
      </c>
      <c r="L657" s="29" t="str">
        <f t="shared" ca="1" si="59"/>
        <v/>
      </c>
      <c r="M657" s="10"/>
      <c r="N657" s="10"/>
    </row>
    <row r="658" spans="1:14" x14ac:dyDescent="0.25">
      <c r="A658" s="10"/>
      <c r="B658" s="14" t="str">
        <f t="shared" ca="1" si="60"/>
        <v/>
      </c>
      <c r="C658" s="14" t="str">
        <f ca="1">IF(I657&lt;&gt;Variables!$B$1,IF(H657&lt;&gt;0,C657,I657),"")</f>
        <v/>
      </c>
      <c r="D658" s="29" t="str">
        <f t="shared" ca="1" si="57"/>
        <v/>
      </c>
      <c r="E658" s="29" t="str">
        <f t="shared" ca="1" si="58"/>
        <v/>
      </c>
      <c r="F658" s="29" t="str">
        <f ca="1">IF(C658&lt;&gt;"",IF(OR(VLOOKUP(C658,$C$3:$L$6,5,0)=Variables!$B$5,B658&gt;VLOOKUP(C658,$C$3:$L$6,8,0)),-D658*VLOOKUP(C658,$C$3:$L$6,6,0)/12,0),"")</f>
        <v/>
      </c>
      <c r="G658" s="29" t="str">
        <f ca="1">IF(I658&lt;&gt;Variables!$B$1,IF(C658&lt;&gt;"",$I$9-E658-F658,""),-D658)</f>
        <v/>
      </c>
      <c r="H658" s="29" t="str">
        <f t="shared" ca="1" si="61"/>
        <v/>
      </c>
      <c r="I658" s="31" t="str">
        <f ca="1">IF(C658&lt;&gt;"",IF(D658+$I$9-E658-F658&gt;=0,IF(ISERROR(INDEX($C$3:$C$6,MATCH(C658,$C$3:$C$6,0)+1,0)),Variables!$B$1,INDEX($C$3:$C$6,MATCH(C658,$C$3:$C$6,0)+1,0)),""),"")</f>
        <v/>
      </c>
      <c r="J658" s="29" t="str">
        <f ca="1">IF(ISERROR(VLOOKUP(I658,$C$3:$L$6,5,0)),"",IF(OR(VLOOKUP(I658,$C$3:$L$6,5,0)=Variables!$B$5,B658&gt;VLOOKUP(I658,$C$3:$L$6,8,0)),IF(VLOOKUP(I658,$C$3:$L$6,5,0)=Variables!$B$5,((YEAR(B658)-YEAR($B$12))*12+MONTH(B658)-MONTH($B$12)),((YEAR(B658)-YEAR(VLOOKUP(I658,$C$3:$L$6,8,0)))*12+MONTH(B658)-MONTH(VLOOKUP(I658,$C$3:$L$6,8,0))))*(VLOOKUP(I658,$C$3:$L$6,10,0)*VLOOKUP(I658,$C$3:$L$6,6,0)/12),0))</f>
        <v/>
      </c>
      <c r="K658" s="29" t="str">
        <f ca="1">IF(C658&lt;&gt;"",IF(I658&lt;&gt;"",IF(ISERROR(VLOOKUP(I658,$C$3:$L$6,10,0)),"",VLOOKUP(I658,$C$3:$L$6,10,0)+J658+IF(OR(VLOOKUP(I658,$C$3:$L$6,5,0)=Variables!$B$5,B658&gt;VLOOKUP(I658,$C$3:$L$6,8,0)),IF(VLOOKUP(I658,$C$3:$L$6,5,0)=Variables!$B$5,((YEAR(B658)-YEAR($B$12))*12+MONTH(B658)-MONTH($B$12)),((YEAR(B658)-YEAR(VLOOKUP(I658,$C$3:$L$6,8,0)))*12+MONTH(B658)-MONTH(VLOOKUP(I658,$C$3:$L$6,8,0))))*VLOOKUP(I658,$C$3:$L$6,7,0),0)),""),"")</f>
        <v/>
      </c>
      <c r="L658" s="29" t="str">
        <f t="shared" ca="1" si="59"/>
        <v/>
      </c>
      <c r="M658" s="10"/>
      <c r="N658" s="10"/>
    </row>
    <row r="659" spans="1:14" x14ac:dyDescent="0.25">
      <c r="A659" s="10"/>
      <c r="B659" s="14" t="str">
        <f t="shared" ca="1" si="60"/>
        <v/>
      </c>
      <c r="C659" s="14" t="str">
        <f ca="1">IF(I658&lt;&gt;Variables!$B$1,IF(H658&lt;&gt;0,C658,I658),"")</f>
        <v/>
      </c>
      <c r="D659" s="29" t="str">
        <f t="shared" ca="1" si="57"/>
        <v/>
      </c>
      <c r="E659" s="29" t="str">
        <f t="shared" ca="1" si="58"/>
        <v/>
      </c>
      <c r="F659" s="29" t="str">
        <f ca="1">IF(C659&lt;&gt;"",IF(OR(VLOOKUP(C659,$C$3:$L$6,5,0)=Variables!$B$5,B659&gt;VLOOKUP(C659,$C$3:$L$6,8,0)),-D659*VLOOKUP(C659,$C$3:$L$6,6,0)/12,0),"")</f>
        <v/>
      </c>
      <c r="G659" s="29" t="str">
        <f ca="1">IF(I659&lt;&gt;Variables!$B$1,IF(C659&lt;&gt;"",$I$9-E659-F659,""),-D659)</f>
        <v/>
      </c>
      <c r="H659" s="29" t="str">
        <f t="shared" ca="1" si="61"/>
        <v/>
      </c>
      <c r="I659" s="31" t="str">
        <f ca="1">IF(C659&lt;&gt;"",IF(D659+$I$9-E659-F659&gt;=0,IF(ISERROR(INDEX($C$3:$C$6,MATCH(C659,$C$3:$C$6,0)+1,0)),Variables!$B$1,INDEX($C$3:$C$6,MATCH(C659,$C$3:$C$6,0)+1,0)),""),"")</f>
        <v/>
      </c>
      <c r="J659" s="29" t="str">
        <f ca="1">IF(ISERROR(VLOOKUP(I659,$C$3:$L$6,5,0)),"",IF(OR(VLOOKUP(I659,$C$3:$L$6,5,0)=Variables!$B$5,B659&gt;VLOOKUP(I659,$C$3:$L$6,8,0)),IF(VLOOKUP(I659,$C$3:$L$6,5,0)=Variables!$B$5,((YEAR(B659)-YEAR($B$12))*12+MONTH(B659)-MONTH($B$12)),((YEAR(B659)-YEAR(VLOOKUP(I659,$C$3:$L$6,8,0)))*12+MONTH(B659)-MONTH(VLOOKUP(I659,$C$3:$L$6,8,0))))*(VLOOKUP(I659,$C$3:$L$6,10,0)*VLOOKUP(I659,$C$3:$L$6,6,0)/12),0))</f>
        <v/>
      </c>
      <c r="K659" s="29" t="str">
        <f ca="1">IF(C659&lt;&gt;"",IF(I659&lt;&gt;"",IF(ISERROR(VLOOKUP(I659,$C$3:$L$6,10,0)),"",VLOOKUP(I659,$C$3:$L$6,10,0)+J659+IF(OR(VLOOKUP(I659,$C$3:$L$6,5,0)=Variables!$B$5,B659&gt;VLOOKUP(I659,$C$3:$L$6,8,0)),IF(VLOOKUP(I659,$C$3:$L$6,5,0)=Variables!$B$5,((YEAR(B659)-YEAR($B$12))*12+MONTH(B659)-MONTH($B$12)),((YEAR(B659)-YEAR(VLOOKUP(I659,$C$3:$L$6,8,0)))*12+MONTH(B659)-MONTH(VLOOKUP(I659,$C$3:$L$6,8,0))))*VLOOKUP(I659,$C$3:$L$6,7,0),0)),""),"")</f>
        <v/>
      </c>
      <c r="L659" s="29" t="str">
        <f t="shared" ca="1" si="59"/>
        <v/>
      </c>
      <c r="M659" s="10"/>
      <c r="N659" s="10"/>
    </row>
    <row r="660" spans="1:14" x14ac:dyDescent="0.25">
      <c r="A660" s="10"/>
      <c r="B660" s="14" t="str">
        <f t="shared" ca="1" si="60"/>
        <v/>
      </c>
      <c r="C660" s="14" t="str">
        <f ca="1">IF(I659&lt;&gt;Variables!$B$1,IF(H659&lt;&gt;0,C659,I659),"")</f>
        <v/>
      </c>
      <c r="D660" s="29" t="str">
        <f t="shared" ca="1" si="57"/>
        <v/>
      </c>
      <c r="E660" s="29" t="str">
        <f t="shared" ca="1" si="58"/>
        <v/>
      </c>
      <c r="F660" s="29" t="str">
        <f ca="1">IF(C660&lt;&gt;"",IF(OR(VLOOKUP(C660,$C$3:$L$6,5,0)=Variables!$B$5,B660&gt;VLOOKUP(C660,$C$3:$L$6,8,0)),-D660*VLOOKUP(C660,$C$3:$L$6,6,0)/12,0),"")</f>
        <v/>
      </c>
      <c r="G660" s="29" t="str">
        <f ca="1">IF(I660&lt;&gt;Variables!$B$1,IF(C660&lt;&gt;"",$I$9-E660-F660,""),-D660)</f>
        <v/>
      </c>
      <c r="H660" s="29" t="str">
        <f t="shared" ca="1" si="61"/>
        <v/>
      </c>
      <c r="I660" s="31" t="str">
        <f ca="1">IF(C660&lt;&gt;"",IF(D660+$I$9-E660-F660&gt;=0,IF(ISERROR(INDEX($C$3:$C$6,MATCH(C660,$C$3:$C$6,0)+1,0)),Variables!$B$1,INDEX($C$3:$C$6,MATCH(C660,$C$3:$C$6,0)+1,0)),""),"")</f>
        <v/>
      </c>
      <c r="J660" s="29" t="str">
        <f ca="1">IF(ISERROR(VLOOKUP(I660,$C$3:$L$6,5,0)),"",IF(OR(VLOOKUP(I660,$C$3:$L$6,5,0)=Variables!$B$5,B660&gt;VLOOKUP(I660,$C$3:$L$6,8,0)),IF(VLOOKUP(I660,$C$3:$L$6,5,0)=Variables!$B$5,((YEAR(B660)-YEAR($B$12))*12+MONTH(B660)-MONTH($B$12)),((YEAR(B660)-YEAR(VLOOKUP(I660,$C$3:$L$6,8,0)))*12+MONTH(B660)-MONTH(VLOOKUP(I660,$C$3:$L$6,8,0))))*(VLOOKUP(I660,$C$3:$L$6,10,0)*VLOOKUP(I660,$C$3:$L$6,6,0)/12),0))</f>
        <v/>
      </c>
      <c r="K660" s="29" t="str">
        <f ca="1">IF(C660&lt;&gt;"",IF(I660&lt;&gt;"",IF(ISERROR(VLOOKUP(I660,$C$3:$L$6,10,0)),"",VLOOKUP(I660,$C$3:$L$6,10,0)+J660+IF(OR(VLOOKUP(I660,$C$3:$L$6,5,0)=Variables!$B$5,B660&gt;VLOOKUP(I660,$C$3:$L$6,8,0)),IF(VLOOKUP(I660,$C$3:$L$6,5,0)=Variables!$B$5,((YEAR(B660)-YEAR($B$12))*12+MONTH(B660)-MONTH($B$12)),((YEAR(B660)-YEAR(VLOOKUP(I660,$C$3:$L$6,8,0)))*12+MONTH(B660)-MONTH(VLOOKUP(I660,$C$3:$L$6,8,0))))*VLOOKUP(I660,$C$3:$L$6,7,0),0)),""),"")</f>
        <v/>
      </c>
      <c r="L660" s="29" t="str">
        <f t="shared" ca="1" si="59"/>
        <v/>
      </c>
      <c r="M660" s="10"/>
      <c r="N660" s="10"/>
    </row>
    <row r="661" spans="1:14" x14ac:dyDescent="0.25">
      <c r="A661" s="10"/>
      <c r="B661" s="14" t="str">
        <f t="shared" ca="1" si="60"/>
        <v/>
      </c>
      <c r="C661" s="14" t="str">
        <f ca="1">IF(I660&lt;&gt;Variables!$B$1,IF(H660&lt;&gt;0,C660,I660),"")</f>
        <v/>
      </c>
      <c r="D661" s="29" t="str">
        <f t="shared" ca="1" si="57"/>
        <v/>
      </c>
      <c r="E661" s="29" t="str">
        <f t="shared" ca="1" si="58"/>
        <v/>
      </c>
      <c r="F661" s="29" t="str">
        <f ca="1">IF(C661&lt;&gt;"",IF(OR(VLOOKUP(C661,$C$3:$L$6,5,0)=Variables!$B$5,B661&gt;VLOOKUP(C661,$C$3:$L$6,8,0)),-D661*VLOOKUP(C661,$C$3:$L$6,6,0)/12,0),"")</f>
        <v/>
      </c>
      <c r="G661" s="29" t="str">
        <f ca="1">IF(I661&lt;&gt;Variables!$B$1,IF(C661&lt;&gt;"",$I$9-E661-F661,""),-D661)</f>
        <v/>
      </c>
      <c r="H661" s="29" t="str">
        <f t="shared" ca="1" si="61"/>
        <v/>
      </c>
      <c r="I661" s="31" t="str">
        <f ca="1">IF(C661&lt;&gt;"",IF(D661+$I$9-E661-F661&gt;=0,IF(ISERROR(INDEX($C$3:$C$6,MATCH(C661,$C$3:$C$6,0)+1,0)),Variables!$B$1,INDEX($C$3:$C$6,MATCH(C661,$C$3:$C$6,0)+1,0)),""),"")</f>
        <v/>
      </c>
      <c r="J661" s="29" t="str">
        <f ca="1">IF(ISERROR(VLOOKUP(I661,$C$3:$L$6,5,0)),"",IF(OR(VLOOKUP(I661,$C$3:$L$6,5,0)=Variables!$B$5,B661&gt;VLOOKUP(I661,$C$3:$L$6,8,0)),IF(VLOOKUP(I661,$C$3:$L$6,5,0)=Variables!$B$5,((YEAR(B661)-YEAR($B$12))*12+MONTH(B661)-MONTH($B$12)),((YEAR(B661)-YEAR(VLOOKUP(I661,$C$3:$L$6,8,0)))*12+MONTH(B661)-MONTH(VLOOKUP(I661,$C$3:$L$6,8,0))))*(VLOOKUP(I661,$C$3:$L$6,10,0)*VLOOKUP(I661,$C$3:$L$6,6,0)/12),0))</f>
        <v/>
      </c>
      <c r="K661" s="29" t="str">
        <f ca="1">IF(C661&lt;&gt;"",IF(I661&lt;&gt;"",IF(ISERROR(VLOOKUP(I661,$C$3:$L$6,10,0)),"",VLOOKUP(I661,$C$3:$L$6,10,0)+J661+IF(OR(VLOOKUP(I661,$C$3:$L$6,5,0)=Variables!$B$5,B661&gt;VLOOKUP(I661,$C$3:$L$6,8,0)),IF(VLOOKUP(I661,$C$3:$L$6,5,0)=Variables!$B$5,((YEAR(B661)-YEAR($B$12))*12+MONTH(B661)-MONTH($B$12)),((YEAR(B661)-YEAR(VLOOKUP(I661,$C$3:$L$6,8,0)))*12+MONTH(B661)-MONTH(VLOOKUP(I661,$C$3:$L$6,8,0))))*VLOOKUP(I661,$C$3:$L$6,7,0),0)),""),"")</f>
        <v/>
      </c>
      <c r="L661" s="29" t="str">
        <f t="shared" ca="1" si="59"/>
        <v/>
      </c>
      <c r="M661" s="10"/>
      <c r="N661" s="10"/>
    </row>
    <row r="662" spans="1:14" x14ac:dyDescent="0.25">
      <c r="A662" s="10"/>
      <c r="B662" s="14" t="str">
        <f t="shared" ca="1" si="60"/>
        <v/>
      </c>
      <c r="C662" s="14" t="str">
        <f ca="1">IF(I661&lt;&gt;Variables!$B$1,IF(H661&lt;&gt;0,C661,I661),"")</f>
        <v/>
      </c>
      <c r="D662" s="29" t="str">
        <f t="shared" ca="1" si="57"/>
        <v/>
      </c>
      <c r="E662" s="29" t="str">
        <f t="shared" ca="1" si="58"/>
        <v/>
      </c>
      <c r="F662" s="29" t="str">
        <f ca="1">IF(C662&lt;&gt;"",IF(OR(VLOOKUP(C662,$C$3:$L$6,5,0)=Variables!$B$5,B662&gt;VLOOKUP(C662,$C$3:$L$6,8,0)),-D662*VLOOKUP(C662,$C$3:$L$6,6,0)/12,0),"")</f>
        <v/>
      </c>
      <c r="G662" s="29" t="str">
        <f ca="1">IF(I662&lt;&gt;Variables!$B$1,IF(C662&lt;&gt;"",$I$9-E662-F662,""),-D662)</f>
        <v/>
      </c>
      <c r="H662" s="29" t="str">
        <f t="shared" ca="1" si="61"/>
        <v/>
      </c>
      <c r="I662" s="31" t="str">
        <f ca="1">IF(C662&lt;&gt;"",IF(D662+$I$9-E662-F662&gt;=0,IF(ISERROR(INDEX($C$3:$C$6,MATCH(C662,$C$3:$C$6,0)+1,0)),Variables!$B$1,INDEX($C$3:$C$6,MATCH(C662,$C$3:$C$6,0)+1,0)),""),"")</f>
        <v/>
      </c>
      <c r="J662" s="29" t="str">
        <f ca="1">IF(ISERROR(VLOOKUP(I662,$C$3:$L$6,5,0)),"",IF(OR(VLOOKUP(I662,$C$3:$L$6,5,0)=Variables!$B$5,B662&gt;VLOOKUP(I662,$C$3:$L$6,8,0)),IF(VLOOKUP(I662,$C$3:$L$6,5,0)=Variables!$B$5,((YEAR(B662)-YEAR($B$12))*12+MONTH(B662)-MONTH($B$12)),((YEAR(B662)-YEAR(VLOOKUP(I662,$C$3:$L$6,8,0)))*12+MONTH(B662)-MONTH(VLOOKUP(I662,$C$3:$L$6,8,0))))*(VLOOKUP(I662,$C$3:$L$6,10,0)*VLOOKUP(I662,$C$3:$L$6,6,0)/12),0))</f>
        <v/>
      </c>
      <c r="K662" s="29" t="str">
        <f ca="1">IF(C662&lt;&gt;"",IF(I662&lt;&gt;"",IF(ISERROR(VLOOKUP(I662,$C$3:$L$6,10,0)),"",VLOOKUP(I662,$C$3:$L$6,10,0)+J662+IF(OR(VLOOKUP(I662,$C$3:$L$6,5,0)=Variables!$B$5,B662&gt;VLOOKUP(I662,$C$3:$L$6,8,0)),IF(VLOOKUP(I662,$C$3:$L$6,5,0)=Variables!$B$5,((YEAR(B662)-YEAR($B$12))*12+MONTH(B662)-MONTH($B$12)),((YEAR(B662)-YEAR(VLOOKUP(I662,$C$3:$L$6,8,0)))*12+MONTH(B662)-MONTH(VLOOKUP(I662,$C$3:$L$6,8,0))))*VLOOKUP(I662,$C$3:$L$6,7,0),0)),""),"")</f>
        <v/>
      </c>
      <c r="L662" s="29" t="str">
        <f t="shared" ca="1" si="59"/>
        <v/>
      </c>
      <c r="M662" s="10"/>
      <c r="N662" s="10"/>
    </row>
    <row r="663" spans="1:14" x14ac:dyDescent="0.25">
      <c r="A663" s="10"/>
      <c r="B663" s="14" t="str">
        <f t="shared" ca="1" si="60"/>
        <v/>
      </c>
      <c r="C663" s="14" t="str">
        <f ca="1">IF(I662&lt;&gt;Variables!$B$1,IF(H662&lt;&gt;0,C662,I662),"")</f>
        <v/>
      </c>
      <c r="D663" s="29" t="str">
        <f t="shared" ca="1" si="57"/>
        <v/>
      </c>
      <c r="E663" s="29" t="str">
        <f t="shared" ca="1" si="58"/>
        <v/>
      </c>
      <c r="F663" s="29" t="str">
        <f ca="1">IF(C663&lt;&gt;"",IF(OR(VLOOKUP(C663,$C$3:$L$6,5,0)=Variables!$B$5,B663&gt;VLOOKUP(C663,$C$3:$L$6,8,0)),-D663*VLOOKUP(C663,$C$3:$L$6,6,0)/12,0),"")</f>
        <v/>
      </c>
      <c r="G663" s="29" t="str">
        <f ca="1">IF(I663&lt;&gt;Variables!$B$1,IF(C663&lt;&gt;"",$I$9-E663-F663,""),-D663)</f>
        <v/>
      </c>
      <c r="H663" s="29" t="str">
        <f t="shared" ca="1" si="61"/>
        <v/>
      </c>
      <c r="I663" s="31" t="str">
        <f ca="1">IF(C663&lt;&gt;"",IF(D663+$I$9-E663-F663&gt;=0,IF(ISERROR(INDEX($C$3:$C$6,MATCH(C663,$C$3:$C$6,0)+1,0)),Variables!$B$1,INDEX($C$3:$C$6,MATCH(C663,$C$3:$C$6,0)+1,0)),""),"")</f>
        <v/>
      </c>
      <c r="J663" s="29" t="str">
        <f ca="1">IF(ISERROR(VLOOKUP(I663,$C$3:$L$6,5,0)),"",IF(OR(VLOOKUP(I663,$C$3:$L$6,5,0)=Variables!$B$5,B663&gt;VLOOKUP(I663,$C$3:$L$6,8,0)),IF(VLOOKUP(I663,$C$3:$L$6,5,0)=Variables!$B$5,((YEAR(B663)-YEAR($B$12))*12+MONTH(B663)-MONTH($B$12)),((YEAR(B663)-YEAR(VLOOKUP(I663,$C$3:$L$6,8,0)))*12+MONTH(B663)-MONTH(VLOOKUP(I663,$C$3:$L$6,8,0))))*(VLOOKUP(I663,$C$3:$L$6,10,0)*VLOOKUP(I663,$C$3:$L$6,6,0)/12),0))</f>
        <v/>
      </c>
      <c r="K663" s="29" t="str">
        <f ca="1">IF(C663&lt;&gt;"",IF(I663&lt;&gt;"",IF(ISERROR(VLOOKUP(I663,$C$3:$L$6,10,0)),"",VLOOKUP(I663,$C$3:$L$6,10,0)+J663+IF(OR(VLOOKUP(I663,$C$3:$L$6,5,0)=Variables!$B$5,B663&gt;VLOOKUP(I663,$C$3:$L$6,8,0)),IF(VLOOKUP(I663,$C$3:$L$6,5,0)=Variables!$B$5,((YEAR(B663)-YEAR($B$12))*12+MONTH(B663)-MONTH($B$12)),((YEAR(B663)-YEAR(VLOOKUP(I663,$C$3:$L$6,8,0)))*12+MONTH(B663)-MONTH(VLOOKUP(I663,$C$3:$L$6,8,0))))*VLOOKUP(I663,$C$3:$L$6,7,0),0)),""),"")</f>
        <v/>
      </c>
      <c r="L663" s="29" t="str">
        <f t="shared" ca="1" si="59"/>
        <v/>
      </c>
      <c r="M663" s="10"/>
      <c r="N663" s="10"/>
    </row>
    <row r="664" spans="1:14" x14ac:dyDescent="0.25">
      <c r="A664" s="10"/>
      <c r="B664" s="14" t="str">
        <f t="shared" ca="1" si="60"/>
        <v/>
      </c>
      <c r="C664" s="14" t="str">
        <f ca="1">IF(I663&lt;&gt;Variables!$B$1,IF(H663&lt;&gt;0,C663,I663),"")</f>
        <v/>
      </c>
      <c r="D664" s="29" t="str">
        <f t="shared" ca="1" si="57"/>
        <v/>
      </c>
      <c r="E664" s="29" t="str">
        <f t="shared" ca="1" si="58"/>
        <v/>
      </c>
      <c r="F664" s="29" t="str">
        <f ca="1">IF(C664&lt;&gt;"",IF(OR(VLOOKUP(C664,$C$3:$L$6,5,0)=Variables!$B$5,B664&gt;VLOOKUP(C664,$C$3:$L$6,8,0)),-D664*VLOOKUP(C664,$C$3:$L$6,6,0)/12,0),"")</f>
        <v/>
      </c>
      <c r="G664" s="29" t="str">
        <f ca="1">IF(I664&lt;&gt;Variables!$B$1,IF(C664&lt;&gt;"",$I$9-E664-F664,""),-D664)</f>
        <v/>
      </c>
      <c r="H664" s="29" t="str">
        <f t="shared" ca="1" si="61"/>
        <v/>
      </c>
      <c r="I664" s="31" t="str">
        <f ca="1">IF(C664&lt;&gt;"",IF(D664+$I$9-E664-F664&gt;=0,IF(ISERROR(INDEX($C$3:$C$6,MATCH(C664,$C$3:$C$6,0)+1,0)),Variables!$B$1,INDEX($C$3:$C$6,MATCH(C664,$C$3:$C$6,0)+1,0)),""),"")</f>
        <v/>
      </c>
      <c r="J664" s="29" t="str">
        <f ca="1">IF(ISERROR(VLOOKUP(I664,$C$3:$L$6,5,0)),"",IF(OR(VLOOKUP(I664,$C$3:$L$6,5,0)=Variables!$B$5,B664&gt;VLOOKUP(I664,$C$3:$L$6,8,0)),IF(VLOOKUP(I664,$C$3:$L$6,5,0)=Variables!$B$5,((YEAR(B664)-YEAR($B$12))*12+MONTH(B664)-MONTH($B$12)),((YEAR(B664)-YEAR(VLOOKUP(I664,$C$3:$L$6,8,0)))*12+MONTH(B664)-MONTH(VLOOKUP(I664,$C$3:$L$6,8,0))))*(VLOOKUP(I664,$C$3:$L$6,10,0)*VLOOKUP(I664,$C$3:$L$6,6,0)/12),0))</f>
        <v/>
      </c>
      <c r="K664" s="29" t="str">
        <f ca="1">IF(C664&lt;&gt;"",IF(I664&lt;&gt;"",IF(ISERROR(VLOOKUP(I664,$C$3:$L$6,10,0)),"",VLOOKUP(I664,$C$3:$L$6,10,0)+J664+IF(OR(VLOOKUP(I664,$C$3:$L$6,5,0)=Variables!$B$5,B664&gt;VLOOKUP(I664,$C$3:$L$6,8,0)),IF(VLOOKUP(I664,$C$3:$L$6,5,0)=Variables!$B$5,((YEAR(B664)-YEAR($B$12))*12+MONTH(B664)-MONTH($B$12)),((YEAR(B664)-YEAR(VLOOKUP(I664,$C$3:$L$6,8,0)))*12+MONTH(B664)-MONTH(VLOOKUP(I664,$C$3:$L$6,8,0))))*VLOOKUP(I664,$C$3:$L$6,7,0),0)),""),"")</f>
        <v/>
      </c>
      <c r="L664" s="29" t="str">
        <f t="shared" ca="1" si="59"/>
        <v/>
      </c>
      <c r="M664" s="10"/>
      <c r="N664" s="10"/>
    </row>
    <row r="665" spans="1:14" x14ac:dyDescent="0.25">
      <c r="A665" s="10"/>
      <c r="B665" s="14" t="str">
        <f t="shared" ca="1" si="60"/>
        <v/>
      </c>
      <c r="C665" s="14" t="str">
        <f ca="1">IF(I664&lt;&gt;Variables!$B$1,IF(H664&lt;&gt;0,C664,I664),"")</f>
        <v/>
      </c>
      <c r="D665" s="29" t="str">
        <f t="shared" ca="1" si="57"/>
        <v/>
      </c>
      <c r="E665" s="29" t="str">
        <f t="shared" ca="1" si="58"/>
        <v/>
      </c>
      <c r="F665" s="29" t="str">
        <f ca="1">IF(C665&lt;&gt;"",IF(OR(VLOOKUP(C665,$C$3:$L$6,5,0)=Variables!$B$5,B665&gt;VLOOKUP(C665,$C$3:$L$6,8,0)),-D665*VLOOKUP(C665,$C$3:$L$6,6,0)/12,0),"")</f>
        <v/>
      </c>
      <c r="G665" s="29" t="str">
        <f ca="1">IF(I665&lt;&gt;Variables!$B$1,IF(C665&lt;&gt;"",$I$9-E665-F665,""),-D665)</f>
        <v/>
      </c>
      <c r="H665" s="29" t="str">
        <f t="shared" ca="1" si="61"/>
        <v/>
      </c>
      <c r="I665" s="31" t="str">
        <f ca="1">IF(C665&lt;&gt;"",IF(D665+$I$9-E665-F665&gt;=0,IF(ISERROR(INDEX($C$3:$C$6,MATCH(C665,$C$3:$C$6,0)+1,0)),Variables!$B$1,INDEX($C$3:$C$6,MATCH(C665,$C$3:$C$6,0)+1,0)),""),"")</f>
        <v/>
      </c>
      <c r="J665" s="29" t="str">
        <f ca="1">IF(ISERROR(VLOOKUP(I665,$C$3:$L$6,5,0)),"",IF(OR(VLOOKUP(I665,$C$3:$L$6,5,0)=Variables!$B$5,B665&gt;VLOOKUP(I665,$C$3:$L$6,8,0)),IF(VLOOKUP(I665,$C$3:$L$6,5,0)=Variables!$B$5,((YEAR(B665)-YEAR($B$12))*12+MONTH(B665)-MONTH($B$12)),((YEAR(B665)-YEAR(VLOOKUP(I665,$C$3:$L$6,8,0)))*12+MONTH(B665)-MONTH(VLOOKUP(I665,$C$3:$L$6,8,0))))*(VLOOKUP(I665,$C$3:$L$6,10,0)*VLOOKUP(I665,$C$3:$L$6,6,0)/12),0))</f>
        <v/>
      </c>
      <c r="K665" s="29" t="str">
        <f ca="1">IF(C665&lt;&gt;"",IF(I665&lt;&gt;"",IF(ISERROR(VLOOKUP(I665,$C$3:$L$6,10,0)),"",VLOOKUP(I665,$C$3:$L$6,10,0)+J665+IF(OR(VLOOKUP(I665,$C$3:$L$6,5,0)=Variables!$B$5,B665&gt;VLOOKUP(I665,$C$3:$L$6,8,0)),IF(VLOOKUP(I665,$C$3:$L$6,5,0)=Variables!$B$5,((YEAR(B665)-YEAR($B$12))*12+MONTH(B665)-MONTH($B$12)),((YEAR(B665)-YEAR(VLOOKUP(I665,$C$3:$L$6,8,0)))*12+MONTH(B665)-MONTH(VLOOKUP(I665,$C$3:$L$6,8,0))))*VLOOKUP(I665,$C$3:$L$6,7,0),0)),""),"")</f>
        <v/>
      </c>
      <c r="L665" s="29" t="str">
        <f t="shared" ca="1" si="59"/>
        <v/>
      </c>
      <c r="M665" s="10"/>
      <c r="N665" s="10"/>
    </row>
    <row r="666" spans="1:14" x14ac:dyDescent="0.25">
      <c r="A666" s="10"/>
      <c r="B666" s="14" t="str">
        <f t="shared" ca="1" si="60"/>
        <v/>
      </c>
      <c r="C666" s="14" t="str">
        <f ca="1">IF(I665&lt;&gt;Variables!$B$1,IF(H665&lt;&gt;0,C665,I665),"")</f>
        <v/>
      </c>
      <c r="D666" s="29" t="str">
        <f t="shared" ca="1" si="57"/>
        <v/>
      </c>
      <c r="E666" s="29" t="str">
        <f t="shared" ca="1" si="58"/>
        <v/>
      </c>
      <c r="F666" s="29" t="str">
        <f ca="1">IF(C666&lt;&gt;"",IF(OR(VLOOKUP(C666,$C$3:$L$6,5,0)=Variables!$B$5,B666&gt;VLOOKUP(C666,$C$3:$L$6,8,0)),-D666*VLOOKUP(C666,$C$3:$L$6,6,0)/12,0),"")</f>
        <v/>
      </c>
      <c r="G666" s="29" t="str">
        <f ca="1">IF(I666&lt;&gt;Variables!$B$1,IF(C666&lt;&gt;"",$I$9-E666-F666,""),-D666)</f>
        <v/>
      </c>
      <c r="H666" s="29" t="str">
        <f t="shared" ca="1" si="61"/>
        <v/>
      </c>
      <c r="I666" s="31" t="str">
        <f ca="1">IF(C666&lt;&gt;"",IF(D666+$I$9-E666-F666&gt;=0,IF(ISERROR(INDEX($C$3:$C$6,MATCH(C666,$C$3:$C$6,0)+1,0)),Variables!$B$1,INDEX($C$3:$C$6,MATCH(C666,$C$3:$C$6,0)+1,0)),""),"")</f>
        <v/>
      </c>
      <c r="J666" s="29" t="str">
        <f ca="1">IF(ISERROR(VLOOKUP(I666,$C$3:$L$6,5,0)),"",IF(OR(VLOOKUP(I666,$C$3:$L$6,5,0)=Variables!$B$5,B666&gt;VLOOKUP(I666,$C$3:$L$6,8,0)),IF(VLOOKUP(I666,$C$3:$L$6,5,0)=Variables!$B$5,((YEAR(B666)-YEAR($B$12))*12+MONTH(B666)-MONTH($B$12)),((YEAR(B666)-YEAR(VLOOKUP(I666,$C$3:$L$6,8,0)))*12+MONTH(B666)-MONTH(VLOOKUP(I666,$C$3:$L$6,8,0))))*(VLOOKUP(I666,$C$3:$L$6,10,0)*VLOOKUP(I666,$C$3:$L$6,6,0)/12),0))</f>
        <v/>
      </c>
      <c r="K666" s="29" t="str">
        <f ca="1">IF(C666&lt;&gt;"",IF(I666&lt;&gt;"",IF(ISERROR(VLOOKUP(I666,$C$3:$L$6,10,0)),"",VLOOKUP(I666,$C$3:$L$6,10,0)+J666+IF(OR(VLOOKUP(I666,$C$3:$L$6,5,0)=Variables!$B$5,B666&gt;VLOOKUP(I666,$C$3:$L$6,8,0)),IF(VLOOKUP(I666,$C$3:$L$6,5,0)=Variables!$B$5,((YEAR(B666)-YEAR($B$12))*12+MONTH(B666)-MONTH($B$12)),((YEAR(B666)-YEAR(VLOOKUP(I666,$C$3:$L$6,8,0)))*12+MONTH(B666)-MONTH(VLOOKUP(I666,$C$3:$L$6,8,0))))*VLOOKUP(I666,$C$3:$L$6,7,0),0)),""),"")</f>
        <v/>
      </c>
      <c r="L666" s="29" t="str">
        <f t="shared" ca="1" si="59"/>
        <v/>
      </c>
      <c r="M666" s="10"/>
      <c r="N666" s="10"/>
    </row>
    <row r="667" spans="1:14" x14ac:dyDescent="0.25">
      <c r="A667" s="10"/>
      <c r="B667" s="14" t="str">
        <f t="shared" ca="1" si="60"/>
        <v/>
      </c>
      <c r="C667" s="14" t="str">
        <f ca="1">IF(I666&lt;&gt;Variables!$B$1,IF(H666&lt;&gt;0,C666,I666),"")</f>
        <v/>
      </c>
      <c r="D667" s="29" t="str">
        <f t="shared" ca="1" si="57"/>
        <v/>
      </c>
      <c r="E667" s="29" t="str">
        <f t="shared" ca="1" si="58"/>
        <v/>
      </c>
      <c r="F667" s="29" t="str">
        <f ca="1">IF(C667&lt;&gt;"",IF(OR(VLOOKUP(C667,$C$3:$L$6,5,0)=Variables!$B$5,B667&gt;VLOOKUP(C667,$C$3:$L$6,8,0)),-D667*VLOOKUP(C667,$C$3:$L$6,6,0)/12,0),"")</f>
        <v/>
      </c>
      <c r="G667" s="29" t="str">
        <f ca="1">IF(I667&lt;&gt;Variables!$B$1,IF(C667&lt;&gt;"",$I$9-E667-F667,""),-D667)</f>
        <v/>
      </c>
      <c r="H667" s="29" t="str">
        <f t="shared" ca="1" si="61"/>
        <v/>
      </c>
      <c r="I667" s="31" t="str">
        <f ca="1">IF(C667&lt;&gt;"",IF(D667+$I$9-E667-F667&gt;=0,IF(ISERROR(INDEX($C$3:$C$6,MATCH(C667,$C$3:$C$6,0)+1,0)),Variables!$B$1,INDEX($C$3:$C$6,MATCH(C667,$C$3:$C$6,0)+1,0)),""),"")</f>
        <v/>
      </c>
      <c r="J667" s="29" t="str">
        <f ca="1">IF(ISERROR(VLOOKUP(I667,$C$3:$L$6,5,0)),"",IF(OR(VLOOKUP(I667,$C$3:$L$6,5,0)=Variables!$B$5,B667&gt;VLOOKUP(I667,$C$3:$L$6,8,0)),IF(VLOOKUP(I667,$C$3:$L$6,5,0)=Variables!$B$5,((YEAR(B667)-YEAR($B$12))*12+MONTH(B667)-MONTH($B$12)),((YEAR(B667)-YEAR(VLOOKUP(I667,$C$3:$L$6,8,0)))*12+MONTH(B667)-MONTH(VLOOKUP(I667,$C$3:$L$6,8,0))))*(VLOOKUP(I667,$C$3:$L$6,10,0)*VLOOKUP(I667,$C$3:$L$6,6,0)/12),0))</f>
        <v/>
      </c>
      <c r="K667" s="29" t="str">
        <f ca="1">IF(C667&lt;&gt;"",IF(I667&lt;&gt;"",IF(ISERROR(VLOOKUP(I667,$C$3:$L$6,10,0)),"",VLOOKUP(I667,$C$3:$L$6,10,0)+J667+IF(OR(VLOOKUP(I667,$C$3:$L$6,5,0)=Variables!$B$5,B667&gt;VLOOKUP(I667,$C$3:$L$6,8,0)),IF(VLOOKUP(I667,$C$3:$L$6,5,0)=Variables!$B$5,((YEAR(B667)-YEAR($B$12))*12+MONTH(B667)-MONTH($B$12)),((YEAR(B667)-YEAR(VLOOKUP(I667,$C$3:$L$6,8,0)))*12+MONTH(B667)-MONTH(VLOOKUP(I667,$C$3:$L$6,8,0))))*VLOOKUP(I667,$C$3:$L$6,7,0),0)),""),"")</f>
        <v/>
      </c>
      <c r="L667" s="29" t="str">
        <f t="shared" ca="1" si="59"/>
        <v/>
      </c>
      <c r="M667" s="10"/>
      <c r="N667" s="10"/>
    </row>
    <row r="668" spans="1:14" x14ac:dyDescent="0.25">
      <c r="A668" s="10"/>
      <c r="B668" s="14" t="str">
        <f t="shared" ca="1" si="60"/>
        <v/>
      </c>
      <c r="C668" s="14" t="str">
        <f ca="1">IF(I667&lt;&gt;Variables!$B$1,IF(H667&lt;&gt;0,C667,I667),"")</f>
        <v/>
      </c>
      <c r="D668" s="29" t="str">
        <f t="shared" ref="D668:D731" ca="1" si="62">IF(C668&lt;&gt;"",IF(H667&lt;&gt;0,H667,L667),"")</f>
        <v/>
      </c>
      <c r="E668" s="29" t="str">
        <f t="shared" ref="E668:E731" ca="1" si="63">IF(C668&lt;&gt;"",MINPAYMENT(C668,ROW(B668),COLUMN(B668)),"")</f>
        <v/>
      </c>
      <c r="F668" s="29" t="str">
        <f ca="1">IF(C668&lt;&gt;"",IF(OR(VLOOKUP(C668,$C$3:$L$6,5,0)=Variables!$B$5,B668&gt;VLOOKUP(C668,$C$3:$L$6,8,0)),-D668*VLOOKUP(C668,$C$3:$L$6,6,0)/12,0),"")</f>
        <v/>
      </c>
      <c r="G668" s="29" t="str">
        <f ca="1">IF(I668&lt;&gt;Variables!$B$1,IF(C668&lt;&gt;"",$I$9-E668-F668,""),-D668)</f>
        <v/>
      </c>
      <c r="H668" s="29" t="str">
        <f t="shared" ca="1" si="61"/>
        <v/>
      </c>
      <c r="I668" s="31" t="str">
        <f ca="1">IF(C668&lt;&gt;"",IF(D668+$I$9-E668-F668&gt;=0,IF(ISERROR(INDEX($C$3:$C$6,MATCH(C668,$C$3:$C$6,0)+1,0)),Variables!$B$1,INDEX($C$3:$C$6,MATCH(C668,$C$3:$C$6,0)+1,0)),""),"")</f>
        <v/>
      </c>
      <c r="J668" s="29" t="str">
        <f ca="1">IF(ISERROR(VLOOKUP(I668,$C$3:$L$6,5,0)),"",IF(OR(VLOOKUP(I668,$C$3:$L$6,5,0)=Variables!$B$5,B668&gt;VLOOKUP(I668,$C$3:$L$6,8,0)),IF(VLOOKUP(I668,$C$3:$L$6,5,0)=Variables!$B$5,((YEAR(B668)-YEAR($B$12))*12+MONTH(B668)-MONTH($B$12)),((YEAR(B668)-YEAR(VLOOKUP(I668,$C$3:$L$6,8,0)))*12+MONTH(B668)-MONTH(VLOOKUP(I668,$C$3:$L$6,8,0))))*(VLOOKUP(I668,$C$3:$L$6,10,0)*VLOOKUP(I668,$C$3:$L$6,6,0)/12),0))</f>
        <v/>
      </c>
      <c r="K668" s="29" t="str">
        <f ca="1">IF(C668&lt;&gt;"",IF(I668&lt;&gt;"",IF(ISERROR(VLOOKUP(I668,$C$3:$L$6,10,0)),"",VLOOKUP(I668,$C$3:$L$6,10,0)+J668+IF(OR(VLOOKUP(I668,$C$3:$L$6,5,0)=Variables!$B$5,B668&gt;VLOOKUP(I668,$C$3:$L$6,8,0)),IF(VLOOKUP(I668,$C$3:$L$6,5,0)=Variables!$B$5,((YEAR(B668)-YEAR($B$12))*12+MONTH(B668)-MONTH($B$12)),((YEAR(B668)-YEAR(VLOOKUP(I668,$C$3:$L$6,8,0)))*12+MONTH(B668)-MONTH(VLOOKUP(I668,$C$3:$L$6,8,0))))*VLOOKUP(I668,$C$3:$L$6,7,0),0)),""),"")</f>
        <v/>
      </c>
      <c r="L668" s="29" t="str">
        <f t="shared" ref="L668:L731" ca="1" si="64">IF(C668&lt;&gt;"",IF(ISERROR(IF(D668+G668&gt;=0,K668+D668+G668,"")),"",IF(D668+G668&gt;=0,K668+D668+G668,"")),"")</f>
        <v/>
      </c>
      <c r="M668" s="10"/>
      <c r="N668" s="10"/>
    </row>
    <row r="669" spans="1:14" x14ac:dyDescent="0.25">
      <c r="A669" s="10"/>
      <c r="B669" s="14" t="str">
        <f t="shared" ref="B669:B732" ca="1" si="65">IF(C669&lt;&gt;"",DATE(YEAR(B668),MONTH(B668)+1,DAY(B668)),"")</f>
        <v/>
      </c>
      <c r="C669" s="14" t="str">
        <f ca="1">IF(I668&lt;&gt;Variables!$B$1,IF(H668&lt;&gt;0,C668,I668),"")</f>
        <v/>
      </c>
      <c r="D669" s="29" t="str">
        <f t="shared" ca="1" si="62"/>
        <v/>
      </c>
      <c r="E669" s="29" t="str">
        <f t="shared" ca="1" si="63"/>
        <v/>
      </c>
      <c r="F669" s="29" t="str">
        <f ca="1">IF(C669&lt;&gt;"",IF(OR(VLOOKUP(C669,$C$3:$L$6,5,0)=Variables!$B$5,B669&gt;VLOOKUP(C669,$C$3:$L$6,8,0)),-D669*VLOOKUP(C669,$C$3:$L$6,6,0)/12,0),"")</f>
        <v/>
      </c>
      <c r="G669" s="29" t="str">
        <f ca="1">IF(I669&lt;&gt;Variables!$B$1,IF(C669&lt;&gt;"",$I$9-E669-F669,""),-D669)</f>
        <v/>
      </c>
      <c r="H669" s="29" t="str">
        <f t="shared" ref="H669:H732" ca="1" si="66">IF(C669&lt;&gt;"",IF(D669+G669&lt;0,D669+G669,0),"")</f>
        <v/>
      </c>
      <c r="I669" s="31" t="str">
        <f ca="1">IF(C669&lt;&gt;"",IF(D669+$I$9-E669-F669&gt;=0,IF(ISERROR(INDEX($C$3:$C$6,MATCH(C669,$C$3:$C$6,0)+1,0)),Variables!$B$1,INDEX($C$3:$C$6,MATCH(C669,$C$3:$C$6,0)+1,0)),""),"")</f>
        <v/>
      </c>
      <c r="J669" s="29" t="str">
        <f ca="1">IF(ISERROR(VLOOKUP(I669,$C$3:$L$6,5,0)),"",IF(OR(VLOOKUP(I669,$C$3:$L$6,5,0)=Variables!$B$5,B669&gt;VLOOKUP(I669,$C$3:$L$6,8,0)),IF(VLOOKUP(I669,$C$3:$L$6,5,0)=Variables!$B$5,((YEAR(B669)-YEAR($B$12))*12+MONTH(B669)-MONTH($B$12)),((YEAR(B669)-YEAR(VLOOKUP(I669,$C$3:$L$6,8,0)))*12+MONTH(B669)-MONTH(VLOOKUP(I669,$C$3:$L$6,8,0))))*(VLOOKUP(I669,$C$3:$L$6,10,0)*VLOOKUP(I669,$C$3:$L$6,6,0)/12),0))</f>
        <v/>
      </c>
      <c r="K669" s="29" t="str">
        <f ca="1">IF(C669&lt;&gt;"",IF(I669&lt;&gt;"",IF(ISERROR(VLOOKUP(I669,$C$3:$L$6,10,0)),"",VLOOKUP(I669,$C$3:$L$6,10,0)+J669+IF(OR(VLOOKUP(I669,$C$3:$L$6,5,0)=Variables!$B$5,B669&gt;VLOOKUP(I669,$C$3:$L$6,8,0)),IF(VLOOKUP(I669,$C$3:$L$6,5,0)=Variables!$B$5,((YEAR(B669)-YEAR($B$12))*12+MONTH(B669)-MONTH($B$12)),((YEAR(B669)-YEAR(VLOOKUP(I669,$C$3:$L$6,8,0)))*12+MONTH(B669)-MONTH(VLOOKUP(I669,$C$3:$L$6,8,0))))*VLOOKUP(I669,$C$3:$L$6,7,0),0)),""),"")</f>
        <v/>
      </c>
      <c r="L669" s="29" t="str">
        <f t="shared" ca="1" si="64"/>
        <v/>
      </c>
      <c r="M669" s="10"/>
      <c r="N669" s="10"/>
    </row>
    <row r="670" spans="1:14" x14ac:dyDescent="0.25">
      <c r="A670" s="10"/>
      <c r="B670" s="14" t="str">
        <f t="shared" ca="1" si="65"/>
        <v/>
      </c>
      <c r="C670" s="14" t="str">
        <f ca="1">IF(I669&lt;&gt;Variables!$B$1,IF(H669&lt;&gt;0,C669,I669),"")</f>
        <v/>
      </c>
      <c r="D670" s="29" t="str">
        <f t="shared" ca="1" si="62"/>
        <v/>
      </c>
      <c r="E670" s="29" t="str">
        <f t="shared" ca="1" si="63"/>
        <v/>
      </c>
      <c r="F670" s="29" t="str">
        <f ca="1">IF(C670&lt;&gt;"",IF(OR(VLOOKUP(C670,$C$3:$L$6,5,0)=Variables!$B$5,B670&gt;VLOOKUP(C670,$C$3:$L$6,8,0)),-D670*VLOOKUP(C670,$C$3:$L$6,6,0)/12,0),"")</f>
        <v/>
      </c>
      <c r="G670" s="29" t="str">
        <f ca="1">IF(I670&lt;&gt;Variables!$B$1,IF(C670&lt;&gt;"",$I$9-E670-F670,""),-D670)</f>
        <v/>
      </c>
      <c r="H670" s="29" t="str">
        <f t="shared" ca="1" si="66"/>
        <v/>
      </c>
      <c r="I670" s="31" t="str">
        <f ca="1">IF(C670&lt;&gt;"",IF(D670+$I$9-E670-F670&gt;=0,IF(ISERROR(INDEX($C$3:$C$6,MATCH(C670,$C$3:$C$6,0)+1,0)),Variables!$B$1,INDEX($C$3:$C$6,MATCH(C670,$C$3:$C$6,0)+1,0)),""),"")</f>
        <v/>
      </c>
      <c r="J670" s="29" t="str">
        <f ca="1">IF(ISERROR(VLOOKUP(I670,$C$3:$L$6,5,0)),"",IF(OR(VLOOKUP(I670,$C$3:$L$6,5,0)=Variables!$B$5,B670&gt;VLOOKUP(I670,$C$3:$L$6,8,0)),IF(VLOOKUP(I670,$C$3:$L$6,5,0)=Variables!$B$5,((YEAR(B670)-YEAR($B$12))*12+MONTH(B670)-MONTH($B$12)),((YEAR(B670)-YEAR(VLOOKUP(I670,$C$3:$L$6,8,0)))*12+MONTH(B670)-MONTH(VLOOKUP(I670,$C$3:$L$6,8,0))))*(VLOOKUP(I670,$C$3:$L$6,10,0)*VLOOKUP(I670,$C$3:$L$6,6,0)/12),0))</f>
        <v/>
      </c>
      <c r="K670" s="29" t="str">
        <f ca="1">IF(C670&lt;&gt;"",IF(I670&lt;&gt;"",IF(ISERROR(VLOOKUP(I670,$C$3:$L$6,10,0)),"",VLOOKUP(I670,$C$3:$L$6,10,0)+J670+IF(OR(VLOOKUP(I670,$C$3:$L$6,5,0)=Variables!$B$5,B670&gt;VLOOKUP(I670,$C$3:$L$6,8,0)),IF(VLOOKUP(I670,$C$3:$L$6,5,0)=Variables!$B$5,((YEAR(B670)-YEAR($B$12))*12+MONTH(B670)-MONTH($B$12)),((YEAR(B670)-YEAR(VLOOKUP(I670,$C$3:$L$6,8,0)))*12+MONTH(B670)-MONTH(VLOOKUP(I670,$C$3:$L$6,8,0))))*VLOOKUP(I670,$C$3:$L$6,7,0),0)),""),"")</f>
        <v/>
      </c>
      <c r="L670" s="29" t="str">
        <f t="shared" ca="1" si="64"/>
        <v/>
      </c>
      <c r="M670" s="10"/>
      <c r="N670" s="10"/>
    </row>
    <row r="671" spans="1:14" x14ac:dyDescent="0.25">
      <c r="A671" s="10"/>
      <c r="B671" s="14" t="str">
        <f t="shared" ca="1" si="65"/>
        <v/>
      </c>
      <c r="C671" s="14" t="str">
        <f ca="1">IF(I670&lt;&gt;Variables!$B$1,IF(H670&lt;&gt;0,C670,I670),"")</f>
        <v/>
      </c>
      <c r="D671" s="29" t="str">
        <f t="shared" ca="1" si="62"/>
        <v/>
      </c>
      <c r="E671" s="29" t="str">
        <f t="shared" ca="1" si="63"/>
        <v/>
      </c>
      <c r="F671" s="29" t="str">
        <f ca="1">IF(C671&lt;&gt;"",IF(OR(VLOOKUP(C671,$C$3:$L$6,5,0)=Variables!$B$5,B671&gt;VLOOKUP(C671,$C$3:$L$6,8,0)),-D671*VLOOKUP(C671,$C$3:$L$6,6,0)/12,0),"")</f>
        <v/>
      </c>
      <c r="G671" s="29" t="str">
        <f ca="1">IF(I671&lt;&gt;Variables!$B$1,IF(C671&lt;&gt;"",$I$9-E671-F671,""),-D671)</f>
        <v/>
      </c>
      <c r="H671" s="29" t="str">
        <f t="shared" ca="1" si="66"/>
        <v/>
      </c>
      <c r="I671" s="31" t="str">
        <f ca="1">IF(C671&lt;&gt;"",IF(D671+$I$9-E671-F671&gt;=0,IF(ISERROR(INDEX($C$3:$C$6,MATCH(C671,$C$3:$C$6,0)+1,0)),Variables!$B$1,INDEX($C$3:$C$6,MATCH(C671,$C$3:$C$6,0)+1,0)),""),"")</f>
        <v/>
      </c>
      <c r="J671" s="29" t="str">
        <f ca="1">IF(ISERROR(VLOOKUP(I671,$C$3:$L$6,5,0)),"",IF(OR(VLOOKUP(I671,$C$3:$L$6,5,0)=Variables!$B$5,B671&gt;VLOOKUP(I671,$C$3:$L$6,8,0)),IF(VLOOKUP(I671,$C$3:$L$6,5,0)=Variables!$B$5,((YEAR(B671)-YEAR($B$12))*12+MONTH(B671)-MONTH($B$12)),((YEAR(B671)-YEAR(VLOOKUP(I671,$C$3:$L$6,8,0)))*12+MONTH(B671)-MONTH(VLOOKUP(I671,$C$3:$L$6,8,0))))*(VLOOKUP(I671,$C$3:$L$6,10,0)*VLOOKUP(I671,$C$3:$L$6,6,0)/12),0))</f>
        <v/>
      </c>
      <c r="K671" s="29" t="str">
        <f ca="1">IF(C671&lt;&gt;"",IF(I671&lt;&gt;"",IF(ISERROR(VLOOKUP(I671,$C$3:$L$6,10,0)),"",VLOOKUP(I671,$C$3:$L$6,10,0)+J671+IF(OR(VLOOKUP(I671,$C$3:$L$6,5,0)=Variables!$B$5,B671&gt;VLOOKUP(I671,$C$3:$L$6,8,0)),IF(VLOOKUP(I671,$C$3:$L$6,5,0)=Variables!$B$5,((YEAR(B671)-YEAR($B$12))*12+MONTH(B671)-MONTH($B$12)),((YEAR(B671)-YEAR(VLOOKUP(I671,$C$3:$L$6,8,0)))*12+MONTH(B671)-MONTH(VLOOKUP(I671,$C$3:$L$6,8,0))))*VLOOKUP(I671,$C$3:$L$6,7,0),0)),""),"")</f>
        <v/>
      </c>
      <c r="L671" s="29" t="str">
        <f t="shared" ca="1" si="64"/>
        <v/>
      </c>
      <c r="M671" s="10"/>
      <c r="N671" s="10"/>
    </row>
    <row r="672" spans="1:14" x14ac:dyDescent="0.25">
      <c r="A672" s="10"/>
      <c r="B672" s="14" t="str">
        <f t="shared" ca="1" si="65"/>
        <v/>
      </c>
      <c r="C672" s="14" t="str">
        <f ca="1">IF(I671&lt;&gt;Variables!$B$1,IF(H671&lt;&gt;0,C671,I671),"")</f>
        <v/>
      </c>
      <c r="D672" s="29" t="str">
        <f t="shared" ca="1" si="62"/>
        <v/>
      </c>
      <c r="E672" s="29" t="str">
        <f t="shared" ca="1" si="63"/>
        <v/>
      </c>
      <c r="F672" s="29" t="str">
        <f ca="1">IF(C672&lt;&gt;"",IF(OR(VLOOKUP(C672,$C$3:$L$6,5,0)=Variables!$B$5,B672&gt;VLOOKUP(C672,$C$3:$L$6,8,0)),-D672*VLOOKUP(C672,$C$3:$L$6,6,0)/12,0),"")</f>
        <v/>
      </c>
      <c r="G672" s="29" t="str">
        <f ca="1">IF(I672&lt;&gt;Variables!$B$1,IF(C672&lt;&gt;"",$I$9-E672-F672,""),-D672)</f>
        <v/>
      </c>
      <c r="H672" s="29" t="str">
        <f t="shared" ca="1" si="66"/>
        <v/>
      </c>
      <c r="I672" s="31" t="str">
        <f ca="1">IF(C672&lt;&gt;"",IF(D672+$I$9-E672-F672&gt;=0,IF(ISERROR(INDEX($C$3:$C$6,MATCH(C672,$C$3:$C$6,0)+1,0)),Variables!$B$1,INDEX($C$3:$C$6,MATCH(C672,$C$3:$C$6,0)+1,0)),""),"")</f>
        <v/>
      </c>
      <c r="J672" s="29" t="str">
        <f ca="1">IF(ISERROR(VLOOKUP(I672,$C$3:$L$6,5,0)),"",IF(OR(VLOOKUP(I672,$C$3:$L$6,5,0)=Variables!$B$5,B672&gt;VLOOKUP(I672,$C$3:$L$6,8,0)),IF(VLOOKUP(I672,$C$3:$L$6,5,0)=Variables!$B$5,((YEAR(B672)-YEAR($B$12))*12+MONTH(B672)-MONTH($B$12)),((YEAR(B672)-YEAR(VLOOKUP(I672,$C$3:$L$6,8,0)))*12+MONTH(B672)-MONTH(VLOOKUP(I672,$C$3:$L$6,8,0))))*(VLOOKUP(I672,$C$3:$L$6,10,0)*VLOOKUP(I672,$C$3:$L$6,6,0)/12),0))</f>
        <v/>
      </c>
      <c r="K672" s="29" t="str">
        <f ca="1">IF(C672&lt;&gt;"",IF(I672&lt;&gt;"",IF(ISERROR(VLOOKUP(I672,$C$3:$L$6,10,0)),"",VLOOKUP(I672,$C$3:$L$6,10,0)+J672+IF(OR(VLOOKUP(I672,$C$3:$L$6,5,0)=Variables!$B$5,B672&gt;VLOOKUP(I672,$C$3:$L$6,8,0)),IF(VLOOKUP(I672,$C$3:$L$6,5,0)=Variables!$B$5,((YEAR(B672)-YEAR($B$12))*12+MONTH(B672)-MONTH($B$12)),((YEAR(B672)-YEAR(VLOOKUP(I672,$C$3:$L$6,8,0)))*12+MONTH(B672)-MONTH(VLOOKUP(I672,$C$3:$L$6,8,0))))*VLOOKUP(I672,$C$3:$L$6,7,0),0)),""),"")</f>
        <v/>
      </c>
      <c r="L672" s="29" t="str">
        <f t="shared" ca="1" si="64"/>
        <v/>
      </c>
      <c r="M672" s="10"/>
      <c r="N672" s="10"/>
    </row>
    <row r="673" spans="1:14" x14ac:dyDescent="0.25">
      <c r="A673" s="10"/>
      <c r="B673" s="14" t="str">
        <f t="shared" ca="1" si="65"/>
        <v/>
      </c>
      <c r="C673" s="14" t="str">
        <f ca="1">IF(I672&lt;&gt;Variables!$B$1,IF(H672&lt;&gt;0,C672,I672),"")</f>
        <v/>
      </c>
      <c r="D673" s="29" t="str">
        <f t="shared" ca="1" si="62"/>
        <v/>
      </c>
      <c r="E673" s="29" t="str">
        <f t="shared" ca="1" si="63"/>
        <v/>
      </c>
      <c r="F673" s="29" t="str">
        <f ca="1">IF(C673&lt;&gt;"",IF(OR(VLOOKUP(C673,$C$3:$L$6,5,0)=Variables!$B$5,B673&gt;VLOOKUP(C673,$C$3:$L$6,8,0)),-D673*VLOOKUP(C673,$C$3:$L$6,6,0)/12,0),"")</f>
        <v/>
      </c>
      <c r="G673" s="29" t="str">
        <f ca="1">IF(I673&lt;&gt;Variables!$B$1,IF(C673&lt;&gt;"",$I$9-E673-F673,""),-D673)</f>
        <v/>
      </c>
      <c r="H673" s="29" t="str">
        <f t="shared" ca="1" si="66"/>
        <v/>
      </c>
      <c r="I673" s="31" t="str">
        <f ca="1">IF(C673&lt;&gt;"",IF(D673+$I$9-E673-F673&gt;=0,IF(ISERROR(INDEX($C$3:$C$6,MATCH(C673,$C$3:$C$6,0)+1,0)),Variables!$B$1,INDEX($C$3:$C$6,MATCH(C673,$C$3:$C$6,0)+1,0)),""),"")</f>
        <v/>
      </c>
      <c r="J673" s="29" t="str">
        <f ca="1">IF(ISERROR(VLOOKUP(I673,$C$3:$L$6,5,0)),"",IF(OR(VLOOKUP(I673,$C$3:$L$6,5,0)=Variables!$B$5,B673&gt;VLOOKUP(I673,$C$3:$L$6,8,0)),IF(VLOOKUP(I673,$C$3:$L$6,5,0)=Variables!$B$5,((YEAR(B673)-YEAR($B$12))*12+MONTH(B673)-MONTH($B$12)),((YEAR(B673)-YEAR(VLOOKUP(I673,$C$3:$L$6,8,0)))*12+MONTH(B673)-MONTH(VLOOKUP(I673,$C$3:$L$6,8,0))))*(VLOOKUP(I673,$C$3:$L$6,10,0)*VLOOKUP(I673,$C$3:$L$6,6,0)/12),0))</f>
        <v/>
      </c>
      <c r="K673" s="29" t="str">
        <f ca="1">IF(C673&lt;&gt;"",IF(I673&lt;&gt;"",IF(ISERROR(VLOOKUP(I673,$C$3:$L$6,10,0)),"",VLOOKUP(I673,$C$3:$L$6,10,0)+J673+IF(OR(VLOOKUP(I673,$C$3:$L$6,5,0)=Variables!$B$5,B673&gt;VLOOKUP(I673,$C$3:$L$6,8,0)),IF(VLOOKUP(I673,$C$3:$L$6,5,0)=Variables!$B$5,((YEAR(B673)-YEAR($B$12))*12+MONTH(B673)-MONTH($B$12)),((YEAR(B673)-YEAR(VLOOKUP(I673,$C$3:$L$6,8,0)))*12+MONTH(B673)-MONTH(VLOOKUP(I673,$C$3:$L$6,8,0))))*VLOOKUP(I673,$C$3:$L$6,7,0),0)),""),"")</f>
        <v/>
      </c>
      <c r="L673" s="29" t="str">
        <f t="shared" ca="1" si="64"/>
        <v/>
      </c>
      <c r="M673" s="10"/>
      <c r="N673" s="10"/>
    </row>
    <row r="674" spans="1:14" x14ac:dyDescent="0.25">
      <c r="A674" s="10"/>
      <c r="B674" s="14" t="str">
        <f t="shared" ca="1" si="65"/>
        <v/>
      </c>
      <c r="C674" s="14" t="str">
        <f ca="1">IF(I673&lt;&gt;Variables!$B$1,IF(H673&lt;&gt;0,C673,I673),"")</f>
        <v/>
      </c>
      <c r="D674" s="29" t="str">
        <f t="shared" ca="1" si="62"/>
        <v/>
      </c>
      <c r="E674" s="29" t="str">
        <f t="shared" ca="1" si="63"/>
        <v/>
      </c>
      <c r="F674" s="29" t="str">
        <f ca="1">IF(C674&lt;&gt;"",IF(OR(VLOOKUP(C674,$C$3:$L$6,5,0)=Variables!$B$5,B674&gt;VLOOKUP(C674,$C$3:$L$6,8,0)),-D674*VLOOKUP(C674,$C$3:$L$6,6,0)/12,0),"")</f>
        <v/>
      </c>
      <c r="G674" s="29" t="str">
        <f ca="1">IF(I674&lt;&gt;Variables!$B$1,IF(C674&lt;&gt;"",$I$9-E674-F674,""),-D674)</f>
        <v/>
      </c>
      <c r="H674" s="29" t="str">
        <f t="shared" ca="1" si="66"/>
        <v/>
      </c>
      <c r="I674" s="31" t="str">
        <f ca="1">IF(C674&lt;&gt;"",IF(D674+$I$9-E674-F674&gt;=0,IF(ISERROR(INDEX($C$3:$C$6,MATCH(C674,$C$3:$C$6,0)+1,0)),Variables!$B$1,INDEX($C$3:$C$6,MATCH(C674,$C$3:$C$6,0)+1,0)),""),"")</f>
        <v/>
      </c>
      <c r="J674" s="29" t="str">
        <f ca="1">IF(ISERROR(VLOOKUP(I674,$C$3:$L$6,5,0)),"",IF(OR(VLOOKUP(I674,$C$3:$L$6,5,0)=Variables!$B$5,B674&gt;VLOOKUP(I674,$C$3:$L$6,8,0)),IF(VLOOKUP(I674,$C$3:$L$6,5,0)=Variables!$B$5,((YEAR(B674)-YEAR($B$12))*12+MONTH(B674)-MONTH($B$12)),((YEAR(B674)-YEAR(VLOOKUP(I674,$C$3:$L$6,8,0)))*12+MONTH(B674)-MONTH(VLOOKUP(I674,$C$3:$L$6,8,0))))*(VLOOKUP(I674,$C$3:$L$6,10,0)*VLOOKUP(I674,$C$3:$L$6,6,0)/12),0))</f>
        <v/>
      </c>
      <c r="K674" s="29" t="str">
        <f ca="1">IF(C674&lt;&gt;"",IF(I674&lt;&gt;"",IF(ISERROR(VLOOKUP(I674,$C$3:$L$6,10,0)),"",VLOOKUP(I674,$C$3:$L$6,10,0)+J674+IF(OR(VLOOKUP(I674,$C$3:$L$6,5,0)=Variables!$B$5,B674&gt;VLOOKUP(I674,$C$3:$L$6,8,0)),IF(VLOOKUP(I674,$C$3:$L$6,5,0)=Variables!$B$5,((YEAR(B674)-YEAR($B$12))*12+MONTH(B674)-MONTH($B$12)),((YEAR(B674)-YEAR(VLOOKUP(I674,$C$3:$L$6,8,0)))*12+MONTH(B674)-MONTH(VLOOKUP(I674,$C$3:$L$6,8,0))))*VLOOKUP(I674,$C$3:$L$6,7,0),0)),""),"")</f>
        <v/>
      </c>
      <c r="L674" s="29" t="str">
        <f t="shared" ca="1" si="64"/>
        <v/>
      </c>
      <c r="M674" s="10"/>
      <c r="N674" s="10"/>
    </row>
    <row r="675" spans="1:14" x14ac:dyDescent="0.25">
      <c r="A675" s="10"/>
      <c r="B675" s="14" t="str">
        <f t="shared" ca="1" si="65"/>
        <v/>
      </c>
      <c r="C675" s="14" t="str">
        <f ca="1">IF(I674&lt;&gt;Variables!$B$1,IF(H674&lt;&gt;0,C674,I674),"")</f>
        <v/>
      </c>
      <c r="D675" s="29" t="str">
        <f t="shared" ca="1" si="62"/>
        <v/>
      </c>
      <c r="E675" s="29" t="str">
        <f t="shared" ca="1" si="63"/>
        <v/>
      </c>
      <c r="F675" s="29" t="str">
        <f ca="1">IF(C675&lt;&gt;"",IF(OR(VLOOKUP(C675,$C$3:$L$6,5,0)=Variables!$B$5,B675&gt;VLOOKUP(C675,$C$3:$L$6,8,0)),-D675*VLOOKUP(C675,$C$3:$L$6,6,0)/12,0),"")</f>
        <v/>
      </c>
      <c r="G675" s="29" t="str">
        <f ca="1">IF(I675&lt;&gt;Variables!$B$1,IF(C675&lt;&gt;"",$I$9-E675-F675,""),-D675)</f>
        <v/>
      </c>
      <c r="H675" s="29" t="str">
        <f t="shared" ca="1" si="66"/>
        <v/>
      </c>
      <c r="I675" s="31" t="str">
        <f ca="1">IF(C675&lt;&gt;"",IF(D675+$I$9-E675-F675&gt;=0,IF(ISERROR(INDEX($C$3:$C$6,MATCH(C675,$C$3:$C$6,0)+1,0)),Variables!$B$1,INDEX($C$3:$C$6,MATCH(C675,$C$3:$C$6,0)+1,0)),""),"")</f>
        <v/>
      </c>
      <c r="J675" s="29" t="str">
        <f ca="1">IF(ISERROR(VLOOKUP(I675,$C$3:$L$6,5,0)),"",IF(OR(VLOOKUP(I675,$C$3:$L$6,5,0)=Variables!$B$5,B675&gt;VLOOKUP(I675,$C$3:$L$6,8,0)),IF(VLOOKUP(I675,$C$3:$L$6,5,0)=Variables!$B$5,((YEAR(B675)-YEAR($B$12))*12+MONTH(B675)-MONTH($B$12)),((YEAR(B675)-YEAR(VLOOKUP(I675,$C$3:$L$6,8,0)))*12+MONTH(B675)-MONTH(VLOOKUP(I675,$C$3:$L$6,8,0))))*(VLOOKUP(I675,$C$3:$L$6,10,0)*VLOOKUP(I675,$C$3:$L$6,6,0)/12),0))</f>
        <v/>
      </c>
      <c r="K675" s="29" t="str">
        <f ca="1">IF(C675&lt;&gt;"",IF(I675&lt;&gt;"",IF(ISERROR(VLOOKUP(I675,$C$3:$L$6,10,0)),"",VLOOKUP(I675,$C$3:$L$6,10,0)+J675+IF(OR(VLOOKUP(I675,$C$3:$L$6,5,0)=Variables!$B$5,B675&gt;VLOOKUP(I675,$C$3:$L$6,8,0)),IF(VLOOKUP(I675,$C$3:$L$6,5,0)=Variables!$B$5,((YEAR(B675)-YEAR($B$12))*12+MONTH(B675)-MONTH($B$12)),((YEAR(B675)-YEAR(VLOOKUP(I675,$C$3:$L$6,8,0)))*12+MONTH(B675)-MONTH(VLOOKUP(I675,$C$3:$L$6,8,0))))*VLOOKUP(I675,$C$3:$L$6,7,0),0)),""),"")</f>
        <v/>
      </c>
      <c r="L675" s="29" t="str">
        <f t="shared" ca="1" si="64"/>
        <v/>
      </c>
      <c r="M675" s="10"/>
      <c r="N675" s="10"/>
    </row>
    <row r="676" spans="1:14" x14ac:dyDescent="0.25">
      <c r="A676" s="10"/>
      <c r="B676" s="14" t="str">
        <f t="shared" ca="1" si="65"/>
        <v/>
      </c>
      <c r="C676" s="14" t="str">
        <f ca="1">IF(I675&lt;&gt;Variables!$B$1,IF(H675&lt;&gt;0,C675,I675),"")</f>
        <v/>
      </c>
      <c r="D676" s="29" t="str">
        <f t="shared" ca="1" si="62"/>
        <v/>
      </c>
      <c r="E676" s="29" t="str">
        <f t="shared" ca="1" si="63"/>
        <v/>
      </c>
      <c r="F676" s="29" t="str">
        <f ca="1">IF(C676&lt;&gt;"",IF(OR(VLOOKUP(C676,$C$3:$L$6,5,0)=Variables!$B$5,B676&gt;VLOOKUP(C676,$C$3:$L$6,8,0)),-D676*VLOOKUP(C676,$C$3:$L$6,6,0)/12,0),"")</f>
        <v/>
      </c>
      <c r="G676" s="29" t="str">
        <f ca="1">IF(I676&lt;&gt;Variables!$B$1,IF(C676&lt;&gt;"",$I$9-E676-F676,""),-D676)</f>
        <v/>
      </c>
      <c r="H676" s="29" t="str">
        <f t="shared" ca="1" si="66"/>
        <v/>
      </c>
      <c r="I676" s="31" t="str">
        <f ca="1">IF(C676&lt;&gt;"",IF(D676+$I$9-E676-F676&gt;=0,IF(ISERROR(INDEX($C$3:$C$6,MATCH(C676,$C$3:$C$6,0)+1,0)),Variables!$B$1,INDEX($C$3:$C$6,MATCH(C676,$C$3:$C$6,0)+1,0)),""),"")</f>
        <v/>
      </c>
      <c r="J676" s="29" t="str">
        <f ca="1">IF(ISERROR(VLOOKUP(I676,$C$3:$L$6,5,0)),"",IF(OR(VLOOKUP(I676,$C$3:$L$6,5,0)=Variables!$B$5,B676&gt;VLOOKUP(I676,$C$3:$L$6,8,0)),IF(VLOOKUP(I676,$C$3:$L$6,5,0)=Variables!$B$5,((YEAR(B676)-YEAR($B$12))*12+MONTH(B676)-MONTH($B$12)),((YEAR(B676)-YEAR(VLOOKUP(I676,$C$3:$L$6,8,0)))*12+MONTH(B676)-MONTH(VLOOKUP(I676,$C$3:$L$6,8,0))))*(VLOOKUP(I676,$C$3:$L$6,10,0)*VLOOKUP(I676,$C$3:$L$6,6,0)/12),0))</f>
        <v/>
      </c>
      <c r="K676" s="29" t="str">
        <f ca="1">IF(C676&lt;&gt;"",IF(I676&lt;&gt;"",IF(ISERROR(VLOOKUP(I676,$C$3:$L$6,10,0)),"",VLOOKUP(I676,$C$3:$L$6,10,0)+J676+IF(OR(VLOOKUP(I676,$C$3:$L$6,5,0)=Variables!$B$5,B676&gt;VLOOKUP(I676,$C$3:$L$6,8,0)),IF(VLOOKUP(I676,$C$3:$L$6,5,0)=Variables!$B$5,((YEAR(B676)-YEAR($B$12))*12+MONTH(B676)-MONTH($B$12)),((YEAR(B676)-YEAR(VLOOKUP(I676,$C$3:$L$6,8,0)))*12+MONTH(B676)-MONTH(VLOOKUP(I676,$C$3:$L$6,8,0))))*VLOOKUP(I676,$C$3:$L$6,7,0),0)),""),"")</f>
        <v/>
      </c>
      <c r="L676" s="29" t="str">
        <f t="shared" ca="1" si="64"/>
        <v/>
      </c>
      <c r="M676" s="10"/>
      <c r="N676" s="10"/>
    </row>
    <row r="677" spans="1:14" x14ac:dyDescent="0.25">
      <c r="A677" s="10"/>
      <c r="B677" s="14" t="str">
        <f t="shared" ca="1" si="65"/>
        <v/>
      </c>
      <c r="C677" s="14" t="str">
        <f ca="1">IF(I676&lt;&gt;Variables!$B$1,IF(H676&lt;&gt;0,C676,I676),"")</f>
        <v/>
      </c>
      <c r="D677" s="29" t="str">
        <f t="shared" ca="1" si="62"/>
        <v/>
      </c>
      <c r="E677" s="29" t="str">
        <f t="shared" ca="1" si="63"/>
        <v/>
      </c>
      <c r="F677" s="29" t="str">
        <f ca="1">IF(C677&lt;&gt;"",IF(OR(VLOOKUP(C677,$C$3:$L$6,5,0)=Variables!$B$5,B677&gt;VLOOKUP(C677,$C$3:$L$6,8,0)),-D677*VLOOKUP(C677,$C$3:$L$6,6,0)/12,0),"")</f>
        <v/>
      </c>
      <c r="G677" s="29" t="str">
        <f ca="1">IF(I677&lt;&gt;Variables!$B$1,IF(C677&lt;&gt;"",$I$9-E677-F677,""),-D677)</f>
        <v/>
      </c>
      <c r="H677" s="29" t="str">
        <f t="shared" ca="1" si="66"/>
        <v/>
      </c>
      <c r="I677" s="31" t="str">
        <f ca="1">IF(C677&lt;&gt;"",IF(D677+$I$9-E677-F677&gt;=0,IF(ISERROR(INDEX($C$3:$C$6,MATCH(C677,$C$3:$C$6,0)+1,0)),Variables!$B$1,INDEX($C$3:$C$6,MATCH(C677,$C$3:$C$6,0)+1,0)),""),"")</f>
        <v/>
      </c>
      <c r="J677" s="29" t="str">
        <f ca="1">IF(ISERROR(VLOOKUP(I677,$C$3:$L$6,5,0)),"",IF(OR(VLOOKUP(I677,$C$3:$L$6,5,0)=Variables!$B$5,B677&gt;VLOOKUP(I677,$C$3:$L$6,8,0)),IF(VLOOKUP(I677,$C$3:$L$6,5,0)=Variables!$B$5,((YEAR(B677)-YEAR($B$12))*12+MONTH(B677)-MONTH($B$12)),((YEAR(B677)-YEAR(VLOOKUP(I677,$C$3:$L$6,8,0)))*12+MONTH(B677)-MONTH(VLOOKUP(I677,$C$3:$L$6,8,0))))*(VLOOKUP(I677,$C$3:$L$6,10,0)*VLOOKUP(I677,$C$3:$L$6,6,0)/12),0))</f>
        <v/>
      </c>
      <c r="K677" s="29" t="str">
        <f ca="1">IF(C677&lt;&gt;"",IF(I677&lt;&gt;"",IF(ISERROR(VLOOKUP(I677,$C$3:$L$6,10,0)),"",VLOOKUP(I677,$C$3:$L$6,10,0)+J677+IF(OR(VLOOKUP(I677,$C$3:$L$6,5,0)=Variables!$B$5,B677&gt;VLOOKUP(I677,$C$3:$L$6,8,0)),IF(VLOOKUP(I677,$C$3:$L$6,5,0)=Variables!$B$5,((YEAR(B677)-YEAR($B$12))*12+MONTH(B677)-MONTH($B$12)),((YEAR(B677)-YEAR(VLOOKUP(I677,$C$3:$L$6,8,0)))*12+MONTH(B677)-MONTH(VLOOKUP(I677,$C$3:$L$6,8,0))))*VLOOKUP(I677,$C$3:$L$6,7,0),0)),""),"")</f>
        <v/>
      </c>
      <c r="L677" s="29" t="str">
        <f t="shared" ca="1" si="64"/>
        <v/>
      </c>
      <c r="M677" s="10"/>
      <c r="N677" s="10"/>
    </row>
    <row r="678" spans="1:14" x14ac:dyDescent="0.25">
      <c r="A678" s="10"/>
      <c r="B678" s="14" t="str">
        <f t="shared" ca="1" si="65"/>
        <v/>
      </c>
      <c r="C678" s="14" t="str">
        <f ca="1">IF(I677&lt;&gt;Variables!$B$1,IF(H677&lt;&gt;0,C677,I677),"")</f>
        <v/>
      </c>
      <c r="D678" s="29" t="str">
        <f t="shared" ca="1" si="62"/>
        <v/>
      </c>
      <c r="E678" s="29" t="str">
        <f t="shared" ca="1" si="63"/>
        <v/>
      </c>
      <c r="F678" s="29" t="str">
        <f ca="1">IF(C678&lt;&gt;"",IF(OR(VLOOKUP(C678,$C$3:$L$6,5,0)=Variables!$B$5,B678&gt;VLOOKUP(C678,$C$3:$L$6,8,0)),-D678*VLOOKUP(C678,$C$3:$L$6,6,0)/12,0),"")</f>
        <v/>
      </c>
      <c r="G678" s="29" t="str">
        <f ca="1">IF(I678&lt;&gt;Variables!$B$1,IF(C678&lt;&gt;"",$I$9-E678-F678,""),-D678)</f>
        <v/>
      </c>
      <c r="H678" s="29" t="str">
        <f t="shared" ca="1" si="66"/>
        <v/>
      </c>
      <c r="I678" s="31" t="str">
        <f ca="1">IF(C678&lt;&gt;"",IF(D678+$I$9-E678-F678&gt;=0,IF(ISERROR(INDEX($C$3:$C$6,MATCH(C678,$C$3:$C$6,0)+1,0)),Variables!$B$1,INDEX($C$3:$C$6,MATCH(C678,$C$3:$C$6,0)+1,0)),""),"")</f>
        <v/>
      </c>
      <c r="J678" s="29" t="str">
        <f ca="1">IF(ISERROR(VLOOKUP(I678,$C$3:$L$6,5,0)),"",IF(OR(VLOOKUP(I678,$C$3:$L$6,5,0)=Variables!$B$5,B678&gt;VLOOKUP(I678,$C$3:$L$6,8,0)),IF(VLOOKUP(I678,$C$3:$L$6,5,0)=Variables!$B$5,((YEAR(B678)-YEAR($B$12))*12+MONTH(B678)-MONTH($B$12)),((YEAR(B678)-YEAR(VLOOKUP(I678,$C$3:$L$6,8,0)))*12+MONTH(B678)-MONTH(VLOOKUP(I678,$C$3:$L$6,8,0))))*(VLOOKUP(I678,$C$3:$L$6,10,0)*VLOOKUP(I678,$C$3:$L$6,6,0)/12),0))</f>
        <v/>
      </c>
      <c r="K678" s="29" t="str">
        <f ca="1">IF(C678&lt;&gt;"",IF(I678&lt;&gt;"",IF(ISERROR(VLOOKUP(I678,$C$3:$L$6,10,0)),"",VLOOKUP(I678,$C$3:$L$6,10,0)+J678+IF(OR(VLOOKUP(I678,$C$3:$L$6,5,0)=Variables!$B$5,B678&gt;VLOOKUP(I678,$C$3:$L$6,8,0)),IF(VLOOKUP(I678,$C$3:$L$6,5,0)=Variables!$B$5,((YEAR(B678)-YEAR($B$12))*12+MONTH(B678)-MONTH($B$12)),((YEAR(B678)-YEAR(VLOOKUP(I678,$C$3:$L$6,8,0)))*12+MONTH(B678)-MONTH(VLOOKUP(I678,$C$3:$L$6,8,0))))*VLOOKUP(I678,$C$3:$L$6,7,0),0)),""),"")</f>
        <v/>
      </c>
      <c r="L678" s="29" t="str">
        <f t="shared" ca="1" si="64"/>
        <v/>
      </c>
      <c r="M678" s="10"/>
      <c r="N678" s="10"/>
    </row>
    <row r="679" spans="1:14" x14ac:dyDescent="0.25">
      <c r="A679" s="10"/>
      <c r="B679" s="14" t="str">
        <f t="shared" ca="1" si="65"/>
        <v/>
      </c>
      <c r="C679" s="14" t="str">
        <f ca="1">IF(I678&lt;&gt;Variables!$B$1,IF(H678&lt;&gt;0,C678,I678),"")</f>
        <v/>
      </c>
      <c r="D679" s="29" t="str">
        <f t="shared" ca="1" si="62"/>
        <v/>
      </c>
      <c r="E679" s="29" t="str">
        <f t="shared" ca="1" si="63"/>
        <v/>
      </c>
      <c r="F679" s="29" t="str">
        <f ca="1">IF(C679&lt;&gt;"",IF(OR(VLOOKUP(C679,$C$3:$L$6,5,0)=Variables!$B$5,B679&gt;VLOOKUP(C679,$C$3:$L$6,8,0)),-D679*VLOOKUP(C679,$C$3:$L$6,6,0)/12,0),"")</f>
        <v/>
      </c>
      <c r="G679" s="29" t="str">
        <f ca="1">IF(I679&lt;&gt;Variables!$B$1,IF(C679&lt;&gt;"",$I$9-E679-F679,""),-D679)</f>
        <v/>
      </c>
      <c r="H679" s="29" t="str">
        <f t="shared" ca="1" si="66"/>
        <v/>
      </c>
      <c r="I679" s="31" t="str">
        <f ca="1">IF(C679&lt;&gt;"",IF(D679+$I$9-E679-F679&gt;=0,IF(ISERROR(INDEX($C$3:$C$6,MATCH(C679,$C$3:$C$6,0)+1,0)),Variables!$B$1,INDEX($C$3:$C$6,MATCH(C679,$C$3:$C$6,0)+1,0)),""),"")</f>
        <v/>
      </c>
      <c r="J679" s="29" t="str">
        <f ca="1">IF(ISERROR(VLOOKUP(I679,$C$3:$L$6,5,0)),"",IF(OR(VLOOKUP(I679,$C$3:$L$6,5,0)=Variables!$B$5,B679&gt;VLOOKUP(I679,$C$3:$L$6,8,0)),IF(VLOOKUP(I679,$C$3:$L$6,5,0)=Variables!$B$5,((YEAR(B679)-YEAR($B$12))*12+MONTH(B679)-MONTH($B$12)),((YEAR(B679)-YEAR(VLOOKUP(I679,$C$3:$L$6,8,0)))*12+MONTH(B679)-MONTH(VLOOKUP(I679,$C$3:$L$6,8,0))))*(VLOOKUP(I679,$C$3:$L$6,10,0)*VLOOKUP(I679,$C$3:$L$6,6,0)/12),0))</f>
        <v/>
      </c>
      <c r="K679" s="29" t="str">
        <f ca="1">IF(C679&lt;&gt;"",IF(I679&lt;&gt;"",IF(ISERROR(VLOOKUP(I679,$C$3:$L$6,10,0)),"",VLOOKUP(I679,$C$3:$L$6,10,0)+J679+IF(OR(VLOOKUP(I679,$C$3:$L$6,5,0)=Variables!$B$5,B679&gt;VLOOKUP(I679,$C$3:$L$6,8,0)),IF(VLOOKUP(I679,$C$3:$L$6,5,0)=Variables!$B$5,((YEAR(B679)-YEAR($B$12))*12+MONTH(B679)-MONTH($B$12)),((YEAR(B679)-YEAR(VLOOKUP(I679,$C$3:$L$6,8,0)))*12+MONTH(B679)-MONTH(VLOOKUP(I679,$C$3:$L$6,8,0))))*VLOOKUP(I679,$C$3:$L$6,7,0),0)),""),"")</f>
        <v/>
      </c>
      <c r="L679" s="29" t="str">
        <f t="shared" ca="1" si="64"/>
        <v/>
      </c>
      <c r="M679" s="10"/>
      <c r="N679" s="10"/>
    </row>
    <row r="680" spans="1:14" x14ac:dyDescent="0.25">
      <c r="A680" s="10"/>
      <c r="B680" s="14" t="str">
        <f t="shared" ca="1" si="65"/>
        <v/>
      </c>
      <c r="C680" s="14" t="str">
        <f ca="1">IF(I679&lt;&gt;Variables!$B$1,IF(H679&lt;&gt;0,C679,I679),"")</f>
        <v/>
      </c>
      <c r="D680" s="29" t="str">
        <f t="shared" ca="1" si="62"/>
        <v/>
      </c>
      <c r="E680" s="29" t="str">
        <f t="shared" ca="1" si="63"/>
        <v/>
      </c>
      <c r="F680" s="29" t="str">
        <f ca="1">IF(C680&lt;&gt;"",IF(OR(VLOOKUP(C680,$C$3:$L$6,5,0)=Variables!$B$5,B680&gt;VLOOKUP(C680,$C$3:$L$6,8,0)),-D680*VLOOKUP(C680,$C$3:$L$6,6,0)/12,0),"")</f>
        <v/>
      </c>
      <c r="G680" s="29" t="str">
        <f ca="1">IF(I680&lt;&gt;Variables!$B$1,IF(C680&lt;&gt;"",$I$9-E680-F680,""),-D680)</f>
        <v/>
      </c>
      <c r="H680" s="29" t="str">
        <f t="shared" ca="1" si="66"/>
        <v/>
      </c>
      <c r="I680" s="31" t="str">
        <f ca="1">IF(C680&lt;&gt;"",IF(D680+$I$9-E680-F680&gt;=0,IF(ISERROR(INDEX($C$3:$C$6,MATCH(C680,$C$3:$C$6,0)+1,0)),Variables!$B$1,INDEX($C$3:$C$6,MATCH(C680,$C$3:$C$6,0)+1,0)),""),"")</f>
        <v/>
      </c>
      <c r="J680" s="29" t="str">
        <f ca="1">IF(ISERROR(VLOOKUP(I680,$C$3:$L$6,5,0)),"",IF(OR(VLOOKUP(I680,$C$3:$L$6,5,0)=Variables!$B$5,B680&gt;VLOOKUP(I680,$C$3:$L$6,8,0)),IF(VLOOKUP(I680,$C$3:$L$6,5,0)=Variables!$B$5,((YEAR(B680)-YEAR($B$12))*12+MONTH(B680)-MONTH($B$12)),((YEAR(B680)-YEAR(VLOOKUP(I680,$C$3:$L$6,8,0)))*12+MONTH(B680)-MONTH(VLOOKUP(I680,$C$3:$L$6,8,0))))*(VLOOKUP(I680,$C$3:$L$6,10,0)*VLOOKUP(I680,$C$3:$L$6,6,0)/12),0))</f>
        <v/>
      </c>
      <c r="K680" s="29" t="str">
        <f ca="1">IF(C680&lt;&gt;"",IF(I680&lt;&gt;"",IF(ISERROR(VLOOKUP(I680,$C$3:$L$6,10,0)),"",VLOOKUP(I680,$C$3:$L$6,10,0)+J680+IF(OR(VLOOKUP(I680,$C$3:$L$6,5,0)=Variables!$B$5,B680&gt;VLOOKUP(I680,$C$3:$L$6,8,0)),IF(VLOOKUP(I680,$C$3:$L$6,5,0)=Variables!$B$5,((YEAR(B680)-YEAR($B$12))*12+MONTH(B680)-MONTH($B$12)),((YEAR(B680)-YEAR(VLOOKUP(I680,$C$3:$L$6,8,0)))*12+MONTH(B680)-MONTH(VLOOKUP(I680,$C$3:$L$6,8,0))))*VLOOKUP(I680,$C$3:$L$6,7,0),0)),""),"")</f>
        <v/>
      </c>
      <c r="L680" s="29" t="str">
        <f t="shared" ca="1" si="64"/>
        <v/>
      </c>
      <c r="M680" s="10"/>
      <c r="N680" s="10"/>
    </row>
    <row r="681" spans="1:14" x14ac:dyDescent="0.25">
      <c r="A681" s="10"/>
      <c r="B681" s="14" t="str">
        <f t="shared" ca="1" si="65"/>
        <v/>
      </c>
      <c r="C681" s="14" t="str">
        <f ca="1">IF(I680&lt;&gt;Variables!$B$1,IF(H680&lt;&gt;0,C680,I680),"")</f>
        <v/>
      </c>
      <c r="D681" s="29" t="str">
        <f t="shared" ca="1" si="62"/>
        <v/>
      </c>
      <c r="E681" s="29" t="str">
        <f t="shared" ca="1" si="63"/>
        <v/>
      </c>
      <c r="F681" s="29" t="str">
        <f ca="1">IF(C681&lt;&gt;"",IF(OR(VLOOKUP(C681,$C$3:$L$6,5,0)=Variables!$B$5,B681&gt;VLOOKUP(C681,$C$3:$L$6,8,0)),-D681*VLOOKUP(C681,$C$3:$L$6,6,0)/12,0),"")</f>
        <v/>
      </c>
      <c r="G681" s="29" t="str">
        <f ca="1">IF(I681&lt;&gt;Variables!$B$1,IF(C681&lt;&gt;"",$I$9-E681-F681,""),-D681)</f>
        <v/>
      </c>
      <c r="H681" s="29" t="str">
        <f t="shared" ca="1" si="66"/>
        <v/>
      </c>
      <c r="I681" s="31" t="str">
        <f ca="1">IF(C681&lt;&gt;"",IF(D681+$I$9-E681-F681&gt;=0,IF(ISERROR(INDEX($C$3:$C$6,MATCH(C681,$C$3:$C$6,0)+1,0)),Variables!$B$1,INDEX($C$3:$C$6,MATCH(C681,$C$3:$C$6,0)+1,0)),""),"")</f>
        <v/>
      </c>
      <c r="J681" s="29" t="str">
        <f ca="1">IF(ISERROR(VLOOKUP(I681,$C$3:$L$6,5,0)),"",IF(OR(VLOOKUP(I681,$C$3:$L$6,5,0)=Variables!$B$5,B681&gt;VLOOKUP(I681,$C$3:$L$6,8,0)),IF(VLOOKUP(I681,$C$3:$L$6,5,0)=Variables!$B$5,((YEAR(B681)-YEAR($B$12))*12+MONTH(B681)-MONTH($B$12)),((YEAR(B681)-YEAR(VLOOKUP(I681,$C$3:$L$6,8,0)))*12+MONTH(B681)-MONTH(VLOOKUP(I681,$C$3:$L$6,8,0))))*(VLOOKUP(I681,$C$3:$L$6,10,0)*VLOOKUP(I681,$C$3:$L$6,6,0)/12),0))</f>
        <v/>
      </c>
      <c r="K681" s="29" t="str">
        <f ca="1">IF(C681&lt;&gt;"",IF(I681&lt;&gt;"",IF(ISERROR(VLOOKUP(I681,$C$3:$L$6,10,0)),"",VLOOKUP(I681,$C$3:$L$6,10,0)+J681+IF(OR(VLOOKUP(I681,$C$3:$L$6,5,0)=Variables!$B$5,B681&gt;VLOOKUP(I681,$C$3:$L$6,8,0)),IF(VLOOKUP(I681,$C$3:$L$6,5,0)=Variables!$B$5,((YEAR(B681)-YEAR($B$12))*12+MONTH(B681)-MONTH($B$12)),((YEAR(B681)-YEAR(VLOOKUP(I681,$C$3:$L$6,8,0)))*12+MONTH(B681)-MONTH(VLOOKUP(I681,$C$3:$L$6,8,0))))*VLOOKUP(I681,$C$3:$L$6,7,0),0)),""),"")</f>
        <v/>
      </c>
      <c r="L681" s="29" t="str">
        <f t="shared" ca="1" si="64"/>
        <v/>
      </c>
      <c r="M681" s="10"/>
      <c r="N681" s="10"/>
    </row>
    <row r="682" spans="1:14" x14ac:dyDescent="0.25">
      <c r="A682" s="10"/>
      <c r="B682" s="14" t="str">
        <f t="shared" ca="1" si="65"/>
        <v/>
      </c>
      <c r="C682" s="14" t="str">
        <f ca="1">IF(I681&lt;&gt;Variables!$B$1,IF(H681&lt;&gt;0,C681,I681),"")</f>
        <v/>
      </c>
      <c r="D682" s="29" t="str">
        <f t="shared" ca="1" si="62"/>
        <v/>
      </c>
      <c r="E682" s="29" t="str">
        <f t="shared" ca="1" si="63"/>
        <v/>
      </c>
      <c r="F682" s="29" t="str">
        <f ca="1">IF(C682&lt;&gt;"",IF(OR(VLOOKUP(C682,$C$3:$L$6,5,0)=Variables!$B$5,B682&gt;VLOOKUP(C682,$C$3:$L$6,8,0)),-D682*VLOOKUP(C682,$C$3:$L$6,6,0)/12,0),"")</f>
        <v/>
      </c>
      <c r="G682" s="29" t="str">
        <f ca="1">IF(I682&lt;&gt;Variables!$B$1,IF(C682&lt;&gt;"",$I$9-E682-F682,""),-D682)</f>
        <v/>
      </c>
      <c r="H682" s="29" t="str">
        <f t="shared" ca="1" si="66"/>
        <v/>
      </c>
      <c r="I682" s="31" t="str">
        <f ca="1">IF(C682&lt;&gt;"",IF(D682+$I$9-E682-F682&gt;=0,IF(ISERROR(INDEX($C$3:$C$6,MATCH(C682,$C$3:$C$6,0)+1,0)),Variables!$B$1,INDEX($C$3:$C$6,MATCH(C682,$C$3:$C$6,0)+1,0)),""),"")</f>
        <v/>
      </c>
      <c r="J682" s="29" t="str">
        <f ca="1">IF(ISERROR(VLOOKUP(I682,$C$3:$L$6,5,0)),"",IF(OR(VLOOKUP(I682,$C$3:$L$6,5,0)=Variables!$B$5,B682&gt;VLOOKUP(I682,$C$3:$L$6,8,0)),IF(VLOOKUP(I682,$C$3:$L$6,5,0)=Variables!$B$5,((YEAR(B682)-YEAR($B$12))*12+MONTH(B682)-MONTH($B$12)),((YEAR(B682)-YEAR(VLOOKUP(I682,$C$3:$L$6,8,0)))*12+MONTH(B682)-MONTH(VLOOKUP(I682,$C$3:$L$6,8,0))))*(VLOOKUP(I682,$C$3:$L$6,10,0)*VLOOKUP(I682,$C$3:$L$6,6,0)/12),0))</f>
        <v/>
      </c>
      <c r="K682" s="29" t="str">
        <f ca="1">IF(C682&lt;&gt;"",IF(I682&lt;&gt;"",IF(ISERROR(VLOOKUP(I682,$C$3:$L$6,10,0)),"",VLOOKUP(I682,$C$3:$L$6,10,0)+J682+IF(OR(VLOOKUP(I682,$C$3:$L$6,5,0)=Variables!$B$5,B682&gt;VLOOKUP(I682,$C$3:$L$6,8,0)),IF(VLOOKUP(I682,$C$3:$L$6,5,0)=Variables!$B$5,((YEAR(B682)-YEAR($B$12))*12+MONTH(B682)-MONTH($B$12)),((YEAR(B682)-YEAR(VLOOKUP(I682,$C$3:$L$6,8,0)))*12+MONTH(B682)-MONTH(VLOOKUP(I682,$C$3:$L$6,8,0))))*VLOOKUP(I682,$C$3:$L$6,7,0),0)),""),"")</f>
        <v/>
      </c>
      <c r="L682" s="29" t="str">
        <f t="shared" ca="1" si="64"/>
        <v/>
      </c>
      <c r="M682" s="10"/>
      <c r="N682" s="10"/>
    </row>
    <row r="683" spans="1:14" x14ac:dyDescent="0.25">
      <c r="A683" s="10"/>
      <c r="B683" s="14" t="str">
        <f t="shared" ca="1" si="65"/>
        <v/>
      </c>
      <c r="C683" s="14" t="str">
        <f ca="1">IF(I682&lt;&gt;Variables!$B$1,IF(H682&lt;&gt;0,C682,I682),"")</f>
        <v/>
      </c>
      <c r="D683" s="29" t="str">
        <f t="shared" ca="1" si="62"/>
        <v/>
      </c>
      <c r="E683" s="29" t="str">
        <f t="shared" ca="1" si="63"/>
        <v/>
      </c>
      <c r="F683" s="29" t="str">
        <f ca="1">IF(C683&lt;&gt;"",IF(OR(VLOOKUP(C683,$C$3:$L$6,5,0)=Variables!$B$5,B683&gt;VLOOKUP(C683,$C$3:$L$6,8,0)),-D683*VLOOKUP(C683,$C$3:$L$6,6,0)/12,0),"")</f>
        <v/>
      </c>
      <c r="G683" s="29" t="str">
        <f ca="1">IF(I683&lt;&gt;Variables!$B$1,IF(C683&lt;&gt;"",$I$9-E683-F683,""),-D683)</f>
        <v/>
      </c>
      <c r="H683" s="29" t="str">
        <f t="shared" ca="1" si="66"/>
        <v/>
      </c>
      <c r="I683" s="31" t="str">
        <f ca="1">IF(C683&lt;&gt;"",IF(D683+$I$9-E683-F683&gt;=0,IF(ISERROR(INDEX($C$3:$C$6,MATCH(C683,$C$3:$C$6,0)+1,0)),Variables!$B$1,INDEX($C$3:$C$6,MATCH(C683,$C$3:$C$6,0)+1,0)),""),"")</f>
        <v/>
      </c>
      <c r="J683" s="29" t="str">
        <f ca="1">IF(ISERROR(VLOOKUP(I683,$C$3:$L$6,5,0)),"",IF(OR(VLOOKUP(I683,$C$3:$L$6,5,0)=Variables!$B$5,B683&gt;VLOOKUP(I683,$C$3:$L$6,8,0)),IF(VLOOKUP(I683,$C$3:$L$6,5,0)=Variables!$B$5,((YEAR(B683)-YEAR($B$12))*12+MONTH(B683)-MONTH($B$12)),((YEAR(B683)-YEAR(VLOOKUP(I683,$C$3:$L$6,8,0)))*12+MONTH(B683)-MONTH(VLOOKUP(I683,$C$3:$L$6,8,0))))*(VLOOKUP(I683,$C$3:$L$6,10,0)*VLOOKUP(I683,$C$3:$L$6,6,0)/12),0))</f>
        <v/>
      </c>
      <c r="K683" s="29" t="str">
        <f ca="1">IF(C683&lt;&gt;"",IF(I683&lt;&gt;"",IF(ISERROR(VLOOKUP(I683,$C$3:$L$6,10,0)),"",VLOOKUP(I683,$C$3:$L$6,10,0)+J683+IF(OR(VLOOKUP(I683,$C$3:$L$6,5,0)=Variables!$B$5,B683&gt;VLOOKUP(I683,$C$3:$L$6,8,0)),IF(VLOOKUP(I683,$C$3:$L$6,5,0)=Variables!$B$5,((YEAR(B683)-YEAR($B$12))*12+MONTH(B683)-MONTH($B$12)),((YEAR(B683)-YEAR(VLOOKUP(I683,$C$3:$L$6,8,0)))*12+MONTH(B683)-MONTH(VLOOKUP(I683,$C$3:$L$6,8,0))))*VLOOKUP(I683,$C$3:$L$6,7,0),0)),""),"")</f>
        <v/>
      </c>
      <c r="L683" s="29" t="str">
        <f t="shared" ca="1" si="64"/>
        <v/>
      </c>
      <c r="M683" s="10"/>
      <c r="N683" s="10"/>
    </row>
    <row r="684" spans="1:14" x14ac:dyDescent="0.25">
      <c r="A684" s="10"/>
      <c r="B684" s="14" t="str">
        <f t="shared" ca="1" si="65"/>
        <v/>
      </c>
      <c r="C684" s="14" t="str">
        <f ca="1">IF(I683&lt;&gt;Variables!$B$1,IF(H683&lt;&gt;0,C683,I683),"")</f>
        <v/>
      </c>
      <c r="D684" s="29" t="str">
        <f t="shared" ca="1" si="62"/>
        <v/>
      </c>
      <c r="E684" s="29" t="str">
        <f t="shared" ca="1" si="63"/>
        <v/>
      </c>
      <c r="F684" s="29" t="str">
        <f ca="1">IF(C684&lt;&gt;"",IF(OR(VLOOKUP(C684,$C$3:$L$6,5,0)=Variables!$B$5,B684&gt;VLOOKUP(C684,$C$3:$L$6,8,0)),-D684*VLOOKUP(C684,$C$3:$L$6,6,0)/12,0),"")</f>
        <v/>
      </c>
      <c r="G684" s="29" t="str">
        <f ca="1">IF(I684&lt;&gt;Variables!$B$1,IF(C684&lt;&gt;"",$I$9-E684-F684,""),-D684)</f>
        <v/>
      </c>
      <c r="H684" s="29" t="str">
        <f t="shared" ca="1" si="66"/>
        <v/>
      </c>
      <c r="I684" s="31" t="str">
        <f ca="1">IF(C684&lt;&gt;"",IF(D684+$I$9-E684-F684&gt;=0,IF(ISERROR(INDEX($C$3:$C$6,MATCH(C684,$C$3:$C$6,0)+1,0)),Variables!$B$1,INDEX($C$3:$C$6,MATCH(C684,$C$3:$C$6,0)+1,0)),""),"")</f>
        <v/>
      </c>
      <c r="J684" s="29" t="str">
        <f ca="1">IF(ISERROR(VLOOKUP(I684,$C$3:$L$6,5,0)),"",IF(OR(VLOOKUP(I684,$C$3:$L$6,5,0)=Variables!$B$5,B684&gt;VLOOKUP(I684,$C$3:$L$6,8,0)),IF(VLOOKUP(I684,$C$3:$L$6,5,0)=Variables!$B$5,((YEAR(B684)-YEAR($B$12))*12+MONTH(B684)-MONTH($B$12)),((YEAR(B684)-YEAR(VLOOKUP(I684,$C$3:$L$6,8,0)))*12+MONTH(B684)-MONTH(VLOOKUP(I684,$C$3:$L$6,8,0))))*(VLOOKUP(I684,$C$3:$L$6,10,0)*VLOOKUP(I684,$C$3:$L$6,6,0)/12),0))</f>
        <v/>
      </c>
      <c r="K684" s="29" t="str">
        <f ca="1">IF(C684&lt;&gt;"",IF(I684&lt;&gt;"",IF(ISERROR(VLOOKUP(I684,$C$3:$L$6,10,0)),"",VLOOKUP(I684,$C$3:$L$6,10,0)+J684+IF(OR(VLOOKUP(I684,$C$3:$L$6,5,0)=Variables!$B$5,B684&gt;VLOOKUP(I684,$C$3:$L$6,8,0)),IF(VLOOKUP(I684,$C$3:$L$6,5,0)=Variables!$B$5,((YEAR(B684)-YEAR($B$12))*12+MONTH(B684)-MONTH($B$12)),((YEAR(B684)-YEAR(VLOOKUP(I684,$C$3:$L$6,8,0)))*12+MONTH(B684)-MONTH(VLOOKUP(I684,$C$3:$L$6,8,0))))*VLOOKUP(I684,$C$3:$L$6,7,0),0)),""),"")</f>
        <v/>
      </c>
      <c r="L684" s="29" t="str">
        <f t="shared" ca="1" si="64"/>
        <v/>
      </c>
      <c r="M684" s="10"/>
      <c r="N684" s="10"/>
    </row>
    <row r="685" spans="1:14" x14ac:dyDescent="0.25">
      <c r="A685" s="10"/>
      <c r="B685" s="14" t="str">
        <f t="shared" ca="1" si="65"/>
        <v/>
      </c>
      <c r="C685" s="14" t="str">
        <f ca="1">IF(I684&lt;&gt;Variables!$B$1,IF(H684&lt;&gt;0,C684,I684),"")</f>
        <v/>
      </c>
      <c r="D685" s="29" t="str">
        <f t="shared" ca="1" si="62"/>
        <v/>
      </c>
      <c r="E685" s="29" t="str">
        <f t="shared" ca="1" si="63"/>
        <v/>
      </c>
      <c r="F685" s="29" t="str">
        <f ca="1">IF(C685&lt;&gt;"",IF(OR(VLOOKUP(C685,$C$3:$L$6,5,0)=Variables!$B$5,B685&gt;VLOOKUP(C685,$C$3:$L$6,8,0)),-D685*VLOOKUP(C685,$C$3:$L$6,6,0)/12,0),"")</f>
        <v/>
      </c>
      <c r="G685" s="29" t="str">
        <f ca="1">IF(I685&lt;&gt;Variables!$B$1,IF(C685&lt;&gt;"",$I$9-E685-F685,""),-D685)</f>
        <v/>
      </c>
      <c r="H685" s="29" t="str">
        <f t="shared" ca="1" si="66"/>
        <v/>
      </c>
      <c r="I685" s="31" t="str">
        <f ca="1">IF(C685&lt;&gt;"",IF(D685+$I$9-E685-F685&gt;=0,IF(ISERROR(INDEX($C$3:$C$6,MATCH(C685,$C$3:$C$6,0)+1,0)),Variables!$B$1,INDEX($C$3:$C$6,MATCH(C685,$C$3:$C$6,0)+1,0)),""),"")</f>
        <v/>
      </c>
      <c r="J685" s="29" t="str">
        <f ca="1">IF(ISERROR(VLOOKUP(I685,$C$3:$L$6,5,0)),"",IF(OR(VLOOKUP(I685,$C$3:$L$6,5,0)=Variables!$B$5,B685&gt;VLOOKUP(I685,$C$3:$L$6,8,0)),IF(VLOOKUP(I685,$C$3:$L$6,5,0)=Variables!$B$5,((YEAR(B685)-YEAR($B$12))*12+MONTH(B685)-MONTH($B$12)),((YEAR(B685)-YEAR(VLOOKUP(I685,$C$3:$L$6,8,0)))*12+MONTH(B685)-MONTH(VLOOKUP(I685,$C$3:$L$6,8,0))))*(VLOOKUP(I685,$C$3:$L$6,10,0)*VLOOKUP(I685,$C$3:$L$6,6,0)/12),0))</f>
        <v/>
      </c>
      <c r="K685" s="29" t="str">
        <f ca="1">IF(C685&lt;&gt;"",IF(I685&lt;&gt;"",IF(ISERROR(VLOOKUP(I685,$C$3:$L$6,10,0)),"",VLOOKUP(I685,$C$3:$L$6,10,0)+J685+IF(OR(VLOOKUP(I685,$C$3:$L$6,5,0)=Variables!$B$5,B685&gt;VLOOKUP(I685,$C$3:$L$6,8,0)),IF(VLOOKUP(I685,$C$3:$L$6,5,0)=Variables!$B$5,((YEAR(B685)-YEAR($B$12))*12+MONTH(B685)-MONTH($B$12)),((YEAR(B685)-YEAR(VLOOKUP(I685,$C$3:$L$6,8,0)))*12+MONTH(B685)-MONTH(VLOOKUP(I685,$C$3:$L$6,8,0))))*VLOOKUP(I685,$C$3:$L$6,7,0),0)),""),"")</f>
        <v/>
      </c>
      <c r="L685" s="29" t="str">
        <f t="shared" ca="1" si="64"/>
        <v/>
      </c>
      <c r="M685" s="10"/>
      <c r="N685" s="10"/>
    </row>
    <row r="686" spans="1:14" x14ac:dyDescent="0.25">
      <c r="A686" s="10"/>
      <c r="B686" s="14" t="str">
        <f t="shared" ca="1" si="65"/>
        <v/>
      </c>
      <c r="C686" s="14" t="str">
        <f ca="1">IF(I685&lt;&gt;Variables!$B$1,IF(H685&lt;&gt;0,C685,I685),"")</f>
        <v/>
      </c>
      <c r="D686" s="29" t="str">
        <f t="shared" ca="1" si="62"/>
        <v/>
      </c>
      <c r="E686" s="29" t="str">
        <f t="shared" ca="1" si="63"/>
        <v/>
      </c>
      <c r="F686" s="29" t="str">
        <f ca="1">IF(C686&lt;&gt;"",IF(OR(VLOOKUP(C686,$C$3:$L$6,5,0)=Variables!$B$5,B686&gt;VLOOKUP(C686,$C$3:$L$6,8,0)),-D686*VLOOKUP(C686,$C$3:$L$6,6,0)/12,0),"")</f>
        <v/>
      </c>
      <c r="G686" s="29" t="str">
        <f ca="1">IF(I686&lt;&gt;Variables!$B$1,IF(C686&lt;&gt;"",$I$9-E686-F686,""),-D686)</f>
        <v/>
      </c>
      <c r="H686" s="29" t="str">
        <f t="shared" ca="1" si="66"/>
        <v/>
      </c>
      <c r="I686" s="31" t="str">
        <f ca="1">IF(C686&lt;&gt;"",IF(D686+$I$9-E686-F686&gt;=0,IF(ISERROR(INDEX($C$3:$C$6,MATCH(C686,$C$3:$C$6,0)+1,0)),Variables!$B$1,INDEX($C$3:$C$6,MATCH(C686,$C$3:$C$6,0)+1,0)),""),"")</f>
        <v/>
      </c>
      <c r="J686" s="29" t="str">
        <f ca="1">IF(ISERROR(VLOOKUP(I686,$C$3:$L$6,5,0)),"",IF(OR(VLOOKUP(I686,$C$3:$L$6,5,0)=Variables!$B$5,B686&gt;VLOOKUP(I686,$C$3:$L$6,8,0)),IF(VLOOKUP(I686,$C$3:$L$6,5,0)=Variables!$B$5,((YEAR(B686)-YEAR($B$12))*12+MONTH(B686)-MONTH($B$12)),((YEAR(B686)-YEAR(VLOOKUP(I686,$C$3:$L$6,8,0)))*12+MONTH(B686)-MONTH(VLOOKUP(I686,$C$3:$L$6,8,0))))*(VLOOKUP(I686,$C$3:$L$6,10,0)*VLOOKUP(I686,$C$3:$L$6,6,0)/12),0))</f>
        <v/>
      </c>
      <c r="K686" s="29" t="str">
        <f ca="1">IF(C686&lt;&gt;"",IF(I686&lt;&gt;"",IF(ISERROR(VLOOKUP(I686,$C$3:$L$6,10,0)),"",VLOOKUP(I686,$C$3:$L$6,10,0)+J686+IF(OR(VLOOKUP(I686,$C$3:$L$6,5,0)=Variables!$B$5,B686&gt;VLOOKUP(I686,$C$3:$L$6,8,0)),IF(VLOOKUP(I686,$C$3:$L$6,5,0)=Variables!$B$5,((YEAR(B686)-YEAR($B$12))*12+MONTH(B686)-MONTH($B$12)),((YEAR(B686)-YEAR(VLOOKUP(I686,$C$3:$L$6,8,0)))*12+MONTH(B686)-MONTH(VLOOKUP(I686,$C$3:$L$6,8,0))))*VLOOKUP(I686,$C$3:$L$6,7,0),0)),""),"")</f>
        <v/>
      </c>
      <c r="L686" s="29" t="str">
        <f t="shared" ca="1" si="64"/>
        <v/>
      </c>
      <c r="M686" s="10"/>
      <c r="N686" s="10"/>
    </row>
    <row r="687" spans="1:14" x14ac:dyDescent="0.25">
      <c r="A687" s="10"/>
      <c r="B687" s="14" t="str">
        <f t="shared" ca="1" si="65"/>
        <v/>
      </c>
      <c r="C687" s="14" t="str">
        <f ca="1">IF(I686&lt;&gt;Variables!$B$1,IF(H686&lt;&gt;0,C686,I686),"")</f>
        <v/>
      </c>
      <c r="D687" s="29" t="str">
        <f t="shared" ca="1" si="62"/>
        <v/>
      </c>
      <c r="E687" s="29" t="str">
        <f t="shared" ca="1" si="63"/>
        <v/>
      </c>
      <c r="F687" s="29" t="str">
        <f ca="1">IF(C687&lt;&gt;"",IF(OR(VLOOKUP(C687,$C$3:$L$6,5,0)=Variables!$B$5,B687&gt;VLOOKUP(C687,$C$3:$L$6,8,0)),-D687*VLOOKUP(C687,$C$3:$L$6,6,0)/12,0),"")</f>
        <v/>
      </c>
      <c r="G687" s="29" t="str">
        <f ca="1">IF(I687&lt;&gt;Variables!$B$1,IF(C687&lt;&gt;"",$I$9-E687-F687,""),-D687)</f>
        <v/>
      </c>
      <c r="H687" s="29" t="str">
        <f t="shared" ca="1" si="66"/>
        <v/>
      </c>
      <c r="I687" s="31" t="str">
        <f ca="1">IF(C687&lt;&gt;"",IF(D687+$I$9-E687-F687&gt;=0,IF(ISERROR(INDEX($C$3:$C$6,MATCH(C687,$C$3:$C$6,0)+1,0)),Variables!$B$1,INDEX($C$3:$C$6,MATCH(C687,$C$3:$C$6,0)+1,0)),""),"")</f>
        <v/>
      </c>
      <c r="J687" s="29" t="str">
        <f ca="1">IF(ISERROR(VLOOKUP(I687,$C$3:$L$6,5,0)),"",IF(OR(VLOOKUP(I687,$C$3:$L$6,5,0)=Variables!$B$5,B687&gt;VLOOKUP(I687,$C$3:$L$6,8,0)),IF(VLOOKUP(I687,$C$3:$L$6,5,0)=Variables!$B$5,((YEAR(B687)-YEAR($B$12))*12+MONTH(B687)-MONTH($B$12)),((YEAR(B687)-YEAR(VLOOKUP(I687,$C$3:$L$6,8,0)))*12+MONTH(B687)-MONTH(VLOOKUP(I687,$C$3:$L$6,8,0))))*(VLOOKUP(I687,$C$3:$L$6,10,0)*VLOOKUP(I687,$C$3:$L$6,6,0)/12),0))</f>
        <v/>
      </c>
      <c r="K687" s="29" t="str">
        <f ca="1">IF(C687&lt;&gt;"",IF(I687&lt;&gt;"",IF(ISERROR(VLOOKUP(I687,$C$3:$L$6,10,0)),"",VLOOKUP(I687,$C$3:$L$6,10,0)+J687+IF(OR(VLOOKUP(I687,$C$3:$L$6,5,0)=Variables!$B$5,B687&gt;VLOOKUP(I687,$C$3:$L$6,8,0)),IF(VLOOKUP(I687,$C$3:$L$6,5,0)=Variables!$B$5,((YEAR(B687)-YEAR($B$12))*12+MONTH(B687)-MONTH($B$12)),((YEAR(B687)-YEAR(VLOOKUP(I687,$C$3:$L$6,8,0)))*12+MONTH(B687)-MONTH(VLOOKUP(I687,$C$3:$L$6,8,0))))*VLOOKUP(I687,$C$3:$L$6,7,0),0)),""),"")</f>
        <v/>
      </c>
      <c r="L687" s="29" t="str">
        <f t="shared" ca="1" si="64"/>
        <v/>
      </c>
      <c r="M687" s="10"/>
      <c r="N687" s="10"/>
    </row>
    <row r="688" spans="1:14" x14ac:dyDescent="0.25">
      <c r="A688" s="10"/>
      <c r="B688" s="14" t="str">
        <f t="shared" ca="1" si="65"/>
        <v/>
      </c>
      <c r="C688" s="14" t="str">
        <f ca="1">IF(I687&lt;&gt;Variables!$B$1,IF(H687&lt;&gt;0,C687,I687),"")</f>
        <v/>
      </c>
      <c r="D688" s="29" t="str">
        <f t="shared" ca="1" si="62"/>
        <v/>
      </c>
      <c r="E688" s="29" t="str">
        <f t="shared" ca="1" si="63"/>
        <v/>
      </c>
      <c r="F688" s="29" t="str">
        <f ca="1">IF(C688&lt;&gt;"",IF(OR(VLOOKUP(C688,$C$3:$L$6,5,0)=Variables!$B$5,B688&gt;VLOOKUP(C688,$C$3:$L$6,8,0)),-D688*VLOOKUP(C688,$C$3:$L$6,6,0)/12,0),"")</f>
        <v/>
      </c>
      <c r="G688" s="29" t="str">
        <f ca="1">IF(I688&lt;&gt;Variables!$B$1,IF(C688&lt;&gt;"",$I$9-E688-F688,""),-D688)</f>
        <v/>
      </c>
      <c r="H688" s="29" t="str">
        <f t="shared" ca="1" si="66"/>
        <v/>
      </c>
      <c r="I688" s="31" t="str">
        <f ca="1">IF(C688&lt;&gt;"",IF(D688+$I$9-E688-F688&gt;=0,IF(ISERROR(INDEX($C$3:$C$6,MATCH(C688,$C$3:$C$6,0)+1,0)),Variables!$B$1,INDEX($C$3:$C$6,MATCH(C688,$C$3:$C$6,0)+1,0)),""),"")</f>
        <v/>
      </c>
      <c r="J688" s="29" t="str">
        <f ca="1">IF(ISERROR(VLOOKUP(I688,$C$3:$L$6,5,0)),"",IF(OR(VLOOKUP(I688,$C$3:$L$6,5,0)=Variables!$B$5,B688&gt;VLOOKUP(I688,$C$3:$L$6,8,0)),IF(VLOOKUP(I688,$C$3:$L$6,5,0)=Variables!$B$5,((YEAR(B688)-YEAR($B$12))*12+MONTH(B688)-MONTH($B$12)),((YEAR(B688)-YEAR(VLOOKUP(I688,$C$3:$L$6,8,0)))*12+MONTH(B688)-MONTH(VLOOKUP(I688,$C$3:$L$6,8,0))))*(VLOOKUP(I688,$C$3:$L$6,10,0)*VLOOKUP(I688,$C$3:$L$6,6,0)/12),0))</f>
        <v/>
      </c>
      <c r="K688" s="29" t="str">
        <f ca="1">IF(C688&lt;&gt;"",IF(I688&lt;&gt;"",IF(ISERROR(VLOOKUP(I688,$C$3:$L$6,10,0)),"",VLOOKUP(I688,$C$3:$L$6,10,0)+J688+IF(OR(VLOOKUP(I688,$C$3:$L$6,5,0)=Variables!$B$5,B688&gt;VLOOKUP(I688,$C$3:$L$6,8,0)),IF(VLOOKUP(I688,$C$3:$L$6,5,0)=Variables!$B$5,((YEAR(B688)-YEAR($B$12))*12+MONTH(B688)-MONTH($B$12)),((YEAR(B688)-YEAR(VLOOKUP(I688,$C$3:$L$6,8,0)))*12+MONTH(B688)-MONTH(VLOOKUP(I688,$C$3:$L$6,8,0))))*VLOOKUP(I688,$C$3:$L$6,7,0),0)),""),"")</f>
        <v/>
      </c>
      <c r="L688" s="29" t="str">
        <f t="shared" ca="1" si="64"/>
        <v/>
      </c>
      <c r="M688" s="10"/>
      <c r="N688" s="10"/>
    </row>
    <row r="689" spans="1:14" x14ac:dyDescent="0.25">
      <c r="A689" s="10"/>
      <c r="B689" s="14" t="str">
        <f t="shared" ca="1" si="65"/>
        <v/>
      </c>
      <c r="C689" s="14" t="str">
        <f ca="1">IF(I688&lt;&gt;Variables!$B$1,IF(H688&lt;&gt;0,C688,I688),"")</f>
        <v/>
      </c>
      <c r="D689" s="29" t="str">
        <f t="shared" ca="1" si="62"/>
        <v/>
      </c>
      <c r="E689" s="29" t="str">
        <f t="shared" ca="1" si="63"/>
        <v/>
      </c>
      <c r="F689" s="29" t="str">
        <f ca="1">IF(C689&lt;&gt;"",IF(OR(VLOOKUP(C689,$C$3:$L$6,5,0)=Variables!$B$5,B689&gt;VLOOKUP(C689,$C$3:$L$6,8,0)),-D689*VLOOKUP(C689,$C$3:$L$6,6,0)/12,0),"")</f>
        <v/>
      </c>
      <c r="G689" s="29" t="str">
        <f ca="1">IF(I689&lt;&gt;Variables!$B$1,IF(C689&lt;&gt;"",$I$9-E689-F689,""),-D689)</f>
        <v/>
      </c>
      <c r="H689" s="29" t="str">
        <f t="shared" ca="1" si="66"/>
        <v/>
      </c>
      <c r="I689" s="31" t="str">
        <f ca="1">IF(C689&lt;&gt;"",IF(D689+$I$9-E689-F689&gt;=0,IF(ISERROR(INDEX($C$3:$C$6,MATCH(C689,$C$3:$C$6,0)+1,0)),Variables!$B$1,INDEX($C$3:$C$6,MATCH(C689,$C$3:$C$6,0)+1,0)),""),"")</f>
        <v/>
      </c>
      <c r="J689" s="29" t="str">
        <f ca="1">IF(ISERROR(VLOOKUP(I689,$C$3:$L$6,5,0)),"",IF(OR(VLOOKUP(I689,$C$3:$L$6,5,0)=Variables!$B$5,B689&gt;VLOOKUP(I689,$C$3:$L$6,8,0)),IF(VLOOKUP(I689,$C$3:$L$6,5,0)=Variables!$B$5,((YEAR(B689)-YEAR($B$12))*12+MONTH(B689)-MONTH($B$12)),((YEAR(B689)-YEAR(VLOOKUP(I689,$C$3:$L$6,8,0)))*12+MONTH(B689)-MONTH(VLOOKUP(I689,$C$3:$L$6,8,0))))*(VLOOKUP(I689,$C$3:$L$6,10,0)*VLOOKUP(I689,$C$3:$L$6,6,0)/12),0))</f>
        <v/>
      </c>
      <c r="K689" s="29" t="str">
        <f ca="1">IF(C689&lt;&gt;"",IF(I689&lt;&gt;"",IF(ISERROR(VLOOKUP(I689,$C$3:$L$6,10,0)),"",VLOOKUP(I689,$C$3:$L$6,10,0)+J689+IF(OR(VLOOKUP(I689,$C$3:$L$6,5,0)=Variables!$B$5,B689&gt;VLOOKUP(I689,$C$3:$L$6,8,0)),IF(VLOOKUP(I689,$C$3:$L$6,5,0)=Variables!$B$5,((YEAR(B689)-YEAR($B$12))*12+MONTH(B689)-MONTH($B$12)),((YEAR(B689)-YEAR(VLOOKUP(I689,$C$3:$L$6,8,0)))*12+MONTH(B689)-MONTH(VLOOKUP(I689,$C$3:$L$6,8,0))))*VLOOKUP(I689,$C$3:$L$6,7,0),0)),""),"")</f>
        <v/>
      </c>
      <c r="L689" s="29" t="str">
        <f t="shared" ca="1" si="64"/>
        <v/>
      </c>
      <c r="M689" s="10"/>
      <c r="N689" s="10"/>
    </row>
    <row r="690" spans="1:14" x14ac:dyDescent="0.25">
      <c r="A690" s="10"/>
      <c r="B690" s="14" t="str">
        <f t="shared" ca="1" si="65"/>
        <v/>
      </c>
      <c r="C690" s="14" t="str">
        <f ca="1">IF(I689&lt;&gt;Variables!$B$1,IF(H689&lt;&gt;0,C689,I689),"")</f>
        <v/>
      </c>
      <c r="D690" s="29" t="str">
        <f t="shared" ca="1" si="62"/>
        <v/>
      </c>
      <c r="E690" s="29" t="str">
        <f t="shared" ca="1" si="63"/>
        <v/>
      </c>
      <c r="F690" s="29" t="str">
        <f ca="1">IF(C690&lt;&gt;"",IF(OR(VLOOKUP(C690,$C$3:$L$6,5,0)=Variables!$B$5,B690&gt;VLOOKUP(C690,$C$3:$L$6,8,0)),-D690*VLOOKUP(C690,$C$3:$L$6,6,0)/12,0),"")</f>
        <v/>
      </c>
      <c r="G690" s="29" t="str">
        <f ca="1">IF(I690&lt;&gt;Variables!$B$1,IF(C690&lt;&gt;"",$I$9-E690-F690,""),-D690)</f>
        <v/>
      </c>
      <c r="H690" s="29" t="str">
        <f t="shared" ca="1" si="66"/>
        <v/>
      </c>
      <c r="I690" s="31" t="str">
        <f ca="1">IF(C690&lt;&gt;"",IF(D690+$I$9-E690-F690&gt;=0,IF(ISERROR(INDEX($C$3:$C$6,MATCH(C690,$C$3:$C$6,0)+1,0)),Variables!$B$1,INDEX($C$3:$C$6,MATCH(C690,$C$3:$C$6,0)+1,0)),""),"")</f>
        <v/>
      </c>
      <c r="J690" s="29" t="str">
        <f ca="1">IF(ISERROR(VLOOKUP(I690,$C$3:$L$6,5,0)),"",IF(OR(VLOOKUP(I690,$C$3:$L$6,5,0)=Variables!$B$5,B690&gt;VLOOKUP(I690,$C$3:$L$6,8,0)),IF(VLOOKUP(I690,$C$3:$L$6,5,0)=Variables!$B$5,((YEAR(B690)-YEAR($B$12))*12+MONTH(B690)-MONTH($B$12)),((YEAR(B690)-YEAR(VLOOKUP(I690,$C$3:$L$6,8,0)))*12+MONTH(B690)-MONTH(VLOOKUP(I690,$C$3:$L$6,8,0))))*(VLOOKUP(I690,$C$3:$L$6,10,0)*VLOOKUP(I690,$C$3:$L$6,6,0)/12),0))</f>
        <v/>
      </c>
      <c r="K690" s="29" t="str">
        <f ca="1">IF(C690&lt;&gt;"",IF(I690&lt;&gt;"",IF(ISERROR(VLOOKUP(I690,$C$3:$L$6,10,0)),"",VLOOKUP(I690,$C$3:$L$6,10,0)+J690+IF(OR(VLOOKUP(I690,$C$3:$L$6,5,0)=Variables!$B$5,B690&gt;VLOOKUP(I690,$C$3:$L$6,8,0)),IF(VLOOKUP(I690,$C$3:$L$6,5,0)=Variables!$B$5,((YEAR(B690)-YEAR($B$12))*12+MONTH(B690)-MONTH($B$12)),((YEAR(B690)-YEAR(VLOOKUP(I690,$C$3:$L$6,8,0)))*12+MONTH(B690)-MONTH(VLOOKUP(I690,$C$3:$L$6,8,0))))*VLOOKUP(I690,$C$3:$L$6,7,0),0)),""),"")</f>
        <v/>
      </c>
      <c r="L690" s="29" t="str">
        <f t="shared" ca="1" si="64"/>
        <v/>
      </c>
      <c r="M690" s="10"/>
      <c r="N690" s="10"/>
    </row>
    <row r="691" spans="1:14" x14ac:dyDescent="0.25">
      <c r="A691" s="10"/>
      <c r="B691" s="14" t="str">
        <f t="shared" ca="1" si="65"/>
        <v/>
      </c>
      <c r="C691" s="14" t="str">
        <f ca="1">IF(I690&lt;&gt;Variables!$B$1,IF(H690&lt;&gt;0,C690,I690),"")</f>
        <v/>
      </c>
      <c r="D691" s="29" t="str">
        <f t="shared" ca="1" si="62"/>
        <v/>
      </c>
      <c r="E691" s="29" t="str">
        <f t="shared" ca="1" si="63"/>
        <v/>
      </c>
      <c r="F691" s="29" t="str">
        <f ca="1">IF(C691&lt;&gt;"",IF(OR(VLOOKUP(C691,$C$3:$L$6,5,0)=Variables!$B$5,B691&gt;VLOOKUP(C691,$C$3:$L$6,8,0)),-D691*VLOOKUP(C691,$C$3:$L$6,6,0)/12,0),"")</f>
        <v/>
      </c>
      <c r="G691" s="29" t="str">
        <f ca="1">IF(I691&lt;&gt;Variables!$B$1,IF(C691&lt;&gt;"",$I$9-E691-F691,""),-D691)</f>
        <v/>
      </c>
      <c r="H691" s="29" t="str">
        <f t="shared" ca="1" si="66"/>
        <v/>
      </c>
      <c r="I691" s="31" t="str">
        <f ca="1">IF(C691&lt;&gt;"",IF(D691+$I$9-E691-F691&gt;=0,IF(ISERROR(INDEX($C$3:$C$6,MATCH(C691,$C$3:$C$6,0)+1,0)),Variables!$B$1,INDEX($C$3:$C$6,MATCH(C691,$C$3:$C$6,0)+1,0)),""),"")</f>
        <v/>
      </c>
      <c r="J691" s="29" t="str">
        <f ca="1">IF(ISERROR(VLOOKUP(I691,$C$3:$L$6,5,0)),"",IF(OR(VLOOKUP(I691,$C$3:$L$6,5,0)=Variables!$B$5,B691&gt;VLOOKUP(I691,$C$3:$L$6,8,0)),IF(VLOOKUP(I691,$C$3:$L$6,5,0)=Variables!$B$5,((YEAR(B691)-YEAR($B$12))*12+MONTH(B691)-MONTH($B$12)),((YEAR(B691)-YEAR(VLOOKUP(I691,$C$3:$L$6,8,0)))*12+MONTH(B691)-MONTH(VLOOKUP(I691,$C$3:$L$6,8,0))))*(VLOOKUP(I691,$C$3:$L$6,10,0)*VLOOKUP(I691,$C$3:$L$6,6,0)/12),0))</f>
        <v/>
      </c>
      <c r="K691" s="29" t="str">
        <f ca="1">IF(C691&lt;&gt;"",IF(I691&lt;&gt;"",IF(ISERROR(VLOOKUP(I691,$C$3:$L$6,10,0)),"",VLOOKUP(I691,$C$3:$L$6,10,0)+J691+IF(OR(VLOOKUP(I691,$C$3:$L$6,5,0)=Variables!$B$5,B691&gt;VLOOKUP(I691,$C$3:$L$6,8,0)),IF(VLOOKUP(I691,$C$3:$L$6,5,0)=Variables!$B$5,((YEAR(B691)-YEAR($B$12))*12+MONTH(B691)-MONTH($B$12)),((YEAR(B691)-YEAR(VLOOKUP(I691,$C$3:$L$6,8,0)))*12+MONTH(B691)-MONTH(VLOOKUP(I691,$C$3:$L$6,8,0))))*VLOOKUP(I691,$C$3:$L$6,7,0),0)),""),"")</f>
        <v/>
      </c>
      <c r="L691" s="29" t="str">
        <f t="shared" ca="1" si="64"/>
        <v/>
      </c>
      <c r="M691" s="10"/>
      <c r="N691" s="10"/>
    </row>
    <row r="692" spans="1:14" x14ac:dyDescent="0.25">
      <c r="A692" s="10"/>
      <c r="B692" s="14" t="str">
        <f t="shared" ca="1" si="65"/>
        <v/>
      </c>
      <c r="C692" s="14" t="str">
        <f ca="1">IF(I691&lt;&gt;Variables!$B$1,IF(H691&lt;&gt;0,C691,I691),"")</f>
        <v/>
      </c>
      <c r="D692" s="29" t="str">
        <f t="shared" ca="1" si="62"/>
        <v/>
      </c>
      <c r="E692" s="29" t="str">
        <f t="shared" ca="1" si="63"/>
        <v/>
      </c>
      <c r="F692" s="29" t="str">
        <f ca="1">IF(C692&lt;&gt;"",IF(OR(VLOOKUP(C692,$C$3:$L$6,5,0)=Variables!$B$5,B692&gt;VLOOKUP(C692,$C$3:$L$6,8,0)),-D692*VLOOKUP(C692,$C$3:$L$6,6,0)/12,0),"")</f>
        <v/>
      </c>
      <c r="G692" s="29" t="str">
        <f ca="1">IF(I692&lt;&gt;Variables!$B$1,IF(C692&lt;&gt;"",$I$9-E692-F692,""),-D692)</f>
        <v/>
      </c>
      <c r="H692" s="29" t="str">
        <f t="shared" ca="1" si="66"/>
        <v/>
      </c>
      <c r="I692" s="31" t="str">
        <f ca="1">IF(C692&lt;&gt;"",IF(D692+$I$9-E692-F692&gt;=0,IF(ISERROR(INDEX($C$3:$C$6,MATCH(C692,$C$3:$C$6,0)+1,0)),Variables!$B$1,INDEX($C$3:$C$6,MATCH(C692,$C$3:$C$6,0)+1,0)),""),"")</f>
        <v/>
      </c>
      <c r="J692" s="29" t="str">
        <f ca="1">IF(ISERROR(VLOOKUP(I692,$C$3:$L$6,5,0)),"",IF(OR(VLOOKUP(I692,$C$3:$L$6,5,0)=Variables!$B$5,B692&gt;VLOOKUP(I692,$C$3:$L$6,8,0)),IF(VLOOKUP(I692,$C$3:$L$6,5,0)=Variables!$B$5,((YEAR(B692)-YEAR($B$12))*12+MONTH(B692)-MONTH($B$12)),((YEAR(B692)-YEAR(VLOOKUP(I692,$C$3:$L$6,8,0)))*12+MONTH(B692)-MONTH(VLOOKUP(I692,$C$3:$L$6,8,0))))*(VLOOKUP(I692,$C$3:$L$6,10,0)*VLOOKUP(I692,$C$3:$L$6,6,0)/12),0))</f>
        <v/>
      </c>
      <c r="K692" s="29" t="str">
        <f ca="1">IF(C692&lt;&gt;"",IF(I692&lt;&gt;"",IF(ISERROR(VLOOKUP(I692,$C$3:$L$6,10,0)),"",VLOOKUP(I692,$C$3:$L$6,10,0)+J692+IF(OR(VLOOKUP(I692,$C$3:$L$6,5,0)=Variables!$B$5,B692&gt;VLOOKUP(I692,$C$3:$L$6,8,0)),IF(VLOOKUP(I692,$C$3:$L$6,5,0)=Variables!$B$5,((YEAR(B692)-YEAR($B$12))*12+MONTH(B692)-MONTH($B$12)),((YEAR(B692)-YEAR(VLOOKUP(I692,$C$3:$L$6,8,0)))*12+MONTH(B692)-MONTH(VLOOKUP(I692,$C$3:$L$6,8,0))))*VLOOKUP(I692,$C$3:$L$6,7,0),0)),""),"")</f>
        <v/>
      </c>
      <c r="L692" s="29" t="str">
        <f t="shared" ca="1" si="64"/>
        <v/>
      </c>
      <c r="M692" s="10"/>
      <c r="N692" s="10"/>
    </row>
    <row r="693" spans="1:14" x14ac:dyDescent="0.25">
      <c r="A693" s="10"/>
      <c r="B693" s="14" t="str">
        <f t="shared" ca="1" si="65"/>
        <v/>
      </c>
      <c r="C693" s="14" t="str">
        <f ca="1">IF(I692&lt;&gt;Variables!$B$1,IF(H692&lt;&gt;0,C692,I692),"")</f>
        <v/>
      </c>
      <c r="D693" s="29" t="str">
        <f t="shared" ca="1" si="62"/>
        <v/>
      </c>
      <c r="E693" s="29" t="str">
        <f t="shared" ca="1" si="63"/>
        <v/>
      </c>
      <c r="F693" s="29" t="str">
        <f ca="1">IF(C693&lt;&gt;"",IF(OR(VLOOKUP(C693,$C$3:$L$6,5,0)=Variables!$B$5,B693&gt;VLOOKUP(C693,$C$3:$L$6,8,0)),-D693*VLOOKUP(C693,$C$3:$L$6,6,0)/12,0),"")</f>
        <v/>
      </c>
      <c r="G693" s="29" t="str">
        <f ca="1">IF(I693&lt;&gt;Variables!$B$1,IF(C693&lt;&gt;"",$I$9-E693-F693,""),-D693)</f>
        <v/>
      </c>
      <c r="H693" s="29" t="str">
        <f t="shared" ca="1" si="66"/>
        <v/>
      </c>
      <c r="I693" s="31" t="str">
        <f ca="1">IF(C693&lt;&gt;"",IF(D693+$I$9-E693-F693&gt;=0,IF(ISERROR(INDEX($C$3:$C$6,MATCH(C693,$C$3:$C$6,0)+1,0)),Variables!$B$1,INDEX($C$3:$C$6,MATCH(C693,$C$3:$C$6,0)+1,0)),""),"")</f>
        <v/>
      </c>
      <c r="J693" s="29" t="str">
        <f ca="1">IF(ISERROR(VLOOKUP(I693,$C$3:$L$6,5,0)),"",IF(OR(VLOOKUP(I693,$C$3:$L$6,5,0)=Variables!$B$5,B693&gt;VLOOKUP(I693,$C$3:$L$6,8,0)),IF(VLOOKUP(I693,$C$3:$L$6,5,0)=Variables!$B$5,((YEAR(B693)-YEAR($B$12))*12+MONTH(B693)-MONTH($B$12)),((YEAR(B693)-YEAR(VLOOKUP(I693,$C$3:$L$6,8,0)))*12+MONTH(B693)-MONTH(VLOOKUP(I693,$C$3:$L$6,8,0))))*(VLOOKUP(I693,$C$3:$L$6,10,0)*VLOOKUP(I693,$C$3:$L$6,6,0)/12),0))</f>
        <v/>
      </c>
      <c r="K693" s="29" t="str">
        <f ca="1">IF(C693&lt;&gt;"",IF(I693&lt;&gt;"",IF(ISERROR(VLOOKUP(I693,$C$3:$L$6,10,0)),"",VLOOKUP(I693,$C$3:$L$6,10,0)+J693+IF(OR(VLOOKUP(I693,$C$3:$L$6,5,0)=Variables!$B$5,B693&gt;VLOOKUP(I693,$C$3:$L$6,8,0)),IF(VLOOKUP(I693,$C$3:$L$6,5,0)=Variables!$B$5,((YEAR(B693)-YEAR($B$12))*12+MONTH(B693)-MONTH($B$12)),((YEAR(B693)-YEAR(VLOOKUP(I693,$C$3:$L$6,8,0)))*12+MONTH(B693)-MONTH(VLOOKUP(I693,$C$3:$L$6,8,0))))*VLOOKUP(I693,$C$3:$L$6,7,0),0)),""),"")</f>
        <v/>
      </c>
      <c r="L693" s="29" t="str">
        <f t="shared" ca="1" si="64"/>
        <v/>
      </c>
      <c r="M693" s="10"/>
      <c r="N693" s="10"/>
    </row>
    <row r="694" spans="1:14" x14ac:dyDescent="0.25">
      <c r="A694" s="10"/>
      <c r="B694" s="14" t="str">
        <f t="shared" ca="1" si="65"/>
        <v/>
      </c>
      <c r="C694" s="14" t="str">
        <f ca="1">IF(I693&lt;&gt;Variables!$B$1,IF(H693&lt;&gt;0,C693,I693),"")</f>
        <v/>
      </c>
      <c r="D694" s="29" t="str">
        <f t="shared" ca="1" si="62"/>
        <v/>
      </c>
      <c r="E694" s="29" t="str">
        <f t="shared" ca="1" si="63"/>
        <v/>
      </c>
      <c r="F694" s="29" t="str">
        <f ca="1">IF(C694&lt;&gt;"",IF(OR(VLOOKUP(C694,$C$3:$L$6,5,0)=Variables!$B$5,B694&gt;VLOOKUP(C694,$C$3:$L$6,8,0)),-D694*VLOOKUP(C694,$C$3:$L$6,6,0)/12,0),"")</f>
        <v/>
      </c>
      <c r="G694" s="29" t="str">
        <f ca="1">IF(I694&lt;&gt;Variables!$B$1,IF(C694&lt;&gt;"",$I$9-E694-F694,""),-D694)</f>
        <v/>
      </c>
      <c r="H694" s="29" t="str">
        <f t="shared" ca="1" si="66"/>
        <v/>
      </c>
      <c r="I694" s="31" t="str">
        <f ca="1">IF(C694&lt;&gt;"",IF(D694+$I$9-E694-F694&gt;=0,IF(ISERROR(INDEX($C$3:$C$6,MATCH(C694,$C$3:$C$6,0)+1,0)),Variables!$B$1,INDEX($C$3:$C$6,MATCH(C694,$C$3:$C$6,0)+1,0)),""),"")</f>
        <v/>
      </c>
      <c r="J694" s="29" t="str">
        <f ca="1">IF(ISERROR(VLOOKUP(I694,$C$3:$L$6,5,0)),"",IF(OR(VLOOKUP(I694,$C$3:$L$6,5,0)=Variables!$B$5,B694&gt;VLOOKUP(I694,$C$3:$L$6,8,0)),IF(VLOOKUP(I694,$C$3:$L$6,5,0)=Variables!$B$5,((YEAR(B694)-YEAR($B$12))*12+MONTH(B694)-MONTH($B$12)),((YEAR(B694)-YEAR(VLOOKUP(I694,$C$3:$L$6,8,0)))*12+MONTH(B694)-MONTH(VLOOKUP(I694,$C$3:$L$6,8,0))))*(VLOOKUP(I694,$C$3:$L$6,10,0)*VLOOKUP(I694,$C$3:$L$6,6,0)/12),0))</f>
        <v/>
      </c>
      <c r="K694" s="29" t="str">
        <f ca="1">IF(C694&lt;&gt;"",IF(I694&lt;&gt;"",IF(ISERROR(VLOOKUP(I694,$C$3:$L$6,10,0)),"",VLOOKUP(I694,$C$3:$L$6,10,0)+J694+IF(OR(VLOOKUP(I694,$C$3:$L$6,5,0)=Variables!$B$5,B694&gt;VLOOKUP(I694,$C$3:$L$6,8,0)),IF(VLOOKUP(I694,$C$3:$L$6,5,0)=Variables!$B$5,((YEAR(B694)-YEAR($B$12))*12+MONTH(B694)-MONTH($B$12)),((YEAR(B694)-YEAR(VLOOKUP(I694,$C$3:$L$6,8,0)))*12+MONTH(B694)-MONTH(VLOOKUP(I694,$C$3:$L$6,8,0))))*VLOOKUP(I694,$C$3:$L$6,7,0),0)),""),"")</f>
        <v/>
      </c>
      <c r="L694" s="29" t="str">
        <f t="shared" ca="1" si="64"/>
        <v/>
      </c>
      <c r="M694" s="10"/>
      <c r="N694" s="10"/>
    </row>
    <row r="695" spans="1:14" x14ac:dyDescent="0.25">
      <c r="A695" s="10"/>
      <c r="B695" s="14" t="str">
        <f t="shared" ca="1" si="65"/>
        <v/>
      </c>
      <c r="C695" s="14" t="str">
        <f ca="1">IF(I694&lt;&gt;Variables!$B$1,IF(H694&lt;&gt;0,C694,I694),"")</f>
        <v/>
      </c>
      <c r="D695" s="29" t="str">
        <f t="shared" ca="1" si="62"/>
        <v/>
      </c>
      <c r="E695" s="29" t="str">
        <f t="shared" ca="1" si="63"/>
        <v/>
      </c>
      <c r="F695" s="29" t="str">
        <f ca="1">IF(C695&lt;&gt;"",IF(OR(VLOOKUP(C695,$C$3:$L$6,5,0)=Variables!$B$5,B695&gt;VLOOKUP(C695,$C$3:$L$6,8,0)),-D695*VLOOKUP(C695,$C$3:$L$6,6,0)/12,0),"")</f>
        <v/>
      </c>
      <c r="G695" s="29" t="str">
        <f ca="1">IF(I695&lt;&gt;Variables!$B$1,IF(C695&lt;&gt;"",$I$9-E695-F695,""),-D695)</f>
        <v/>
      </c>
      <c r="H695" s="29" t="str">
        <f t="shared" ca="1" si="66"/>
        <v/>
      </c>
      <c r="I695" s="31" t="str">
        <f ca="1">IF(C695&lt;&gt;"",IF(D695+$I$9-E695-F695&gt;=0,IF(ISERROR(INDEX($C$3:$C$6,MATCH(C695,$C$3:$C$6,0)+1,0)),Variables!$B$1,INDEX($C$3:$C$6,MATCH(C695,$C$3:$C$6,0)+1,0)),""),"")</f>
        <v/>
      </c>
      <c r="J695" s="29" t="str">
        <f ca="1">IF(ISERROR(VLOOKUP(I695,$C$3:$L$6,5,0)),"",IF(OR(VLOOKUP(I695,$C$3:$L$6,5,0)=Variables!$B$5,B695&gt;VLOOKUP(I695,$C$3:$L$6,8,0)),IF(VLOOKUP(I695,$C$3:$L$6,5,0)=Variables!$B$5,((YEAR(B695)-YEAR($B$12))*12+MONTH(B695)-MONTH($B$12)),((YEAR(B695)-YEAR(VLOOKUP(I695,$C$3:$L$6,8,0)))*12+MONTH(B695)-MONTH(VLOOKUP(I695,$C$3:$L$6,8,0))))*(VLOOKUP(I695,$C$3:$L$6,10,0)*VLOOKUP(I695,$C$3:$L$6,6,0)/12),0))</f>
        <v/>
      </c>
      <c r="K695" s="29" t="str">
        <f ca="1">IF(C695&lt;&gt;"",IF(I695&lt;&gt;"",IF(ISERROR(VLOOKUP(I695,$C$3:$L$6,10,0)),"",VLOOKUP(I695,$C$3:$L$6,10,0)+J695+IF(OR(VLOOKUP(I695,$C$3:$L$6,5,0)=Variables!$B$5,B695&gt;VLOOKUP(I695,$C$3:$L$6,8,0)),IF(VLOOKUP(I695,$C$3:$L$6,5,0)=Variables!$B$5,((YEAR(B695)-YEAR($B$12))*12+MONTH(B695)-MONTH($B$12)),((YEAR(B695)-YEAR(VLOOKUP(I695,$C$3:$L$6,8,0)))*12+MONTH(B695)-MONTH(VLOOKUP(I695,$C$3:$L$6,8,0))))*VLOOKUP(I695,$C$3:$L$6,7,0),0)),""),"")</f>
        <v/>
      </c>
      <c r="L695" s="29" t="str">
        <f t="shared" ca="1" si="64"/>
        <v/>
      </c>
      <c r="M695" s="10"/>
      <c r="N695" s="10"/>
    </row>
    <row r="696" spans="1:14" x14ac:dyDescent="0.25">
      <c r="A696" s="10"/>
      <c r="B696" s="14" t="str">
        <f t="shared" ca="1" si="65"/>
        <v/>
      </c>
      <c r="C696" s="14" t="str">
        <f ca="1">IF(I695&lt;&gt;Variables!$B$1,IF(H695&lt;&gt;0,C695,I695),"")</f>
        <v/>
      </c>
      <c r="D696" s="29" t="str">
        <f t="shared" ca="1" si="62"/>
        <v/>
      </c>
      <c r="E696" s="29" t="str">
        <f t="shared" ca="1" si="63"/>
        <v/>
      </c>
      <c r="F696" s="29" t="str">
        <f ca="1">IF(C696&lt;&gt;"",IF(OR(VLOOKUP(C696,$C$3:$L$6,5,0)=Variables!$B$5,B696&gt;VLOOKUP(C696,$C$3:$L$6,8,0)),-D696*VLOOKUP(C696,$C$3:$L$6,6,0)/12,0),"")</f>
        <v/>
      </c>
      <c r="G696" s="29" t="str">
        <f ca="1">IF(I696&lt;&gt;Variables!$B$1,IF(C696&lt;&gt;"",$I$9-E696-F696,""),-D696)</f>
        <v/>
      </c>
      <c r="H696" s="29" t="str">
        <f t="shared" ca="1" si="66"/>
        <v/>
      </c>
      <c r="I696" s="31" t="str">
        <f ca="1">IF(C696&lt;&gt;"",IF(D696+$I$9-E696-F696&gt;=0,IF(ISERROR(INDEX($C$3:$C$6,MATCH(C696,$C$3:$C$6,0)+1,0)),Variables!$B$1,INDEX($C$3:$C$6,MATCH(C696,$C$3:$C$6,0)+1,0)),""),"")</f>
        <v/>
      </c>
      <c r="J696" s="29" t="str">
        <f ca="1">IF(ISERROR(VLOOKUP(I696,$C$3:$L$6,5,0)),"",IF(OR(VLOOKUP(I696,$C$3:$L$6,5,0)=Variables!$B$5,B696&gt;VLOOKUP(I696,$C$3:$L$6,8,0)),IF(VLOOKUP(I696,$C$3:$L$6,5,0)=Variables!$B$5,((YEAR(B696)-YEAR($B$12))*12+MONTH(B696)-MONTH($B$12)),((YEAR(B696)-YEAR(VLOOKUP(I696,$C$3:$L$6,8,0)))*12+MONTH(B696)-MONTH(VLOOKUP(I696,$C$3:$L$6,8,0))))*(VLOOKUP(I696,$C$3:$L$6,10,0)*VLOOKUP(I696,$C$3:$L$6,6,0)/12),0))</f>
        <v/>
      </c>
      <c r="K696" s="29" t="str">
        <f ca="1">IF(C696&lt;&gt;"",IF(I696&lt;&gt;"",IF(ISERROR(VLOOKUP(I696,$C$3:$L$6,10,0)),"",VLOOKUP(I696,$C$3:$L$6,10,0)+J696+IF(OR(VLOOKUP(I696,$C$3:$L$6,5,0)=Variables!$B$5,B696&gt;VLOOKUP(I696,$C$3:$L$6,8,0)),IF(VLOOKUP(I696,$C$3:$L$6,5,0)=Variables!$B$5,((YEAR(B696)-YEAR($B$12))*12+MONTH(B696)-MONTH($B$12)),((YEAR(B696)-YEAR(VLOOKUP(I696,$C$3:$L$6,8,0)))*12+MONTH(B696)-MONTH(VLOOKUP(I696,$C$3:$L$6,8,0))))*VLOOKUP(I696,$C$3:$L$6,7,0),0)),""),"")</f>
        <v/>
      </c>
      <c r="L696" s="29" t="str">
        <f t="shared" ca="1" si="64"/>
        <v/>
      </c>
      <c r="M696" s="10"/>
      <c r="N696" s="10"/>
    </row>
    <row r="697" spans="1:14" x14ac:dyDescent="0.25">
      <c r="A697" s="10"/>
      <c r="B697" s="14" t="str">
        <f t="shared" ca="1" si="65"/>
        <v/>
      </c>
      <c r="C697" s="14" t="str">
        <f ca="1">IF(I696&lt;&gt;Variables!$B$1,IF(H696&lt;&gt;0,C696,I696),"")</f>
        <v/>
      </c>
      <c r="D697" s="29" t="str">
        <f t="shared" ca="1" si="62"/>
        <v/>
      </c>
      <c r="E697" s="29" t="str">
        <f t="shared" ca="1" si="63"/>
        <v/>
      </c>
      <c r="F697" s="29" t="str">
        <f ca="1">IF(C697&lt;&gt;"",IF(OR(VLOOKUP(C697,$C$3:$L$6,5,0)=Variables!$B$5,B697&gt;VLOOKUP(C697,$C$3:$L$6,8,0)),-D697*VLOOKUP(C697,$C$3:$L$6,6,0)/12,0),"")</f>
        <v/>
      </c>
      <c r="G697" s="29" t="str">
        <f ca="1">IF(I697&lt;&gt;Variables!$B$1,IF(C697&lt;&gt;"",$I$9-E697-F697,""),-D697)</f>
        <v/>
      </c>
      <c r="H697" s="29" t="str">
        <f t="shared" ca="1" si="66"/>
        <v/>
      </c>
      <c r="I697" s="31" t="str">
        <f ca="1">IF(C697&lt;&gt;"",IF(D697+$I$9-E697-F697&gt;=0,IF(ISERROR(INDEX($C$3:$C$6,MATCH(C697,$C$3:$C$6,0)+1,0)),Variables!$B$1,INDEX($C$3:$C$6,MATCH(C697,$C$3:$C$6,0)+1,0)),""),"")</f>
        <v/>
      </c>
      <c r="J697" s="29" t="str">
        <f ca="1">IF(ISERROR(VLOOKUP(I697,$C$3:$L$6,5,0)),"",IF(OR(VLOOKUP(I697,$C$3:$L$6,5,0)=Variables!$B$5,B697&gt;VLOOKUP(I697,$C$3:$L$6,8,0)),IF(VLOOKUP(I697,$C$3:$L$6,5,0)=Variables!$B$5,((YEAR(B697)-YEAR($B$12))*12+MONTH(B697)-MONTH($B$12)),((YEAR(B697)-YEAR(VLOOKUP(I697,$C$3:$L$6,8,0)))*12+MONTH(B697)-MONTH(VLOOKUP(I697,$C$3:$L$6,8,0))))*(VLOOKUP(I697,$C$3:$L$6,10,0)*VLOOKUP(I697,$C$3:$L$6,6,0)/12),0))</f>
        <v/>
      </c>
      <c r="K697" s="29" t="str">
        <f ca="1">IF(C697&lt;&gt;"",IF(I697&lt;&gt;"",IF(ISERROR(VLOOKUP(I697,$C$3:$L$6,10,0)),"",VLOOKUP(I697,$C$3:$L$6,10,0)+J697+IF(OR(VLOOKUP(I697,$C$3:$L$6,5,0)=Variables!$B$5,B697&gt;VLOOKUP(I697,$C$3:$L$6,8,0)),IF(VLOOKUP(I697,$C$3:$L$6,5,0)=Variables!$B$5,((YEAR(B697)-YEAR($B$12))*12+MONTH(B697)-MONTH($B$12)),((YEAR(B697)-YEAR(VLOOKUP(I697,$C$3:$L$6,8,0)))*12+MONTH(B697)-MONTH(VLOOKUP(I697,$C$3:$L$6,8,0))))*VLOOKUP(I697,$C$3:$L$6,7,0),0)),""),"")</f>
        <v/>
      </c>
      <c r="L697" s="29" t="str">
        <f t="shared" ca="1" si="64"/>
        <v/>
      </c>
      <c r="M697" s="10"/>
      <c r="N697" s="10"/>
    </row>
    <row r="698" spans="1:14" x14ac:dyDescent="0.25">
      <c r="A698" s="10"/>
      <c r="B698" s="14" t="str">
        <f t="shared" ca="1" si="65"/>
        <v/>
      </c>
      <c r="C698" s="14" t="str">
        <f ca="1">IF(I697&lt;&gt;Variables!$B$1,IF(H697&lt;&gt;0,C697,I697),"")</f>
        <v/>
      </c>
      <c r="D698" s="29" t="str">
        <f t="shared" ca="1" si="62"/>
        <v/>
      </c>
      <c r="E698" s="29" t="str">
        <f t="shared" ca="1" si="63"/>
        <v/>
      </c>
      <c r="F698" s="29" t="str">
        <f ca="1">IF(C698&lt;&gt;"",IF(OR(VLOOKUP(C698,$C$3:$L$6,5,0)=Variables!$B$5,B698&gt;VLOOKUP(C698,$C$3:$L$6,8,0)),-D698*VLOOKUP(C698,$C$3:$L$6,6,0)/12,0),"")</f>
        <v/>
      </c>
      <c r="G698" s="29" t="str">
        <f ca="1">IF(I698&lt;&gt;Variables!$B$1,IF(C698&lt;&gt;"",$I$9-E698-F698,""),-D698)</f>
        <v/>
      </c>
      <c r="H698" s="29" t="str">
        <f t="shared" ca="1" si="66"/>
        <v/>
      </c>
      <c r="I698" s="31" t="str">
        <f ca="1">IF(C698&lt;&gt;"",IF(D698+$I$9-E698-F698&gt;=0,IF(ISERROR(INDEX($C$3:$C$6,MATCH(C698,$C$3:$C$6,0)+1,0)),Variables!$B$1,INDEX($C$3:$C$6,MATCH(C698,$C$3:$C$6,0)+1,0)),""),"")</f>
        <v/>
      </c>
      <c r="J698" s="29" t="str">
        <f ca="1">IF(ISERROR(VLOOKUP(I698,$C$3:$L$6,5,0)),"",IF(OR(VLOOKUP(I698,$C$3:$L$6,5,0)=Variables!$B$5,B698&gt;VLOOKUP(I698,$C$3:$L$6,8,0)),IF(VLOOKUP(I698,$C$3:$L$6,5,0)=Variables!$B$5,((YEAR(B698)-YEAR($B$12))*12+MONTH(B698)-MONTH($B$12)),((YEAR(B698)-YEAR(VLOOKUP(I698,$C$3:$L$6,8,0)))*12+MONTH(B698)-MONTH(VLOOKUP(I698,$C$3:$L$6,8,0))))*(VLOOKUP(I698,$C$3:$L$6,10,0)*VLOOKUP(I698,$C$3:$L$6,6,0)/12),0))</f>
        <v/>
      </c>
      <c r="K698" s="29" t="str">
        <f ca="1">IF(C698&lt;&gt;"",IF(I698&lt;&gt;"",IF(ISERROR(VLOOKUP(I698,$C$3:$L$6,10,0)),"",VLOOKUP(I698,$C$3:$L$6,10,0)+J698+IF(OR(VLOOKUP(I698,$C$3:$L$6,5,0)=Variables!$B$5,B698&gt;VLOOKUP(I698,$C$3:$L$6,8,0)),IF(VLOOKUP(I698,$C$3:$L$6,5,0)=Variables!$B$5,((YEAR(B698)-YEAR($B$12))*12+MONTH(B698)-MONTH($B$12)),((YEAR(B698)-YEAR(VLOOKUP(I698,$C$3:$L$6,8,0)))*12+MONTH(B698)-MONTH(VLOOKUP(I698,$C$3:$L$6,8,0))))*VLOOKUP(I698,$C$3:$L$6,7,0),0)),""),"")</f>
        <v/>
      </c>
      <c r="L698" s="29" t="str">
        <f t="shared" ca="1" si="64"/>
        <v/>
      </c>
      <c r="M698" s="10"/>
      <c r="N698" s="10"/>
    </row>
    <row r="699" spans="1:14" x14ac:dyDescent="0.25">
      <c r="A699" s="10"/>
      <c r="B699" s="14" t="str">
        <f t="shared" ca="1" si="65"/>
        <v/>
      </c>
      <c r="C699" s="14" t="str">
        <f ca="1">IF(I698&lt;&gt;Variables!$B$1,IF(H698&lt;&gt;0,C698,I698),"")</f>
        <v/>
      </c>
      <c r="D699" s="29" t="str">
        <f t="shared" ca="1" si="62"/>
        <v/>
      </c>
      <c r="E699" s="29" t="str">
        <f t="shared" ca="1" si="63"/>
        <v/>
      </c>
      <c r="F699" s="29" t="str">
        <f ca="1">IF(C699&lt;&gt;"",IF(OR(VLOOKUP(C699,$C$3:$L$6,5,0)=Variables!$B$5,B699&gt;VLOOKUP(C699,$C$3:$L$6,8,0)),-D699*VLOOKUP(C699,$C$3:$L$6,6,0)/12,0),"")</f>
        <v/>
      </c>
      <c r="G699" s="29" t="str">
        <f ca="1">IF(I699&lt;&gt;Variables!$B$1,IF(C699&lt;&gt;"",$I$9-E699-F699,""),-D699)</f>
        <v/>
      </c>
      <c r="H699" s="29" t="str">
        <f t="shared" ca="1" si="66"/>
        <v/>
      </c>
      <c r="I699" s="31" t="str">
        <f ca="1">IF(C699&lt;&gt;"",IF(D699+$I$9-E699-F699&gt;=0,IF(ISERROR(INDEX($C$3:$C$6,MATCH(C699,$C$3:$C$6,0)+1,0)),Variables!$B$1,INDEX($C$3:$C$6,MATCH(C699,$C$3:$C$6,0)+1,0)),""),"")</f>
        <v/>
      </c>
      <c r="J699" s="29" t="str">
        <f ca="1">IF(ISERROR(VLOOKUP(I699,$C$3:$L$6,5,0)),"",IF(OR(VLOOKUP(I699,$C$3:$L$6,5,0)=Variables!$B$5,B699&gt;VLOOKUP(I699,$C$3:$L$6,8,0)),IF(VLOOKUP(I699,$C$3:$L$6,5,0)=Variables!$B$5,((YEAR(B699)-YEAR($B$12))*12+MONTH(B699)-MONTH($B$12)),((YEAR(B699)-YEAR(VLOOKUP(I699,$C$3:$L$6,8,0)))*12+MONTH(B699)-MONTH(VLOOKUP(I699,$C$3:$L$6,8,0))))*(VLOOKUP(I699,$C$3:$L$6,10,0)*VLOOKUP(I699,$C$3:$L$6,6,0)/12),0))</f>
        <v/>
      </c>
      <c r="K699" s="29" t="str">
        <f ca="1">IF(C699&lt;&gt;"",IF(I699&lt;&gt;"",IF(ISERROR(VLOOKUP(I699,$C$3:$L$6,10,0)),"",VLOOKUP(I699,$C$3:$L$6,10,0)+J699+IF(OR(VLOOKUP(I699,$C$3:$L$6,5,0)=Variables!$B$5,B699&gt;VLOOKUP(I699,$C$3:$L$6,8,0)),IF(VLOOKUP(I699,$C$3:$L$6,5,0)=Variables!$B$5,((YEAR(B699)-YEAR($B$12))*12+MONTH(B699)-MONTH($B$12)),((YEAR(B699)-YEAR(VLOOKUP(I699,$C$3:$L$6,8,0)))*12+MONTH(B699)-MONTH(VLOOKUP(I699,$C$3:$L$6,8,0))))*VLOOKUP(I699,$C$3:$L$6,7,0),0)),""),"")</f>
        <v/>
      </c>
      <c r="L699" s="29" t="str">
        <f t="shared" ca="1" si="64"/>
        <v/>
      </c>
      <c r="M699" s="10"/>
      <c r="N699" s="10"/>
    </row>
    <row r="700" spans="1:14" x14ac:dyDescent="0.25">
      <c r="A700" s="10"/>
      <c r="B700" s="14" t="str">
        <f t="shared" ca="1" si="65"/>
        <v/>
      </c>
      <c r="C700" s="14" t="str">
        <f ca="1">IF(I699&lt;&gt;Variables!$B$1,IF(H699&lt;&gt;0,C699,I699),"")</f>
        <v/>
      </c>
      <c r="D700" s="29" t="str">
        <f t="shared" ca="1" si="62"/>
        <v/>
      </c>
      <c r="E700" s="29" t="str">
        <f t="shared" ca="1" si="63"/>
        <v/>
      </c>
      <c r="F700" s="29" t="str">
        <f ca="1">IF(C700&lt;&gt;"",IF(OR(VLOOKUP(C700,$C$3:$L$6,5,0)=Variables!$B$5,B700&gt;VLOOKUP(C700,$C$3:$L$6,8,0)),-D700*VLOOKUP(C700,$C$3:$L$6,6,0)/12,0),"")</f>
        <v/>
      </c>
      <c r="G700" s="29" t="str">
        <f ca="1">IF(I700&lt;&gt;Variables!$B$1,IF(C700&lt;&gt;"",$I$9-E700-F700,""),-D700)</f>
        <v/>
      </c>
      <c r="H700" s="29" t="str">
        <f t="shared" ca="1" si="66"/>
        <v/>
      </c>
      <c r="I700" s="31" t="str">
        <f ca="1">IF(C700&lt;&gt;"",IF(D700+$I$9-E700-F700&gt;=0,IF(ISERROR(INDEX($C$3:$C$6,MATCH(C700,$C$3:$C$6,0)+1,0)),Variables!$B$1,INDEX($C$3:$C$6,MATCH(C700,$C$3:$C$6,0)+1,0)),""),"")</f>
        <v/>
      </c>
      <c r="J700" s="29" t="str">
        <f ca="1">IF(ISERROR(VLOOKUP(I700,$C$3:$L$6,5,0)),"",IF(OR(VLOOKUP(I700,$C$3:$L$6,5,0)=Variables!$B$5,B700&gt;VLOOKUP(I700,$C$3:$L$6,8,0)),IF(VLOOKUP(I700,$C$3:$L$6,5,0)=Variables!$B$5,((YEAR(B700)-YEAR($B$12))*12+MONTH(B700)-MONTH($B$12)),((YEAR(B700)-YEAR(VLOOKUP(I700,$C$3:$L$6,8,0)))*12+MONTH(B700)-MONTH(VLOOKUP(I700,$C$3:$L$6,8,0))))*(VLOOKUP(I700,$C$3:$L$6,10,0)*VLOOKUP(I700,$C$3:$L$6,6,0)/12),0))</f>
        <v/>
      </c>
      <c r="K700" s="29" t="str">
        <f ca="1">IF(C700&lt;&gt;"",IF(I700&lt;&gt;"",IF(ISERROR(VLOOKUP(I700,$C$3:$L$6,10,0)),"",VLOOKUP(I700,$C$3:$L$6,10,0)+J700+IF(OR(VLOOKUP(I700,$C$3:$L$6,5,0)=Variables!$B$5,B700&gt;VLOOKUP(I700,$C$3:$L$6,8,0)),IF(VLOOKUP(I700,$C$3:$L$6,5,0)=Variables!$B$5,((YEAR(B700)-YEAR($B$12))*12+MONTH(B700)-MONTH($B$12)),((YEAR(B700)-YEAR(VLOOKUP(I700,$C$3:$L$6,8,0)))*12+MONTH(B700)-MONTH(VLOOKUP(I700,$C$3:$L$6,8,0))))*VLOOKUP(I700,$C$3:$L$6,7,0),0)),""),"")</f>
        <v/>
      </c>
      <c r="L700" s="29" t="str">
        <f t="shared" ca="1" si="64"/>
        <v/>
      </c>
      <c r="M700" s="10"/>
      <c r="N700" s="10"/>
    </row>
    <row r="701" spans="1:14" x14ac:dyDescent="0.25">
      <c r="A701" s="10"/>
      <c r="B701" s="14" t="str">
        <f t="shared" ca="1" si="65"/>
        <v/>
      </c>
      <c r="C701" s="14" t="str">
        <f ca="1">IF(I700&lt;&gt;Variables!$B$1,IF(H700&lt;&gt;0,C700,I700),"")</f>
        <v/>
      </c>
      <c r="D701" s="29" t="str">
        <f t="shared" ca="1" si="62"/>
        <v/>
      </c>
      <c r="E701" s="29" t="str">
        <f t="shared" ca="1" si="63"/>
        <v/>
      </c>
      <c r="F701" s="29" t="str">
        <f ca="1">IF(C701&lt;&gt;"",IF(OR(VLOOKUP(C701,$C$3:$L$6,5,0)=Variables!$B$5,B701&gt;VLOOKUP(C701,$C$3:$L$6,8,0)),-D701*VLOOKUP(C701,$C$3:$L$6,6,0)/12,0),"")</f>
        <v/>
      </c>
      <c r="G701" s="29" t="str">
        <f ca="1">IF(I701&lt;&gt;Variables!$B$1,IF(C701&lt;&gt;"",$I$9-E701-F701,""),-D701)</f>
        <v/>
      </c>
      <c r="H701" s="29" t="str">
        <f t="shared" ca="1" si="66"/>
        <v/>
      </c>
      <c r="I701" s="31" t="str">
        <f ca="1">IF(C701&lt;&gt;"",IF(D701+$I$9-E701-F701&gt;=0,IF(ISERROR(INDEX($C$3:$C$6,MATCH(C701,$C$3:$C$6,0)+1,0)),Variables!$B$1,INDEX($C$3:$C$6,MATCH(C701,$C$3:$C$6,0)+1,0)),""),"")</f>
        <v/>
      </c>
      <c r="J701" s="29" t="str">
        <f ca="1">IF(ISERROR(VLOOKUP(I701,$C$3:$L$6,5,0)),"",IF(OR(VLOOKUP(I701,$C$3:$L$6,5,0)=Variables!$B$5,B701&gt;VLOOKUP(I701,$C$3:$L$6,8,0)),IF(VLOOKUP(I701,$C$3:$L$6,5,0)=Variables!$B$5,((YEAR(B701)-YEAR($B$12))*12+MONTH(B701)-MONTH($B$12)),((YEAR(B701)-YEAR(VLOOKUP(I701,$C$3:$L$6,8,0)))*12+MONTH(B701)-MONTH(VLOOKUP(I701,$C$3:$L$6,8,0))))*(VLOOKUP(I701,$C$3:$L$6,10,0)*VLOOKUP(I701,$C$3:$L$6,6,0)/12),0))</f>
        <v/>
      </c>
      <c r="K701" s="29" t="str">
        <f ca="1">IF(C701&lt;&gt;"",IF(I701&lt;&gt;"",IF(ISERROR(VLOOKUP(I701,$C$3:$L$6,10,0)),"",VLOOKUP(I701,$C$3:$L$6,10,0)+J701+IF(OR(VLOOKUP(I701,$C$3:$L$6,5,0)=Variables!$B$5,B701&gt;VLOOKUP(I701,$C$3:$L$6,8,0)),IF(VLOOKUP(I701,$C$3:$L$6,5,0)=Variables!$B$5,((YEAR(B701)-YEAR($B$12))*12+MONTH(B701)-MONTH($B$12)),((YEAR(B701)-YEAR(VLOOKUP(I701,$C$3:$L$6,8,0)))*12+MONTH(B701)-MONTH(VLOOKUP(I701,$C$3:$L$6,8,0))))*VLOOKUP(I701,$C$3:$L$6,7,0),0)),""),"")</f>
        <v/>
      </c>
      <c r="L701" s="29" t="str">
        <f t="shared" ca="1" si="64"/>
        <v/>
      </c>
      <c r="M701" s="10"/>
      <c r="N701" s="10"/>
    </row>
    <row r="702" spans="1:14" x14ac:dyDescent="0.25">
      <c r="A702" s="10"/>
      <c r="B702" s="14" t="str">
        <f t="shared" ca="1" si="65"/>
        <v/>
      </c>
      <c r="C702" s="14" t="str">
        <f ca="1">IF(I701&lt;&gt;Variables!$B$1,IF(H701&lt;&gt;0,C701,I701),"")</f>
        <v/>
      </c>
      <c r="D702" s="29" t="str">
        <f t="shared" ca="1" si="62"/>
        <v/>
      </c>
      <c r="E702" s="29" t="str">
        <f t="shared" ca="1" si="63"/>
        <v/>
      </c>
      <c r="F702" s="29" t="str">
        <f ca="1">IF(C702&lt;&gt;"",IF(OR(VLOOKUP(C702,$C$3:$L$6,5,0)=Variables!$B$5,B702&gt;VLOOKUP(C702,$C$3:$L$6,8,0)),-D702*VLOOKUP(C702,$C$3:$L$6,6,0)/12,0),"")</f>
        <v/>
      </c>
      <c r="G702" s="29" t="str">
        <f ca="1">IF(I702&lt;&gt;Variables!$B$1,IF(C702&lt;&gt;"",$I$9-E702-F702,""),-D702)</f>
        <v/>
      </c>
      <c r="H702" s="29" t="str">
        <f t="shared" ca="1" si="66"/>
        <v/>
      </c>
      <c r="I702" s="31" t="str">
        <f ca="1">IF(C702&lt;&gt;"",IF(D702+$I$9-E702-F702&gt;=0,IF(ISERROR(INDEX($C$3:$C$6,MATCH(C702,$C$3:$C$6,0)+1,0)),Variables!$B$1,INDEX($C$3:$C$6,MATCH(C702,$C$3:$C$6,0)+1,0)),""),"")</f>
        <v/>
      </c>
      <c r="J702" s="29" t="str">
        <f ca="1">IF(ISERROR(VLOOKUP(I702,$C$3:$L$6,5,0)),"",IF(OR(VLOOKUP(I702,$C$3:$L$6,5,0)=Variables!$B$5,B702&gt;VLOOKUP(I702,$C$3:$L$6,8,0)),IF(VLOOKUP(I702,$C$3:$L$6,5,0)=Variables!$B$5,((YEAR(B702)-YEAR($B$12))*12+MONTH(B702)-MONTH($B$12)),((YEAR(B702)-YEAR(VLOOKUP(I702,$C$3:$L$6,8,0)))*12+MONTH(B702)-MONTH(VLOOKUP(I702,$C$3:$L$6,8,0))))*(VLOOKUP(I702,$C$3:$L$6,10,0)*VLOOKUP(I702,$C$3:$L$6,6,0)/12),0))</f>
        <v/>
      </c>
      <c r="K702" s="29" t="str">
        <f ca="1">IF(C702&lt;&gt;"",IF(I702&lt;&gt;"",IF(ISERROR(VLOOKUP(I702,$C$3:$L$6,10,0)),"",VLOOKUP(I702,$C$3:$L$6,10,0)+J702+IF(OR(VLOOKUP(I702,$C$3:$L$6,5,0)=Variables!$B$5,B702&gt;VLOOKUP(I702,$C$3:$L$6,8,0)),IF(VLOOKUP(I702,$C$3:$L$6,5,0)=Variables!$B$5,((YEAR(B702)-YEAR($B$12))*12+MONTH(B702)-MONTH($B$12)),((YEAR(B702)-YEAR(VLOOKUP(I702,$C$3:$L$6,8,0)))*12+MONTH(B702)-MONTH(VLOOKUP(I702,$C$3:$L$6,8,0))))*VLOOKUP(I702,$C$3:$L$6,7,0),0)),""),"")</f>
        <v/>
      </c>
      <c r="L702" s="29" t="str">
        <f t="shared" ca="1" si="64"/>
        <v/>
      </c>
      <c r="M702" s="10"/>
      <c r="N702" s="10"/>
    </row>
    <row r="703" spans="1:14" x14ac:dyDescent="0.25">
      <c r="A703" s="10"/>
      <c r="B703" s="14" t="str">
        <f t="shared" ca="1" si="65"/>
        <v/>
      </c>
      <c r="C703" s="14" t="str">
        <f ca="1">IF(I702&lt;&gt;Variables!$B$1,IF(H702&lt;&gt;0,C702,I702),"")</f>
        <v/>
      </c>
      <c r="D703" s="29" t="str">
        <f t="shared" ca="1" si="62"/>
        <v/>
      </c>
      <c r="E703" s="29" t="str">
        <f t="shared" ca="1" si="63"/>
        <v/>
      </c>
      <c r="F703" s="29" t="str">
        <f ca="1">IF(C703&lt;&gt;"",IF(OR(VLOOKUP(C703,$C$3:$L$6,5,0)=Variables!$B$5,B703&gt;VLOOKUP(C703,$C$3:$L$6,8,0)),-D703*VLOOKUP(C703,$C$3:$L$6,6,0)/12,0),"")</f>
        <v/>
      </c>
      <c r="G703" s="29" t="str">
        <f ca="1">IF(I703&lt;&gt;Variables!$B$1,IF(C703&lt;&gt;"",$I$9-E703-F703,""),-D703)</f>
        <v/>
      </c>
      <c r="H703" s="29" t="str">
        <f t="shared" ca="1" si="66"/>
        <v/>
      </c>
      <c r="I703" s="31" t="str">
        <f ca="1">IF(C703&lt;&gt;"",IF(D703+$I$9-E703-F703&gt;=0,IF(ISERROR(INDEX($C$3:$C$6,MATCH(C703,$C$3:$C$6,0)+1,0)),Variables!$B$1,INDEX($C$3:$C$6,MATCH(C703,$C$3:$C$6,0)+1,0)),""),"")</f>
        <v/>
      </c>
      <c r="J703" s="29" t="str">
        <f ca="1">IF(ISERROR(VLOOKUP(I703,$C$3:$L$6,5,0)),"",IF(OR(VLOOKUP(I703,$C$3:$L$6,5,0)=Variables!$B$5,B703&gt;VLOOKUP(I703,$C$3:$L$6,8,0)),IF(VLOOKUP(I703,$C$3:$L$6,5,0)=Variables!$B$5,((YEAR(B703)-YEAR($B$12))*12+MONTH(B703)-MONTH($B$12)),((YEAR(B703)-YEAR(VLOOKUP(I703,$C$3:$L$6,8,0)))*12+MONTH(B703)-MONTH(VLOOKUP(I703,$C$3:$L$6,8,0))))*(VLOOKUP(I703,$C$3:$L$6,10,0)*VLOOKUP(I703,$C$3:$L$6,6,0)/12),0))</f>
        <v/>
      </c>
      <c r="K703" s="29" t="str">
        <f ca="1">IF(C703&lt;&gt;"",IF(I703&lt;&gt;"",IF(ISERROR(VLOOKUP(I703,$C$3:$L$6,10,0)),"",VLOOKUP(I703,$C$3:$L$6,10,0)+J703+IF(OR(VLOOKUP(I703,$C$3:$L$6,5,0)=Variables!$B$5,B703&gt;VLOOKUP(I703,$C$3:$L$6,8,0)),IF(VLOOKUP(I703,$C$3:$L$6,5,0)=Variables!$B$5,((YEAR(B703)-YEAR($B$12))*12+MONTH(B703)-MONTH($B$12)),((YEAR(B703)-YEAR(VLOOKUP(I703,$C$3:$L$6,8,0)))*12+MONTH(B703)-MONTH(VLOOKUP(I703,$C$3:$L$6,8,0))))*VLOOKUP(I703,$C$3:$L$6,7,0),0)),""),"")</f>
        <v/>
      </c>
      <c r="L703" s="29" t="str">
        <f t="shared" ca="1" si="64"/>
        <v/>
      </c>
      <c r="M703" s="10"/>
      <c r="N703" s="10"/>
    </row>
    <row r="704" spans="1:14" x14ac:dyDescent="0.25">
      <c r="A704" s="10"/>
      <c r="B704" s="14" t="str">
        <f t="shared" ca="1" si="65"/>
        <v/>
      </c>
      <c r="C704" s="14" t="str">
        <f ca="1">IF(I703&lt;&gt;Variables!$B$1,IF(H703&lt;&gt;0,C703,I703),"")</f>
        <v/>
      </c>
      <c r="D704" s="29" t="str">
        <f t="shared" ca="1" si="62"/>
        <v/>
      </c>
      <c r="E704" s="29" t="str">
        <f t="shared" ca="1" si="63"/>
        <v/>
      </c>
      <c r="F704" s="29" t="str">
        <f ca="1">IF(C704&lt;&gt;"",IF(OR(VLOOKUP(C704,$C$3:$L$6,5,0)=Variables!$B$5,B704&gt;VLOOKUP(C704,$C$3:$L$6,8,0)),-D704*VLOOKUP(C704,$C$3:$L$6,6,0)/12,0),"")</f>
        <v/>
      </c>
      <c r="G704" s="29" t="str">
        <f ca="1">IF(I704&lt;&gt;Variables!$B$1,IF(C704&lt;&gt;"",$I$9-E704-F704,""),-D704)</f>
        <v/>
      </c>
      <c r="H704" s="29" t="str">
        <f t="shared" ca="1" si="66"/>
        <v/>
      </c>
      <c r="I704" s="31" t="str">
        <f ca="1">IF(C704&lt;&gt;"",IF(D704+$I$9-E704-F704&gt;=0,IF(ISERROR(INDEX($C$3:$C$6,MATCH(C704,$C$3:$C$6,0)+1,0)),Variables!$B$1,INDEX($C$3:$C$6,MATCH(C704,$C$3:$C$6,0)+1,0)),""),"")</f>
        <v/>
      </c>
      <c r="J704" s="29" t="str">
        <f ca="1">IF(ISERROR(VLOOKUP(I704,$C$3:$L$6,5,0)),"",IF(OR(VLOOKUP(I704,$C$3:$L$6,5,0)=Variables!$B$5,B704&gt;VLOOKUP(I704,$C$3:$L$6,8,0)),IF(VLOOKUP(I704,$C$3:$L$6,5,0)=Variables!$B$5,((YEAR(B704)-YEAR($B$12))*12+MONTH(B704)-MONTH($B$12)),((YEAR(B704)-YEAR(VLOOKUP(I704,$C$3:$L$6,8,0)))*12+MONTH(B704)-MONTH(VLOOKUP(I704,$C$3:$L$6,8,0))))*(VLOOKUP(I704,$C$3:$L$6,10,0)*VLOOKUP(I704,$C$3:$L$6,6,0)/12),0))</f>
        <v/>
      </c>
      <c r="K704" s="29" t="str">
        <f ca="1">IF(C704&lt;&gt;"",IF(I704&lt;&gt;"",IF(ISERROR(VLOOKUP(I704,$C$3:$L$6,10,0)),"",VLOOKUP(I704,$C$3:$L$6,10,0)+J704+IF(OR(VLOOKUP(I704,$C$3:$L$6,5,0)=Variables!$B$5,B704&gt;VLOOKUP(I704,$C$3:$L$6,8,0)),IF(VLOOKUP(I704,$C$3:$L$6,5,0)=Variables!$B$5,((YEAR(B704)-YEAR($B$12))*12+MONTH(B704)-MONTH($B$12)),((YEAR(B704)-YEAR(VLOOKUP(I704,$C$3:$L$6,8,0)))*12+MONTH(B704)-MONTH(VLOOKUP(I704,$C$3:$L$6,8,0))))*VLOOKUP(I704,$C$3:$L$6,7,0),0)),""),"")</f>
        <v/>
      </c>
      <c r="L704" s="29" t="str">
        <f t="shared" ca="1" si="64"/>
        <v/>
      </c>
      <c r="M704" s="10"/>
      <c r="N704" s="10"/>
    </row>
    <row r="705" spans="1:14" x14ac:dyDescent="0.25">
      <c r="A705" s="10"/>
      <c r="B705" s="14" t="str">
        <f t="shared" ca="1" si="65"/>
        <v/>
      </c>
      <c r="C705" s="14" t="str">
        <f ca="1">IF(I704&lt;&gt;Variables!$B$1,IF(H704&lt;&gt;0,C704,I704),"")</f>
        <v/>
      </c>
      <c r="D705" s="29" t="str">
        <f t="shared" ca="1" si="62"/>
        <v/>
      </c>
      <c r="E705" s="29" t="str">
        <f t="shared" ca="1" si="63"/>
        <v/>
      </c>
      <c r="F705" s="29" t="str">
        <f ca="1">IF(C705&lt;&gt;"",IF(OR(VLOOKUP(C705,$C$3:$L$6,5,0)=Variables!$B$5,B705&gt;VLOOKUP(C705,$C$3:$L$6,8,0)),-D705*VLOOKUP(C705,$C$3:$L$6,6,0)/12,0),"")</f>
        <v/>
      </c>
      <c r="G705" s="29" t="str">
        <f ca="1">IF(I705&lt;&gt;Variables!$B$1,IF(C705&lt;&gt;"",$I$9-E705-F705,""),-D705)</f>
        <v/>
      </c>
      <c r="H705" s="29" t="str">
        <f t="shared" ca="1" si="66"/>
        <v/>
      </c>
      <c r="I705" s="31" t="str">
        <f ca="1">IF(C705&lt;&gt;"",IF(D705+$I$9-E705-F705&gt;=0,IF(ISERROR(INDEX($C$3:$C$6,MATCH(C705,$C$3:$C$6,0)+1,0)),Variables!$B$1,INDEX($C$3:$C$6,MATCH(C705,$C$3:$C$6,0)+1,0)),""),"")</f>
        <v/>
      </c>
      <c r="J705" s="29" t="str">
        <f ca="1">IF(ISERROR(VLOOKUP(I705,$C$3:$L$6,5,0)),"",IF(OR(VLOOKUP(I705,$C$3:$L$6,5,0)=Variables!$B$5,B705&gt;VLOOKUP(I705,$C$3:$L$6,8,0)),IF(VLOOKUP(I705,$C$3:$L$6,5,0)=Variables!$B$5,((YEAR(B705)-YEAR($B$12))*12+MONTH(B705)-MONTH($B$12)),((YEAR(B705)-YEAR(VLOOKUP(I705,$C$3:$L$6,8,0)))*12+MONTH(B705)-MONTH(VLOOKUP(I705,$C$3:$L$6,8,0))))*(VLOOKUP(I705,$C$3:$L$6,10,0)*VLOOKUP(I705,$C$3:$L$6,6,0)/12),0))</f>
        <v/>
      </c>
      <c r="K705" s="29" t="str">
        <f ca="1">IF(C705&lt;&gt;"",IF(I705&lt;&gt;"",IF(ISERROR(VLOOKUP(I705,$C$3:$L$6,10,0)),"",VLOOKUP(I705,$C$3:$L$6,10,0)+J705+IF(OR(VLOOKUP(I705,$C$3:$L$6,5,0)=Variables!$B$5,B705&gt;VLOOKUP(I705,$C$3:$L$6,8,0)),IF(VLOOKUP(I705,$C$3:$L$6,5,0)=Variables!$B$5,((YEAR(B705)-YEAR($B$12))*12+MONTH(B705)-MONTH($B$12)),((YEAR(B705)-YEAR(VLOOKUP(I705,$C$3:$L$6,8,0)))*12+MONTH(B705)-MONTH(VLOOKUP(I705,$C$3:$L$6,8,0))))*VLOOKUP(I705,$C$3:$L$6,7,0),0)),""),"")</f>
        <v/>
      </c>
      <c r="L705" s="29" t="str">
        <f t="shared" ca="1" si="64"/>
        <v/>
      </c>
      <c r="M705" s="10"/>
      <c r="N705" s="10"/>
    </row>
    <row r="706" spans="1:14" x14ac:dyDescent="0.25">
      <c r="A706" s="10"/>
      <c r="B706" s="14" t="str">
        <f t="shared" ca="1" si="65"/>
        <v/>
      </c>
      <c r="C706" s="14" t="str">
        <f ca="1">IF(I705&lt;&gt;Variables!$B$1,IF(H705&lt;&gt;0,C705,I705),"")</f>
        <v/>
      </c>
      <c r="D706" s="29" t="str">
        <f t="shared" ca="1" si="62"/>
        <v/>
      </c>
      <c r="E706" s="29" t="str">
        <f t="shared" ca="1" si="63"/>
        <v/>
      </c>
      <c r="F706" s="29" t="str">
        <f ca="1">IF(C706&lt;&gt;"",IF(OR(VLOOKUP(C706,$C$3:$L$6,5,0)=Variables!$B$5,B706&gt;VLOOKUP(C706,$C$3:$L$6,8,0)),-D706*VLOOKUP(C706,$C$3:$L$6,6,0)/12,0),"")</f>
        <v/>
      </c>
      <c r="G706" s="29" t="str">
        <f ca="1">IF(I706&lt;&gt;Variables!$B$1,IF(C706&lt;&gt;"",$I$9-E706-F706,""),-D706)</f>
        <v/>
      </c>
      <c r="H706" s="29" t="str">
        <f t="shared" ca="1" si="66"/>
        <v/>
      </c>
      <c r="I706" s="31" t="str">
        <f ca="1">IF(C706&lt;&gt;"",IF(D706+$I$9-E706-F706&gt;=0,IF(ISERROR(INDEX($C$3:$C$6,MATCH(C706,$C$3:$C$6,0)+1,0)),Variables!$B$1,INDEX($C$3:$C$6,MATCH(C706,$C$3:$C$6,0)+1,0)),""),"")</f>
        <v/>
      </c>
      <c r="J706" s="29" t="str">
        <f ca="1">IF(ISERROR(VLOOKUP(I706,$C$3:$L$6,5,0)),"",IF(OR(VLOOKUP(I706,$C$3:$L$6,5,0)=Variables!$B$5,B706&gt;VLOOKUP(I706,$C$3:$L$6,8,0)),IF(VLOOKUP(I706,$C$3:$L$6,5,0)=Variables!$B$5,((YEAR(B706)-YEAR($B$12))*12+MONTH(B706)-MONTH($B$12)),((YEAR(B706)-YEAR(VLOOKUP(I706,$C$3:$L$6,8,0)))*12+MONTH(B706)-MONTH(VLOOKUP(I706,$C$3:$L$6,8,0))))*(VLOOKUP(I706,$C$3:$L$6,10,0)*VLOOKUP(I706,$C$3:$L$6,6,0)/12),0))</f>
        <v/>
      </c>
      <c r="K706" s="29" t="str">
        <f ca="1">IF(C706&lt;&gt;"",IF(I706&lt;&gt;"",IF(ISERROR(VLOOKUP(I706,$C$3:$L$6,10,0)),"",VLOOKUP(I706,$C$3:$L$6,10,0)+J706+IF(OR(VLOOKUP(I706,$C$3:$L$6,5,0)=Variables!$B$5,B706&gt;VLOOKUP(I706,$C$3:$L$6,8,0)),IF(VLOOKUP(I706,$C$3:$L$6,5,0)=Variables!$B$5,((YEAR(B706)-YEAR($B$12))*12+MONTH(B706)-MONTH($B$12)),((YEAR(B706)-YEAR(VLOOKUP(I706,$C$3:$L$6,8,0)))*12+MONTH(B706)-MONTH(VLOOKUP(I706,$C$3:$L$6,8,0))))*VLOOKUP(I706,$C$3:$L$6,7,0),0)),""),"")</f>
        <v/>
      </c>
      <c r="L706" s="29" t="str">
        <f t="shared" ca="1" si="64"/>
        <v/>
      </c>
      <c r="M706" s="10"/>
      <c r="N706" s="10"/>
    </row>
    <row r="707" spans="1:14" x14ac:dyDescent="0.25">
      <c r="A707" s="10"/>
      <c r="B707" s="14" t="str">
        <f t="shared" ca="1" si="65"/>
        <v/>
      </c>
      <c r="C707" s="14" t="str">
        <f ca="1">IF(I706&lt;&gt;Variables!$B$1,IF(H706&lt;&gt;0,C706,I706),"")</f>
        <v/>
      </c>
      <c r="D707" s="29" t="str">
        <f t="shared" ca="1" si="62"/>
        <v/>
      </c>
      <c r="E707" s="29" t="str">
        <f t="shared" ca="1" si="63"/>
        <v/>
      </c>
      <c r="F707" s="29" t="str">
        <f ca="1">IF(C707&lt;&gt;"",IF(OR(VLOOKUP(C707,$C$3:$L$6,5,0)=Variables!$B$5,B707&gt;VLOOKUP(C707,$C$3:$L$6,8,0)),-D707*VLOOKUP(C707,$C$3:$L$6,6,0)/12,0),"")</f>
        <v/>
      </c>
      <c r="G707" s="29" t="str">
        <f ca="1">IF(I707&lt;&gt;Variables!$B$1,IF(C707&lt;&gt;"",$I$9-E707-F707,""),-D707)</f>
        <v/>
      </c>
      <c r="H707" s="29" t="str">
        <f t="shared" ca="1" si="66"/>
        <v/>
      </c>
      <c r="I707" s="31" t="str">
        <f ca="1">IF(C707&lt;&gt;"",IF(D707+$I$9-E707-F707&gt;=0,IF(ISERROR(INDEX($C$3:$C$6,MATCH(C707,$C$3:$C$6,0)+1,0)),Variables!$B$1,INDEX($C$3:$C$6,MATCH(C707,$C$3:$C$6,0)+1,0)),""),"")</f>
        <v/>
      </c>
      <c r="J707" s="29" t="str">
        <f ca="1">IF(ISERROR(VLOOKUP(I707,$C$3:$L$6,5,0)),"",IF(OR(VLOOKUP(I707,$C$3:$L$6,5,0)=Variables!$B$5,B707&gt;VLOOKUP(I707,$C$3:$L$6,8,0)),IF(VLOOKUP(I707,$C$3:$L$6,5,0)=Variables!$B$5,((YEAR(B707)-YEAR($B$12))*12+MONTH(B707)-MONTH($B$12)),((YEAR(B707)-YEAR(VLOOKUP(I707,$C$3:$L$6,8,0)))*12+MONTH(B707)-MONTH(VLOOKUP(I707,$C$3:$L$6,8,0))))*(VLOOKUP(I707,$C$3:$L$6,10,0)*VLOOKUP(I707,$C$3:$L$6,6,0)/12),0))</f>
        <v/>
      </c>
      <c r="K707" s="29" t="str">
        <f ca="1">IF(C707&lt;&gt;"",IF(I707&lt;&gt;"",IF(ISERROR(VLOOKUP(I707,$C$3:$L$6,10,0)),"",VLOOKUP(I707,$C$3:$L$6,10,0)+J707+IF(OR(VLOOKUP(I707,$C$3:$L$6,5,0)=Variables!$B$5,B707&gt;VLOOKUP(I707,$C$3:$L$6,8,0)),IF(VLOOKUP(I707,$C$3:$L$6,5,0)=Variables!$B$5,((YEAR(B707)-YEAR($B$12))*12+MONTH(B707)-MONTH($B$12)),((YEAR(B707)-YEAR(VLOOKUP(I707,$C$3:$L$6,8,0)))*12+MONTH(B707)-MONTH(VLOOKUP(I707,$C$3:$L$6,8,0))))*VLOOKUP(I707,$C$3:$L$6,7,0),0)),""),"")</f>
        <v/>
      </c>
      <c r="L707" s="29" t="str">
        <f t="shared" ca="1" si="64"/>
        <v/>
      </c>
      <c r="M707" s="10"/>
      <c r="N707" s="10"/>
    </row>
    <row r="708" spans="1:14" x14ac:dyDescent="0.25">
      <c r="A708" s="10"/>
      <c r="B708" s="14" t="str">
        <f t="shared" ca="1" si="65"/>
        <v/>
      </c>
      <c r="C708" s="14" t="str">
        <f ca="1">IF(I707&lt;&gt;Variables!$B$1,IF(H707&lt;&gt;0,C707,I707),"")</f>
        <v/>
      </c>
      <c r="D708" s="29" t="str">
        <f t="shared" ca="1" si="62"/>
        <v/>
      </c>
      <c r="E708" s="29" t="str">
        <f t="shared" ca="1" si="63"/>
        <v/>
      </c>
      <c r="F708" s="29" t="str">
        <f ca="1">IF(C708&lt;&gt;"",IF(OR(VLOOKUP(C708,$C$3:$L$6,5,0)=Variables!$B$5,B708&gt;VLOOKUP(C708,$C$3:$L$6,8,0)),-D708*VLOOKUP(C708,$C$3:$L$6,6,0)/12,0),"")</f>
        <v/>
      </c>
      <c r="G708" s="29" t="str">
        <f ca="1">IF(I708&lt;&gt;Variables!$B$1,IF(C708&lt;&gt;"",$I$9-E708-F708,""),-D708)</f>
        <v/>
      </c>
      <c r="H708" s="29" t="str">
        <f t="shared" ca="1" si="66"/>
        <v/>
      </c>
      <c r="I708" s="31" t="str">
        <f ca="1">IF(C708&lt;&gt;"",IF(D708+$I$9-E708-F708&gt;=0,IF(ISERROR(INDEX($C$3:$C$6,MATCH(C708,$C$3:$C$6,0)+1,0)),Variables!$B$1,INDEX($C$3:$C$6,MATCH(C708,$C$3:$C$6,0)+1,0)),""),"")</f>
        <v/>
      </c>
      <c r="J708" s="29" t="str">
        <f ca="1">IF(ISERROR(VLOOKUP(I708,$C$3:$L$6,5,0)),"",IF(OR(VLOOKUP(I708,$C$3:$L$6,5,0)=Variables!$B$5,B708&gt;VLOOKUP(I708,$C$3:$L$6,8,0)),IF(VLOOKUP(I708,$C$3:$L$6,5,0)=Variables!$B$5,((YEAR(B708)-YEAR($B$12))*12+MONTH(B708)-MONTH($B$12)),((YEAR(B708)-YEAR(VLOOKUP(I708,$C$3:$L$6,8,0)))*12+MONTH(B708)-MONTH(VLOOKUP(I708,$C$3:$L$6,8,0))))*(VLOOKUP(I708,$C$3:$L$6,10,0)*VLOOKUP(I708,$C$3:$L$6,6,0)/12),0))</f>
        <v/>
      </c>
      <c r="K708" s="29" t="str">
        <f ca="1">IF(C708&lt;&gt;"",IF(I708&lt;&gt;"",IF(ISERROR(VLOOKUP(I708,$C$3:$L$6,10,0)),"",VLOOKUP(I708,$C$3:$L$6,10,0)+J708+IF(OR(VLOOKUP(I708,$C$3:$L$6,5,0)=Variables!$B$5,B708&gt;VLOOKUP(I708,$C$3:$L$6,8,0)),IF(VLOOKUP(I708,$C$3:$L$6,5,0)=Variables!$B$5,((YEAR(B708)-YEAR($B$12))*12+MONTH(B708)-MONTH($B$12)),((YEAR(B708)-YEAR(VLOOKUP(I708,$C$3:$L$6,8,0)))*12+MONTH(B708)-MONTH(VLOOKUP(I708,$C$3:$L$6,8,0))))*VLOOKUP(I708,$C$3:$L$6,7,0),0)),""),"")</f>
        <v/>
      </c>
      <c r="L708" s="29" t="str">
        <f t="shared" ca="1" si="64"/>
        <v/>
      </c>
      <c r="M708" s="10"/>
      <c r="N708" s="10"/>
    </row>
    <row r="709" spans="1:14" x14ac:dyDescent="0.25">
      <c r="A709" s="10"/>
      <c r="B709" s="14" t="str">
        <f t="shared" ca="1" si="65"/>
        <v/>
      </c>
      <c r="C709" s="14" t="str">
        <f ca="1">IF(I708&lt;&gt;Variables!$B$1,IF(H708&lt;&gt;0,C708,I708),"")</f>
        <v/>
      </c>
      <c r="D709" s="29" t="str">
        <f t="shared" ca="1" si="62"/>
        <v/>
      </c>
      <c r="E709" s="29" t="str">
        <f t="shared" ca="1" si="63"/>
        <v/>
      </c>
      <c r="F709" s="29" t="str">
        <f ca="1">IF(C709&lt;&gt;"",IF(OR(VLOOKUP(C709,$C$3:$L$6,5,0)=Variables!$B$5,B709&gt;VLOOKUP(C709,$C$3:$L$6,8,0)),-D709*VLOOKUP(C709,$C$3:$L$6,6,0)/12,0),"")</f>
        <v/>
      </c>
      <c r="G709" s="29" t="str">
        <f ca="1">IF(I709&lt;&gt;Variables!$B$1,IF(C709&lt;&gt;"",$I$9-E709-F709,""),-D709)</f>
        <v/>
      </c>
      <c r="H709" s="29" t="str">
        <f t="shared" ca="1" si="66"/>
        <v/>
      </c>
      <c r="I709" s="31" t="str">
        <f ca="1">IF(C709&lt;&gt;"",IF(D709+$I$9-E709-F709&gt;=0,IF(ISERROR(INDEX($C$3:$C$6,MATCH(C709,$C$3:$C$6,0)+1,0)),Variables!$B$1,INDEX($C$3:$C$6,MATCH(C709,$C$3:$C$6,0)+1,0)),""),"")</f>
        <v/>
      </c>
      <c r="J709" s="29" t="str">
        <f ca="1">IF(ISERROR(VLOOKUP(I709,$C$3:$L$6,5,0)),"",IF(OR(VLOOKUP(I709,$C$3:$L$6,5,0)=Variables!$B$5,B709&gt;VLOOKUP(I709,$C$3:$L$6,8,0)),IF(VLOOKUP(I709,$C$3:$L$6,5,0)=Variables!$B$5,((YEAR(B709)-YEAR($B$12))*12+MONTH(B709)-MONTH($B$12)),((YEAR(B709)-YEAR(VLOOKUP(I709,$C$3:$L$6,8,0)))*12+MONTH(B709)-MONTH(VLOOKUP(I709,$C$3:$L$6,8,0))))*(VLOOKUP(I709,$C$3:$L$6,10,0)*VLOOKUP(I709,$C$3:$L$6,6,0)/12),0))</f>
        <v/>
      </c>
      <c r="K709" s="29" t="str">
        <f ca="1">IF(C709&lt;&gt;"",IF(I709&lt;&gt;"",IF(ISERROR(VLOOKUP(I709,$C$3:$L$6,10,0)),"",VLOOKUP(I709,$C$3:$L$6,10,0)+J709+IF(OR(VLOOKUP(I709,$C$3:$L$6,5,0)=Variables!$B$5,B709&gt;VLOOKUP(I709,$C$3:$L$6,8,0)),IF(VLOOKUP(I709,$C$3:$L$6,5,0)=Variables!$B$5,((YEAR(B709)-YEAR($B$12))*12+MONTH(B709)-MONTH($B$12)),((YEAR(B709)-YEAR(VLOOKUP(I709,$C$3:$L$6,8,0)))*12+MONTH(B709)-MONTH(VLOOKUP(I709,$C$3:$L$6,8,0))))*VLOOKUP(I709,$C$3:$L$6,7,0),0)),""),"")</f>
        <v/>
      </c>
      <c r="L709" s="29" t="str">
        <f t="shared" ca="1" si="64"/>
        <v/>
      </c>
      <c r="M709" s="10"/>
      <c r="N709" s="10"/>
    </row>
    <row r="710" spans="1:14" x14ac:dyDescent="0.25">
      <c r="A710" s="10"/>
      <c r="B710" s="14" t="str">
        <f t="shared" ca="1" si="65"/>
        <v/>
      </c>
      <c r="C710" s="14" t="str">
        <f ca="1">IF(I709&lt;&gt;Variables!$B$1,IF(H709&lt;&gt;0,C709,I709),"")</f>
        <v/>
      </c>
      <c r="D710" s="29" t="str">
        <f t="shared" ca="1" si="62"/>
        <v/>
      </c>
      <c r="E710" s="29" t="str">
        <f t="shared" ca="1" si="63"/>
        <v/>
      </c>
      <c r="F710" s="29" t="str">
        <f ca="1">IF(C710&lt;&gt;"",IF(OR(VLOOKUP(C710,$C$3:$L$6,5,0)=Variables!$B$5,B710&gt;VLOOKUP(C710,$C$3:$L$6,8,0)),-D710*VLOOKUP(C710,$C$3:$L$6,6,0)/12,0),"")</f>
        <v/>
      </c>
      <c r="G710" s="29" t="str">
        <f ca="1">IF(I710&lt;&gt;Variables!$B$1,IF(C710&lt;&gt;"",$I$9-E710-F710,""),-D710)</f>
        <v/>
      </c>
      <c r="H710" s="29" t="str">
        <f t="shared" ca="1" si="66"/>
        <v/>
      </c>
      <c r="I710" s="31" t="str">
        <f ca="1">IF(C710&lt;&gt;"",IF(D710+$I$9-E710-F710&gt;=0,IF(ISERROR(INDEX($C$3:$C$6,MATCH(C710,$C$3:$C$6,0)+1,0)),Variables!$B$1,INDEX($C$3:$C$6,MATCH(C710,$C$3:$C$6,0)+1,0)),""),"")</f>
        <v/>
      </c>
      <c r="J710" s="29" t="str">
        <f ca="1">IF(ISERROR(VLOOKUP(I710,$C$3:$L$6,5,0)),"",IF(OR(VLOOKUP(I710,$C$3:$L$6,5,0)=Variables!$B$5,B710&gt;VLOOKUP(I710,$C$3:$L$6,8,0)),IF(VLOOKUP(I710,$C$3:$L$6,5,0)=Variables!$B$5,((YEAR(B710)-YEAR($B$12))*12+MONTH(B710)-MONTH($B$12)),((YEAR(B710)-YEAR(VLOOKUP(I710,$C$3:$L$6,8,0)))*12+MONTH(B710)-MONTH(VLOOKUP(I710,$C$3:$L$6,8,0))))*(VLOOKUP(I710,$C$3:$L$6,10,0)*VLOOKUP(I710,$C$3:$L$6,6,0)/12),0))</f>
        <v/>
      </c>
      <c r="K710" s="29" t="str">
        <f ca="1">IF(C710&lt;&gt;"",IF(I710&lt;&gt;"",IF(ISERROR(VLOOKUP(I710,$C$3:$L$6,10,0)),"",VLOOKUP(I710,$C$3:$L$6,10,0)+J710+IF(OR(VLOOKUP(I710,$C$3:$L$6,5,0)=Variables!$B$5,B710&gt;VLOOKUP(I710,$C$3:$L$6,8,0)),IF(VLOOKUP(I710,$C$3:$L$6,5,0)=Variables!$B$5,((YEAR(B710)-YEAR($B$12))*12+MONTH(B710)-MONTH($B$12)),((YEAR(B710)-YEAR(VLOOKUP(I710,$C$3:$L$6,8,0)))*12+MONTH(B710)-MONTH(VLOOKUP(I710,$C$3:$L$6,8,0))))*VLOOKUP(I710,$C$3:$L$6,7,0),0)),""),"")</f>
        <v/>
      </c>
      <c r="L710" s="29" t="str">
        <f t="shared" ca="1" si="64"/>
        <v/>
      </c>
      <c r="M710" s="10"/>
      <c r="N710" s="10"/>
    </row>
    <row r="711" spans="1:14" x14ac:dyDescent="0.25">
      <c r="A711" s="10"/>
      <c r="B711" s="14" t="str">
        <f t="shared" ca="1" si="65"/>
        <v/>
      </c>
      <c r="C711" s="14" t="str">
        <f ca="1">IF(I710&lt;&gt;Variables!$B$1,IF(H710&lt;&gt;0,C710,I710),"")</f>
        <v/>
      </c>
      <c r="D711" s="29" t="str">
        <f t="shared" ca="1" si="62"/>
        <v/>
      </c>
      <c r="E711" s="29" t="str">
        <f t="shared" ca="1" si="63"/>
        <v/>
      </c>
      <c r="F711" s="29" t="str">
        <f ca="1">IF(C711&lt;&gt;"",IF(OR(VLOOKUP(C711,$C$3:$L$6,5,0)=Variables!$B$5,B711&gt;VLOOKUP(C711,$C$3:$L$6,8,0)),-D711*VLOOKUP(C711,$C$3:$L$6,6,0)/12,0),"")</f>
        <v/>
      </c>
      <c r="G711" s="29" t="str">
        <f ca="1">IF(I711&lt;&gt;Variables!$B$1,IF(C711&lt;&gt;"",$I$9-E711-F711,""),-D711)</f>
        <v/>
      </c>
      <c r="H711" s="29" t="str">
        <f t="shared" ca="1" si="66"/>
        <v/>
      </c>
      <c r="I711" s="31" t="str">
        <f ca="1">IF(C711&lt;&gt;"",IF(D711+$I$9-E711-F711&gt;=0,IF(ISERROR(INDEX($C$3:$C$6,MATCH(C711,$C$3:$C$6,0)+1,0)),Variables!$B$1,INDEX($C$3:$C$6,MATCH(C711,$C$3:$C$6,0)+1,0)),""),"")</f>
        <v/>
      </c>
      <c r="J711" s="29" t="str">
        <f ca="1">IF(ISERROR(VLOOKUP(I711,$C$3:$L$6,5,0)),"",IF(OR(VLOOKUP(I711,$C$3:$L$6,5,0)=Variables!$B$5,B711&gt;VLOOKUP(I711,$C$3:$L$6,8,0)),IF(VLOOKUP(I711,$C$3:$L$6,5,0)=Variables!$B$5,((YEAR(B711)-YEAR($B$12))*12+MONTH(B711)-MONTH($B$12)),((YEAR(B711)-YEAR(VLOOKUP(I711,$C$3:$L$6,8,0)))*12+MONTH(B711)-MONTH(VLOOKUP(I711,$C$3:$L$6,8,0))))*(VLOOKUP(I711,$C$3:$L$6,10,0)*VLOOKUP(I711,$C$3:$L$6,6,0)/12),0))</f>
        <v/>
      </c>
      <c r="K711" s="29" t="str">
        <f ca="1">IF(C711&lt;&gt;"",IF(I711&lt;&gt;"",IF(ISERROR(VLOOKUP(I711,$C$3:$L$6,10,0)),"",VLOOKUP(I711,$C$3:$L$6,10,0)+J711+IF(OR(VLOOKUP(I711,$C$3:$L$6,5,0)=Variables!$B$5,B711&gt;VLOOKUP(I711,$C$3:$L$6,8,0)),IF(VLOOKUP(I711,$C$3:$L$6,5,0)=Variables!$B$5,((YEAR(B711)-YEAR($B$12))*12+MONTH(B711)-MONTH($B$12)),((YEAR(B711)-YEAR(VLOOKUP(I711,$C$3:$L$6,8,0)))*12+MONTH(B711)-MONTH(VLOOKUP(I711,$C$3:$L$6,8,0))))*VLOOKUP(I711,$C$3:$L$6,7,0),0)),""),"")</f>
        <v/>
      </c>
      <c r="L711" s="29" t="str">
        <f t="shared" ca="1" si="64"/>
        <v/>
      </c>
      <c r="M711" s="10"/>
      <c r="N711" s="10"/>
    </row>
    <row r="712" spans="1:14" x14ac:dyDescent="0.25">
      <c r="A712" s="10"/>
      <c r="B712" s="14" t="str">
        <f t="shared" ca="1" si="65"/>
        <v/>
      </c>
      <c r="C712" s="14" t="str">
        <f ca="1">IF(I711&lt;&gt;Variables!$B$1,IF(H711&lt;&gt;0,C711,I711),"")</f>
        <v/>
      </c>
      <c r="D712" s="29" t="str">
        <f t="shared" ca="1" si="62"/>
        <v/>
      </c>
      <c r="E712" s="29" t="str">
        <f t="shared" ca="1" si="63"/>
        <v/>
      </c>
      <c r="F712" s="29" t="str">
        <f ca="1">IF(C712&lt;&gt;"",IF(OR(VLOOKUP(C712,$C$3:$L$6,5,0)=Variables!$B$5,B712&gt;VLOOKUP(C712,$C$3:$L$6,8,0)),-D712*VLOOKUP(C712,$C$3:$L$6,6,0)/12,0),"")</f>
        <v/>
      </c>
      <c r="G712" s="29" t="str">
        <f ca="1">IF(I712&lt;&gt;Variables!$B$1,IF(C712&lt;&gt;"",$I$9-E712-F712,""),-D712)</f>
        <v/>
      </c>
      <c r="H712" s="29" t="str">
        <f t="shared" ca="1" si="66"/>
        <v/>
      </c>
      <c r="I712" s="31" t="str">
        <f ca="1">IF(C712&lt;&gt;"",IF(D712+$I$9-E712-F712&gt;=0,IF(ISERROR(INDEX($C$3:$C$6,MATCH(C712,$C$3:$C$6,0)+1,0)),Variables!$B$1,INDEX($C$3:$C$6,MATCH(C712,$C$3:$C$6,0)+1,0)),""),"")</f>
        <v/>
      </c>
      <c r="J712" s="29" t="str">
        <f ca="1">IF(ISERROR(VLOOKUP(I712,$C$3:$L$6,5,0)),"",IF(OR(VLOOKUP(I712,$C$3:$L$6,5,0)=Variables!$B$5,B712&gt;VLOOKUP(I712,$C$3:$L$6,8,0)),IF(VLOOKUP(I712,$C$3:$L$6,5,0)=Variables!$B$5,((YEAR(B712)-YEAR($B$12))*12+MONTH(B712)-MONTH($B$12)),((YEAR(B712)-YEAR(VLOOKUP(I712,$C$3:$L$6,8,0)))*12+MONTH(B712)-MONTH(VLOOKUP(I712,$C$3:$L$6,8,0))))*(VLOOKUP(I712,$C$3:$L$6,10,0)*VLOOKUP(I712,$C$3:$L$6,6,0)/12),0))</f>
        <v/>
      </c>
      <c r="K712" s="29" t="str">
        <f ca="1">IF(C712&lt;&gt;"",IF(I712&lt;&gt;"",IF(ISERROR(VLOOKUP(I712,$C$3:$L$6,10,0)),"",VLOOKUP(I712,$C$3:$L$6,10,0)+J712+IF(OR(VLOOKUP(I712,$C$3:$L$6,5,0)=Variables!$B$5,B712&gt;VLOOKUP(I712,$C$3:$L$6,8,0)),IF(VLOOKUP(I712,$C$3:$L$6,5,0)=Variables!$B$5,((YEAR(B712)-YEAR($B$12))*12+MONTH(B712)-MONTH($B$12)),((YEAR(B712)-YEAR(VLOOKUP(I712,$C$3:$L$6,8,0)))*12+MONTH(B712)-MONTH(VLOOKUP(I712,$C$3:$L$6,8,0))))*VLOOKUP(I712,$C$3:$L$6,7,0),0)),""),"")</f>
        <v/>
      </c>
      <c r="L712" s="29" t="str">
        <f t="shared" ca="1" si="64"/>
        <v/>
      </c>
      <c r="M712" s="10"/>
      <c r="N712" s="10"/>
    </row>
    <row r="713" spans="1:14" x14ac:dyDescent="0.25">
      <c r="A713" s="10"/>
      <c r="B713" s="14" t="str">
        <f t="shared" ca="1" si="65"/>
        <v/>
      </c>
      <c r="C713" s="14" t="str">
        <f ca="1">IF(I712&lt;&gt;Variables!$B$1,IF(H712&lt;&gt;0,C712,I712),"")</f>
        <v/>
      </c>
      <c r="D713" s="29" t="str">
        <f t="shared" ca="1" si="62"/>
        <v/>
      </c>
      <c r="E713" s="29" t="str">
        <f t="shared" ca="1" si="63"/>
        <v/>
      </c>
      <c r="F713" s="29" t="str">
        <f ca="1">IF(C713&lt;&gt;"",IF(OR(VLOOKUP(C713,$C$3:$L$6,5,0)=Variables!$B$5,B713&gt;VLOOKUP(C713,$C$3:$L$6,8,0)),-D713*VLOOKUP(C713,$C$3:$L$6,6,0)/12,0),"")</f>
        <v/>
      </c>
      <c r="G713" s="29" t="str">
        <f ca="1">IF(I713&lt;&gt;Variables!$B$1,IF(C713&lt;&gt;"",$I$9-E713-F713,""),-D713)</f>
        <v/>
      </c>
      <c r="H713" s="29" t="str">
        <f t="shared" ca="1" si="66"/>
        <v/>
      </c>
      <c r="I713" s="31" t="str">
        <f ca="1">IF(C713&lt;&gt;"",IF(D713+$I$9-E713-F713&gt;=0,IF(ISERROR(INDEX($C$3:$C$6,MATCH(C713,$C$3:$C$6,0)+1,0)),Variables!$B$1,INDEX($C$3:$C$6,MATCH(C713,$C$3:$C$6,0)+1,0)),""),"")</f>
        <v/>
      </c>
      <c r="J713" s="29" t="str">
        <f ca="1">IF(ISERROR(VLOOKUP(I713,$C$3:$L$6,5,0)),"",IF(OR(VLOOKUP(I713,$C$3:$L$6,5,0)=Variables!$B$5,B713&gt;VLOOKUP(I713,$C$3:$L$6,8,0)),IF(VLOOKUP(I713,$C$3:$L$6,5,0)=Variables!$B$5,((YEAR(B713)-YEAR($B$12))*12+MONTH(B713)-MONTH($B$12)),((YEAR(B713)-YEAR(VLOOKUP(I713,$C$3:$L$6,8,0)))*12+MONTH(B713)-MONTH(VLOOKUP(I713,$C$3:$L$6,8,0))))*(VLOOKUP(I713,$C$3:$L$6,10,0)*VLOOKUP(I713,$C$3:$L$6,6,0)/12),0))</f>
        <v/>
      </c>
      <c r="K713" s="29" t="str">
        <f ca="1">IF(C713&lt;&gt;"",IF(I713&lt;&gt;"",IF(ISERROR(VLOOKUP(I713,$C$3:$L$6,10,0)),"",VLOOKUP(I713,$C$3:$L$6,10,0)+J713+IF(OR(VLOOKUP(I713,$C$3:$L$6,5,0)=Variables!$B$5,B713&gt;VLOOKUP(I713,$C$3:$L$6,8,0)),IF(VLOOKUP(I713,$C$3:$L$6,5,0)=Variables!$B$5,((YEAR(B713)-YEAR($B$12))*12+MONTH(B713)-MONTH($B$12)),((YEAR(B713)-YEAR(VLOOKUP(I713,$C$3:$L$6,8,0)))*12+MONTH(B713)-MONTH(VLOOKUP(I713,$C$3:$L$6,8,0))))*VLOOKUP(I713,$C$3:$L$6,7,0),0)),""),"")</f>
        <v/>
      </c>
      <c r="L713" s="29" t="str">
        <f t="shared" ca="1" si="64"/>
        <v/>
      </c>
      <c r="M713" s="10"/>
      <c r="N713" s="10"/>
    </row>
    <row r="714" spans="1:14" x14ac:dyDescent="0.25">
      <c r="A714" s="10"/>
      <c r="B714" s="14" t="str">
        <f t="shared" ca="1" si="65"/>
        <v/>
      </c>
      <c r="C714" s="14" t="str">
        <f ca="1">IF(I713&lt;&gt;Variables!$B$1,IF(H713&lt;&gt;0,C713,I713),"")</f>
        <v/>
      </c>
      <c r="D714" s="29" t="str">
        <f t="shared" ca="1" si="62"/>
        <v/>
      </c>
      <c r="E714" s="29" t="str">
        <f t="shared" ca="1" si="63"/>
        <v/>
      </c>
      <c r="F714" s="29" t="str">
        <f ca="1">IF(C714&lt;&gt;"",IF(OR(VLOOKUP(C714,$C$3:$L$6,5,0)=Variables!$B$5,B714&gt;VLOOKUP(C714,$C$3:$L$6,8,0)),-D714*VLOOKUP(C714,$C$3:$L$6,6,0)/12,0),"")</f>
        <v/>
      </c>
      <c r="G714" s="29" t="str">
        <f ca="1">IF(I714&lt;&gt;Variables!$B$1,IF(C714&lt;&gt;"",$I$9-E714-F714,""),-D714)</f>
        <v/>
      </c>
      <c r="H714" s="29" t="str">
        <f t="shared" ca="1" si="66"/>
        <v/>
      </c>
      <c r="I714" s="31" t="str">
        <f ca="1">IF(C714&lt;&gt;"",IF(D714+$I$9-E714-F714&gt;=0,IF(ISERROR(INDEX($C$3:$C$6,MATCH(C714,$C$3:$C$6,0)+1,0)),Variables!$B$1,INDEX($C$3:$C$6,MATCH(C714,$C$3:$C$6,0)+1,0)),""),"")</f>
        <v/>
      </c>
      <c r="J714" s="29" t="str">
        <f ca="1">IF(ISERROR(VLOOKUP(I714,$C$3:$L$6,5,0)),"",IF(OR(VLOOKUP(I714,$C$3:$L$6,5,0)=Variables!$B$5,B714&gt;VLOOKUP(I714,$C$3:$L$6,8,0)),IF(VLOOKUP(I714,$C$3:$L$6,5,0)=Variables!$B$5,((YEAR(B714)-YEAR($B$12))*12+MONTH(B714)-MONTH($B$12)),((YEAR(B714)-YEAR(VLOOKUP(I714,$C$3:$L$6,8,0)))*12+MONTH(B714)-MONTH(VLOOKUP(I714,$C$3:$L$6,8,0))))*(VLOOKUP(I714,$C$3:$L$6,10,0)*VLOOKUP(I714,$C$3:$L$6,6,0)/12),0))</f>
        <v/>
      </c>
      <c r="K714" s="29" t="str">
        <f ca="1">IF(C714&lt;&gt;"",IF(I714&lt;&gt;"",IF(ISERROR(VLOOKUP(I714,$C$3:$L$6,10,0)),"",VLOOKUP(I714,$C$3:$L$6,10,0)+J714+IF(OR(VLOOKUP(I714,$C$3:$L$6,5,0)=Variables!$B$5,B714&gt;VLOOKUP(I714,$C$3:$L$6,8,0)),IF(VLOOKUP(I714,$C$3:$L$6,5,0)=Variables!$B$5,((YEAR(B714)-YEAR($B$12))*12+MONTH(B714)-MONTH($B$12)),((YEAR(B714)-YEAR(VLOOKUP(I714,$C$3:$L$6,8,0)))*12+MONTH(B714)-MONTH(VLOOKUP(I714,$C$3:$L$6,8,0))))*VLOOKUP(I714,$C$3:$L$6,7,0),0)),""),"")</f>
        <v/>
      </c>
      <c r="L714" s="29" t="str">
        <f t="shared" ca="1" si="64"/>
        <v/>
      </c>
      <c r="M714" s="10"/>
      <c r="N714" s="10"/>
    </row>
    <row r="715" spans="1:14" x14ac:dyDescent="0.25">
      <c r="A715" s="10"/>
      <c r="B715" s="14" t="str">
        <f t="shared" ca="1" si="65"/>
        <v/>
      </c>
      <c r="C715" s="14" t="str">
        <f ca="1">IF(I714&lt;&gt;Variables!$B$1,IF(H714&lt;&gt;0,C714,I714),"")</f>
        <v/>
      </c>
      <c r="D715" s="29" t="str">
        <f t="shared" ca="1" si="62"/>
        <v/>
      </c>
      <c r="E715" s="29" t="str">
        <f t="shared" ca="1" si="63"/>
        <v/>
      </c>
      <c r="F715" s="29" t="str">
        <f ca="1">IF(C715&lt;&gt;"",IF(OR(VLOOKUP(C715,$C$3:$L$6,5,0)=Variables!$B$5,B715&gt;VLOOKUP(C715,$C$3:$L$6,8,0)),-D715*VLOOKUP(C715,$C$3:$L$6,6,0)/12,0),"")</f>
        <v/>
      </c>
      <c r="G715" s="29" t="str">
        <f ca="1">IF(I715&lt;&gt;Variables!$B$1,IF(C715&lt;&gt;"",$I$9-E715-F715,""),-D715)</f>
        <v/>
      </c>
      <c r="H715" s="29" t="str">
        <f t="shared" ca="1" si="66"/>
        <v/>
      </c>
      <c r="I715" s="31" t="str">
        <f ca="1">IF(C715&lt;&gt;"",IF(D715+$I$9-E715-F715&gt;=0,IF(ISERROR(INDEX($C$3:$C$6,MATCH(C715,$C$3:$C$6,0)+1,0)),Variables!$B$1,INDEX($C$3:$C$6,MATCH(C715,$C$3:$C$6,0)+1,0)),""),"")</f>
        <v/>
      </c>
      <c r="J715" s="29" t="str">
        <f ca="1">IF(ISERROR(VLOOKUP(I715,$C$3:$L$6,5,0)),"",IF(OR(VLOOKUP(I715,$C$3:$L$6,5,0)=Variables!$B$5,B715&gt;VLOOKUP(I715,$C$3:$L$6,8,0)),IF(VLOOKUP(I715,$C$3:$L$6,5,0)=Variables!$B$5,((YEAR(B715)-YEAR($B$12))*12+MONTH(B715)-MONTH($B$12)),((YEAR(B715)-YEAR(VLOOKUP(I715,$C$3:$L$6,8,0)))*12+MONTH(B715)-MONTH(VLOOKUP(I715,$C$3:$L$6,8,0))))*(VLOOKUP(I715,$C$3:$L$6,10,0)*VLOOKUP(I715,$C$3:$L$6,6,0)/12),0))</f>
        <v/>
      </c>
      <c r="K715" s="29" t="str">
        <f ca="1">IF(C715&lt;&gt;"",IF(I715&lt;&gt;"",IF(ISERROR(VLOOKUP(I715,$C$3:$L$6,10,0)),"",VLOOKUP(I715,$C$3:$L$6,10,0)+J715+IF(OR(VLOOKUP(I715,$C$3:$L$6,5,0)=Variables!$B$5,B715&gt;VLOOKUP(I715,$C$3:$L$6,8,0)),IF(VLOOKUP(I715,$C$3:$L$6,5,0)=Variables!$B$5,((YEAR(B715)-YEAR($B$12))*12+MONTH(B715)-MONTH($B$12)),((YEAR(B715)-YEAR(VLOOKUP(I715,$C$3:$L$6,8,0)))*12+MONTH(B715)-MONTH(VLOOKUP(I715,$C$3:$L$6,8,0))))*VLOOKUP(I715,$C$3:$L$6,7,0),0)),""),"")</f>
        <v/>
      </c>
      <c r="L715" s="29" t="str">
        <f t="shared" ca="1" si="64"/>
        <v/>
      </c>
      <c r="M715" s="10"/>
      <c r="N715" s="10"/>
    </row>
    <row r="716" spans="1:14" x14ac:dyDescent="0.25">
      <c r="A716" s="10"/>
      <c r="B716" s="14" t="str">
        <f t="shared" ca="1" si="65"/>
        <v/>
      </c>
      <c r="C716" s="14" t="str">
        <f ca="1">IF(I715&lt;&gt;Variables!$B$1,IF(H715&lt;&gt;0,C715,I715),"")</f>
        <v/>
      </c>
      <c r="D716" s="29" t="str">
        <f t="shared" ca="1" si="62"/>
        <v/>
      </c>
      <c r="E716" s="29" t="str">
        <f t="shared" ca="1" si="63"/>
        <v/>
      </c>
      <c r="F716" s="29" t="str">
        <f ca="1">IF(C716&lt;&gt;"",IF(OR(VLOOKUP(C716,$C$3:$L$6,5,0)=Variables!$B$5,B716&gt;VLOOKUP(C716,$C$3:$L$6,8,0)),-D716*VLOOKUP(C716,$C$3:$L$6,6,0)/12,0),"")</f>
        <v/>
      </c>
      <c r="G716" s="29" t="str">
        <f ca="1">IF(I716&lt;&gt;Variables!$B$1,IF(C716&lt;&gt;"",$I$9-E716-F716,""),-D716)</f>
        <v/>
      </c>
      <c r="H716" s="29" t="str">
        <f t="shared" ca="1" si="66"/>
        <v/>
      </c>
      <c r="I716" s="31" t="str">
        <f ca="1">IF(C716&lt;&gt;"",IF(D716+$I$9-E716-F716&gt;=0,IF(ISERROR(INDEX($C$3:$C$6,MATCH(C716,$C$3:$C$6,0)+1,0)),Variables!$B$1,INDEX($C$3:$C$6,MATCH(C716,$C$3:$C$6,0)+1,0)),""),"")</f>
        <v/>
      </c>
      <c r="J716" s="29" t="str">
        <f ca="1">IF(ISERROR(VLOOKUP(I716,$C$3:$L$6,5,0)),"",IF(OR(VLOOKUP(I716,$C$3:$L$6,5,0)=Variables!$B$5,B716&gt;VLOOKUP(I716,$C$3:$L$6,8,0)),IF(VLOOKUP(I716,$C$3:$L$6,5,0)=Variables!$B$5,((YEAR(B716)-YEAR($B$12))*12+MONTH(B716)-MONTH($B$12)),((YEAR(B716)-YEAR(VLOOKUP(I716,$C$3:$L$6,8,0)))*12+MONTH(B716)-MONTH(VLOOKUP(I716,$C$3:$L$6,8,0))))*(VLOOKUP(I716,$C$3:$L$6,10,0)*VLOOKUP(I716,$C$3:$L$6,6,0)/12),0))</f>
        <v/>
      </c>
      <c r="K716" s="29" t="str">
        <f ca="1">IF(C716&lt;&gt;"",IF(I716&lt;&gt;"",IF(ISERROR(VLOOKUP(I716,$C$3:$L$6,10,0)),"",VLOOKUP(I716,$C$3:$L$6,10,0)+J716+IF(OR(VLOOKUP(I716,$C$3:$L$6,5,0)=Variables!$B$5,B716&gt;VLOOKUP(I716,$C$3:$L$6,8,0)),IF(VLOOKUP(I716,$C$3:$L$6,5,0)=Variables!$B$5,((YEAR(B716)-YEAR($B$12))*12+MONTH(B716)-MONTH($B$12)),((YEAR(B716)-YEAR(VLOOKUP(I716,$C$3:$L$6,8,0)))*12+MONTH(B716)-MONTH(VLOOKUP(I716,$C$3:$L$6,8,0))))*VLOOKUP(I716,$C$3:$L$6,7,0),0)),""),"")</f>
        <v/>
      </c>
      <c r="L716" s="29" t="str">
        <f t="shared" ca="1" si="64"/>
        <v/>
      </c>
      <c r="M716" s="10"/>
      <c r="N716" s="10"/>
    </row>
    <row r="717" spans="1:14" x14ac:dyDescent="0.25">
      <c r="A717" s="10"/>
      <c r="B717" s="14" t="str">
        <f t="shared" ca="1" si="65"/>
        <v/>
      </c>
      <c r="C717" s="14" t="str">
        <f ca="1">IF(I716&lt;&gt;Variables!$B$1,IF(H716&lt;&gt;0,C716,I716),"")</f>
        <v/>
      </c>
      <c r="D717" s="29" t="str">
        <f t="shared" ca="1" si="62"/>
        <v/>
      </c>
      <c r="E717" s="29" t="str">
        <f t="shared" ca="1" si="63"/>
        <v/>
      </c>
      <c r="F717" s="29" t="str">
        <f ca="1">IF(C717&lt;&gt;"",IF(OR(VLOOKUP(C717,$C$3:$L$6,5,0)=Variables!$B$5,B717&gt;VLOOKUP(C717,$C$3:$L$6,8,0)),-D717*VLOOKUP(C717,$C$3:$L$6,6,0)/12,0),"")</f>
        <v/>
      </c>
      <c r="G717" s="29" t="str">
        <f ca="1">IF(I717&lt;&gt;Variables!$B$1,IF(C717&lt;&gt;"",$I$9-E717-F717,""),-D717)</f>
        <v/>
      </c>
      <c r="H717" s="29" t="str">
        <f t="shared" ca="1" si="66"/>
        <v/>
      </c>
      <c r="I717" s="31" t="str">
        <f ca="1">IF(C717&lt;&gt;"",IF(D717+$I$9-E717-F717&gt;=0,IF(ISERROR(INDEX($C$3:$C$6,MATCH(C717,$C$3:$C$6,0)+1,0)),Variables!$B$1,INDEX($C$3:$C$6,MATCH(C717,$C$3:$C$6,0)+1,0)),""),"")</f>
        <v/>
      </c>
      <c r="J717" s="29" t="str">
        <f ca="1">IF(ISERROR(VLOOKUP(I717,$C$3:$L$6,5,0)),"",IF(OR(VLOOKUP(I717,$C$3:$L$6,5,0)=Variables!$B$5,B717&gt;VLOOKUP(I717,$C$3:$L$6,8,0)),IF(VLOOKUP(I717,$C$3:$L$6,5,0)=Variables!$B$5,((YEAR(B717)-YEAR($B$12))*12+MONTH(B717)-MONTH($B$12)),((YEAR(B717)-YEAR(VLOOKUP(I717,$C$3:$L$6,8,0)))*12+MONTH(B717)-MONTH(VLOOKUP(I717,$C$3:$L$6,8,0))))*(VLOOKUP(I717,$C$3:$L$6,10,0)*VLOOKUP(I717,$C$3:$L$6,6,0)/12),0))</f>
        <v/>
      </c>
      <c r="K717" s="29" t="str">
        <f ca="1">IF(C717&lt;&gt;"",IF(I717&lt;&gt;"",IF(ISERROR(VLOOKUP(I717,$C$3:$L$6,10,0)),"",VLOOKUP(I717,$C$3:$L$6,10,0)+J717+IF(OR(VLOOKUP(I717,$C$3:$L$6,5,0)=Variables!$B$5,B717&gt;VLOOKUP(I717,$C$3:$L$6,8,0)),IF(VLOOKUP(I717,$C$3:$L$6,5,0)=Variables!$B$5,((YEAR(B717)-YEAR($B$12))*12+MONTH(B717)-MONTH($B$12)),((YEAR(B717)-YEAR(VLOOKUP(I717,$C$3:$L$6,8,0)))*12+MONTH(B717)-MONTH(VLOOKUP(I717,$C$3:$L$6,8,0))))*VLOOKUP(I717,$C$3:$L$6,7,0),0)),""),"")</f>
        <v/>
      </c>
      <c r="L717" s="29" t="str">
        <f t="shared" ca="1" si="64"/>
        <v/>
      </c>
      <c r="M717" s="10"/>
      <c r="N717" s="10"/>
    </row>
    <row r="718" spans="1:14" x14ac:dyDescent="0.25">
      <c r="A718" s="10"/>
      <c r="B718" s="14" t="str">
        <f t="shared" ca="1" si="65"/>
        <v/>
      </c>
      <c r="C718" s="14" t="str">
        <f ca="1">IF(I717&lt;&gt;Variables!$B$1,IF(H717&lt;&gt;0,C717,I717),"")</f>
        <v/>
      </c>
      <c r="D718" s="29" t="str">
        <f t="shared" ca="1" si="62"/>
        <v/>
      </c>
      <c r="E718" s="29" t="str">
        <f t="shared" ca="1" si="63"/>
        <v/>
      </c>
      <c r="F718" s="29" t="str">
        <f ca="1">IF(C718&lt;&gt;"",IF(OR(VLOOKUP(C718,$C$3:$L$6,5,0)=Variables!$B$5,B718&gt;VLOOKUP(C718,$C$3:$L$6,8,0)),-D718*VLOOKUP(C718,$C$3:$L$6,6,0)/12,0),"")</f>
        <v/>
      </c>
      <c r="G718" s="29" t="str">
        <f ca="1">IF(I718&lt;&gt;Variables!$B$1,IF(C718&lt;&gt;"",$I$9-E718-F718,""),-D718)</f>
        <v/>
      </c>
      <c r="H718" s="29" t="str">
        <f t="shared" ca="1" si="66"/>
        <v/>
      </c>
      <c r="I718" s="31" t="str">
        <f ca="1">IF(C718&lt;&gt;"",IF(D718+$I$9-E718-F718&gt;=0,IF(ISERROR(INDEX($C$3:$C$6,MATCH(C718,$C$3:$C$6,0)+1,0)),Variables!$B$1,INDEX($C$3:$C$6,MATCH(C718,$C$3:$C$6,0)+1,0)),""),"")</f>
        <v/>
      </c>
      <c r="J718" s="29" t="str">
        <f ca="1">IF(ISERROR(VLOOKUP(I718,$C$3:$L$6,5,0)),"",IF(OR(VLOOKUP(I718,$C$3:$L$6,5,0)=Variables!$B$5,B718&gt;VLOOKUP(I718,$C$3:$L$6,8,0)),IF(VLOOKUP(I718,$C$3:$L$6,5,0)=Variables!$B$5,((YEAR(B718)-YEAR($B$12))*12+MONTH(B718)-MONTH($B$12)),((YEAR(B718)-YEAR(VLOOKUP(I718,$C$3:$L$6,8,0)))*12+MONTH(B718)-MONTH(VLOOKUP(I718,$C$3:$L$6,8,0))))*(VLOOKUP(I718,$C$3:$L$6,10,0)*VLOOKUP(I718,$C$3:$L$6,6,0)/12),0))</f>
        <v/>
      </c>
      <c r="K718" s="29" t="str">
        <f ca="1">IF(C718&lt;&gt;"",IF(I718&lt;&gt;"",IF(ISERROR(VLOOKUP(I718,$C$3:$L$6,10,0)),"",VLOOKUP(I718,$C$3:$L$6,10,0)+J718+IF(OR(VLOOKUP(I718,$C$3:$L$6,5,0)=Variables!$B$5,B718&gt;VLOOKUP(I718,$C$3:$L$6,8,0)),IF(VLOOKUP(I718,$C$3:$L$6,5,0)=Variables!$B$5,((YEAR(B718)-YEAR($B$12))*12+MONTH(B718)-MONTH($B$12)),((YEAR(B718)-YEAR(VLOOKUP(I718,$C$3:$L$6,8,0)))*12+MONTH(B718)-MONTH(VLOOKUP(I718,$C$3:$L$6,8,0))))*VLOOKUP(I718,$C$3:$L$6,7,0),0)),""),"")</f>
        <v/>
      </c>
      <c r="L718" s="29" t="str">
        <f t="shared" ca="1" si="64"/>
        <v/>
      </c>
      <c r="M718" s="10"/>
      <c r="N718" s="10"/>
    </row>
    <row r="719" spans="1:14" x14ac:dyDescent="0.25">
      <c r="A719" s="10"/>
      <c r="B719" s="14" t="str">
        <f t="shared" ca="1" si="65"/>
        <v/>
      </c>
      <c r="C719" s="14" t="str">
        <f ca="1">IF(I718&lt;&gt;Variables!$B$1,IF(H718&lt;&gt;0,C718,I718),"")</f>
        <v/>
      </c>
      <c r="D719" s="29" t="str">
        <f t="shared" ca="1" si="62"/>
        <v/>
      </c>
      <c r="E719" s="29" t="str">
        <f t="shared" ca="1" si="63"/>
        <v/>
      </c>
      <c r="F719" s="29" t="str">
        <f ca="1">IF(C719&lt;&gt;"",IF(OR(VLOOKUP(C719,$C$3:$L$6,5,0)=Variables!$B$5,B719&gt;VLOOKUP(C719,$C$3:$L$6,8,0)),-D719*VLOOKUP(C719,$C$3:$L$6,6,0)/12,0),"")</f>
        <v/>
      </c>
      <c r="G719" s="29" t="str">
        <f ca="1">IF(I719&lt;&gt;Variables!$B$1,IF(C719&lt;&gt;"",$I$9-E719-F719,""),-D719)</f>
        <v/>
      </c>
      <c r="H719" s="29" t="str">
        <f t="shared" ca="1" si="66"/>
        <v/>
      </c>
      <c r="I719" s="31" t="str">
        <f ca="1">IF(C719&lt;&gt;"",IF(D719+$I$9-E719-F719&gt;=0,IF(ISERROR(INDEX($C$3:$C$6,MATCH(C719,$C$3:$C$6,0)+1,0)),Variables!$B$1,INDEX($C$3:$C$6,MATCH(C719,$C$3:$C$6,0)+1,0)),""),"")</f>
        <v/>
      </c>
      <c r="J719" s="29" t="str">
        <f ca="1">IF(ISERROR(VLOOKUP(I719,$C$3:$L$6,5,0)),"",IF(OR(VLOOKUP(I719,$C$3:$L$6,5,0)=Variables!$B$5,B719&gt;VLOOKUP(I719,$C$3:$L$6,8,0)),IF(VLOOKUP(I719,$C$3:$L$6,5,0)=Variables!$B$5,((YEAR(B719)-YEAR($B$12))*12+MONTH(B719)-MONTH($B$12)),((YEAR(B719)-YEAR(VLOOKUP(I719,$C$3:$L$6,8,0)))*12+MONTH(B719)-MONTH(VLOOKUP(I719,$C$3:$L$6,8,0))))*(VLOOKUP(I719,$C$3:$L$6,10,0)*VLOOKUP(I719,$C$3:$L$6,6,0)/12),0))</f>
        <v/>
      </c>
      <c r="K719" s="29" t="str">
        <f ca="1">IF(C719&lt;&gt;"",IF(I719&lt;&gt;"",IF(ISERROR(VLOOKUP(I719,$C$3:$L$6,10,0)),"",VLOOKUP(I719,$C$3:$L$6,10,0)+J719+IF(OR(VLOOKUP(I719,$C$3:$L$6,5,0)=Variables!$B$5,B719&gt;VLOOKUP(I719,$C$3:$L$6,8,0)),IF(VLOOKUP(I719,$C$3:$L$6,5,0)=Variables!$B$5,((YEAR(B719)-YEAR($B$12))*12+MONTH(B719)-MONTH($B$12)),((YEAR(B719)-YEAR(VLOOKUP(I719,$C$3:$L$6,8,0)))*12+MONTH(B719)-MONTH(VLOOKUP(I719,$C$3:$L$6,8,0))))*VLOOKUP(I719,$C$3:$L$6,7,0),0)),""),"")</f>
        <v/>
      </c>
      <c r="L719" s="29" t="str">
        <f t="shared" ca="1" si="64"/>
        <v/>
      </c>
      <c r="M719" s="10"/>
      <c r="N719" s="10"/>
    </row>
    <row r="720" spans="1:14" x14ac:dyDescent="0.25">
      <c r="A720" s="10"/>
      <c r="B720" s="14" t="str">
        <f t="shared" ca="1" si="65"/>
        <v/>
      </c>
      <c r="C720" s="14" t="str">
        <f ca="1">IF(I719&lt;&gt;Variables!$B$1,IF(H719&lt;&gt;0,C719,I719),"")</f>
        <v/>
      </c>
      <c r="D720" s="29" t="str">
        <f t="shared" ca="1" si="62"/>
        <v/>
      </c>
      <c r="E720" s="29" t="str">
        <f t="shared" ca="1" si="63"/>
        <v/>
      </c>
      <c r="F720" s="29" t="str">
        <f ca="1">IF(C720&lt;&gt;"",IF(OR(VLOOKUP(C720,$C$3:$L$6,5,0)=Variables!$B$5,B720&gt;VLOOKUP(C720,$C$3:$L$6,8,0)),-D720*VLOOKUP(C720,$C$3:$L$6,6,0)/12,0),"")</f>
        <v/>
      </c>
      <c r="G720" s="29" t="str">
        <f ca="1">IF(I720&lt;&gt;Variables!$B$1,IF(C720&lt;&gt;"",$I$9-E720-F720,""),-D720)</f>
        <v/>
      </c>
      <c r="H720" s="29" t="str">
        <f t="shared" ca="1" si="66"/>
        <v/>
      </c>
      <c r="I720" s="31" t="str">
        <f ca="1">IF(C720&lt;&gt;"",IF(D720+$I$9-E720-F720&gt;=0,IF(ISERROR(INDEX($C$3:$C$6,MATCH(C720,$C$3:$C$6,0)+1,0)),Variables!$B$1,INDEX($C$3:$C$6,MATCH(C720,$C$3:$C$6,0)+1,0)),""),"")</f>
        <v/>
      </c>
      <c r="J720" s="29" t="str">
        <f ca="1">IF(ISERROR(VLOOKUP(I720,$C$3:$L$6,5,0)),"",IF(OR(VLOOKUP(I720,$C$3:$L$6,5,0)=Variables!$B$5,B720&gt;VLOOKUP(I720,$C$3:$L$6,8,0)),IF(VLOOKUP(I720,$C$3:$L$6,5,0)=Variables!$B$5,((YEAR(B720)-YEAR($B$12))*12+MONTH(B720)-MONTH($B$12)),((YEAR(B720)-YEAR(VLOOKUP(I720,$C$3:$L$6,8,0)))*12+MONTH(B720)-MONTH(VLOOKUP(I720,$C$3:$L$6,8,0))))*(VLOOKUP(I720,$C$3:$L$6,10,0)*VLOOKUP(I720,$C$3:$L$6,6,0)/12),0))</f>
        <v/>
      </c>
      <c r="K720" s="29" t="str">
        <f ca="1">IF(C720&lt;&gt;"",IF(I720&lt;&gt;"",IF(ISERROR(VLOOKUP(I720,$C$3:$L$6,10,0)),"",VLOOKUP(I720,$C$3:$L$6,10,0)+J720+IF(OR(VLOOKUP(I720,$C$3:$L$6,5,0)=Variables!$B$5,B720&gt;VLOOKUP(I720,$C$3:$L$6,8,0)),IF(VLOOKUP(I720,$C$3:$L$6,5,0)=Variables!$B$5,((YEAR(B720)-YEAR($B$12))*12+MONTH(B720)-MONTH($B$12)),((YEAR(B720)-YEAR(VLOOKUP(I720,$C$3:$L$6,8,0)))*12+MONTH(B720)-MONTH(VLOOKUP(I720,$C$3:$L$6,8,0))))*VLOOKUP(I720,$C$3:$L$6,7,0),0)),""),"")</f>
        <v/>
      </c>
      <c r="L720" s="29" t="str">
        <f t="shared" ca="1" si="64"/>
        <v/>
      </c>
      <c r="M720" s="10"/>
      <c r="N720" s="10"/>
    </row>
    <row r="721" spans="1:14" x14ac:dyDescent="0.25">
      <c r="A721" s="10"/>
      <c r="B721" s="14" t="str">
        <f t="shared" ca="1" si="65"/>
        <v/>
      </c>
      <c r="C721" s="14" t="str">
        <f ca="1">IF(I720&lt;&gt;Variables!$B$1,IF(H720&lt;&gt;0,C720,I720),"")</f>
        <v/>
      </c>
      <c r="D721" s="29" t="str">
        <f t="shared" ca="1" si="62"/>
        <v/>
      </c>
      <c r="E721" s="29" t="str">
        <f t="shared" ca="1" si="63"/>
        <v/>
      </c>
      <c r="F721" s="29" t="str">
        <f ca="1">IF(C721&lt;&gt;"",IF(OR(VLOOKUP(C721,$C$3:$L$6,5,0)=Variables!$B$5,B721&gt;VLOOKUP(C721,$C$3:$L$6,8,0)),-D721*VLOOKUP(C721,$C$3:$L$6,6,0)/12,0),"")</f>
        <v/>
      </c>
      <c r="G721" s="29" t="str">
        <f ca="1">IF(I721&lt;&gt;Variables!$B$1,IF(C721&lt;&gt;"",$I$9-E721-F721,""),-D721)</f>
        <v/>
      </c>
      <c r="H721" s="29" t="str">
        <f t="shared" ca="1" si="66"/>
        <v/>
      </c>
      <c r="I721" s="31" t="str">
        <f ca="1">IF(C721&lt;&gt;"",IF(D721+$I$9-E721-F721&gt;=0,IF(ISERROR(INDEX($C$3:$C$6,MATCH(C721,$C$3:$C$6,0)+1,0)),Variables!$B$1,INDEX($C$3:$C$6,MATCH(C721,$C$3:$C$6,0)+1,0)),""),"")</f>
        <v/>
      </c>
      <c r="J721" s="29" t="str">
        <f ca="1">IF(ISERROR(VLOOKUP(I721,$C$3:$L$6,5,0)),"",IF(OR(VLOOKUP(I721,$C$3:$L$6,5,0)=Variables!$B$5,B721&gt;VLOOKUP(I721,$C$3:$L$6,8,0)),IF(VLOOKUP(I721,$C$3:$L$6,5,0)=Variables!$B$5,((YEAR(B721)-YEAR($B$12))*12+MONTH(B721)-MONTH($B$12)),((YEAR(B721)-YEAR(VLOOKUP(I721,$C$3:$L$6,8,0)))*12+MONTH(B721)-MONTH(VLOOKUP(I721,$C$3:$L$6,8,0))))*(VLOOKUP(I721,$C$3:$L$6,10,0)*VLOOKUP(I721,$C$3:$L$6,6,0)/12),0))</f>
        <v/>
      </c>
      <c r="K721" s="29" t="str">
        <f ca="1">IF(C721&lt;&gt;"",IF(I721&lt;&gt;"",IF(ISERROR(VLOOKUP(I721,$C$3:$L$6,10,0)),"",VLOOKUP(I721,$C$3:$L$6,10,0)+J721+IF(OR(VLOOKUP(I721,$C$3:$L$6,5,0)=Variables!$B$5,B721&gt;VLOOKUP(I721,$C$3:$L$6,8,0)),IF(VLOOKUP(I721,$C$3:$L$6,5,0)=Variables!$B$5,((YEAR(B721)-YEAR($B$12))*12+MONTH(B721)-MONTH($B$12)),((YEAR(B721)-YEAR(VLOOKUP(I721,$C$3:$L$6,8,0)))*12+MONTH(B721)-MONTH(VLOOKUP(I721,$C$3:$L$6,8,0))))*VLOOKUP(I721,$C$3:$L$6,7,0),0)),""),"")</f>
        <v/>
      </c>
      <c r="L721" s="29" t="str">
        <f t="shared" ca="1" si="64"/>
        <v/>
      </c>
      <c r="M721" s="10"/>
      <c r="N721" s="10"/>
    </row>
    <row r="722" spans="1:14" x14ac:dyDescent="0.25">
      <c r="A722" s="10"/>
      <c r="B722" s="14" t="str">
        <f t="shared" ca="1" si="65"/>
        <v/>
      </c>
      <c r="C722" s="14" t="str">
        <f ca="1">IF(I721&lt;&gt;Variables!$B$1,IF(H721&lt;&gt;0,C721,I721),"")</f>
        <v/>
      </c>
      <c r="D722" s="29" t="str">
        <f t="shared" ca="1" si="62"/>
        <v/>
      </c>
      <c r="E722" s="29" t="str">
        <f t="shared" ca="1" si="63"/>
        <v/>
      </c>
      <c r="F722" s="29" t="str">
        <f ca="1">IF(C722&lt;&gt;"",IF(OR(VLOOKUP(C722,$C$3:$L$6,5,0)=Variables!$B$5,B722&gt;VLOOKUP(C722,$C$3:$L$6,8,0)),-D722*VLOOKUP(C722,$C$3:$L$6,6,0)/12,0),"")</f>
        <v/>
      </c>
      <c r="G722" s="29" t="str">
        <f ca="1">IF(I722&lt;&gt;Variables!$B$1,IF(C722&lt;&gt;"",$I$9-E722-F722,""),-D722)</f>
        <v/>
      </c>
      <c r="H722" s="29" t="str">
        <f t="shared" ca="1" si="66"/>
        <v/>
      </c>
      <c r="I722" s="31" t="str">
        <f ca="1">IF(C722&lt;&gt;"",IF(D722+$I$9-E722-F722&gt;=0,IF(ISERROR(INDEX($C$3:$C$6,MATCH(C722,$C$3:$C$6,0)+1,0)),Variables!$B$1,INDEX($C$3:$C$6,MATCH(C722,$C$3:$C$6,0)+1,0)),""),"")</f>
        <v/>
      </c>
      <c r="J722" s="29" t="str">
        <f ca="1">IF(ISERROR(VLOOKUP(I722,$C$3:$L$6,5,0)),"",IF(OR(VLOOKUP(I722,$C$3:$L$6,5,0)=Variables!$B$5,B722&gt;VLOOKUP(I722,$C$3:$L$6,8,0)),IF(VLOOKUP(I722,$C$3:$L$6,5,0)=Variables!$B$5,((YEAR(B722)-YEAR($B$12))*12+MONTH(B722)-MONTH($B$12)),((YEAR(B722)-YEAR(VLOOKUP(I722,$C$3:$L$6,8,0)))*12+MONTH(B722)-MONTH(VLOOKUP(I722,$C$3:$L$6,8,0))))*(VLOOKUP(I722,$C$3:$L$6,10,0)*VLOOKUP(I722,$C$3:$L$6,6,0)/12),0))</f>
        <v/>
      </c>
      <c r="K722" s="29" t="str">
        <f ca="1">IF(C722&lt;&gt;"",IF(I722&lt;&gt;"",IF(ISERROR(VLOOKUP(I722,$C$3:$L$6,10,0)),"",VLOOKUP(I722,$C$3:$L$6,10,0)+J722+IF(OR(VLOOKUP(I722,$C$3:$L$6,5,0)=Variables!$B$5,B722&gt;VLOOKUP(I722,$C$3:$L$6,8,0)),IF(VLOOKUP(I722,$C$3:$L$6,5,0)=Variables!$B$5,((YEAR(B722)-YEAR($B$12))*12+MONTH(B722)-MONTH($B$12)),((YEAR(B722)-YEAR(VLOOKUP(I722,$C$3:$L$6,8,0)))*12+MONTH(B722)-MONTH(VLOOKUP(I722,$C$3:$L$6,8,0))))*VLOOKUP(I722,$C$3:$L$6,7,0),0)),""),"")</f>
        <v/>
      </c>
      <c r="L722" s="29" t="str">
        <f t="shared" ca="1" si="64"/>
        <v/>
      </c>
      <c r="M722" s="10"/>
      <c r="N722" s="10"/>
    </row>
    <row r="723" spans="1:14" x14ac:dyDescent="0.25">
      <c r="A723" s="10"/>
      <c r="B723" s="14" t="str">
        <f t="shared" ca="1" si="65"/>
        <v/>
      </c>
      <c r="C723" s="14" t="str">
        <f ca="1">IF(I722&lt;&gt;Variables!$B$1,IF(H722&lt;&gt;0,C722,I722),"")</f>
        <v/>
      </c>
      <c r="D723" s="29" t="str">
        <f t="shared" ca="1" si="62"/>
        <v/>
      </c>
      <c r="E723" s="29" t="str">
        <f t="shared" ca="1" si="63"/>
        <v/>
      </c>
      <c r="F723" s="29" t="str">
        <f ca="1">IF(C723&lt;&gt;"",IF(OR(VLOOKUP(C723,$C$3:$L$6,5,0)=Variables!$B$5,B723&gt;VLOOKUP(C723,$C$3:$L$6,8,0)),-D723*VLOOKUP(C723,$C$3:$L$6,6,0)/12,0),"")</f>
        <v/>
      </c>
      <c r="G723" s="29" t="str">
        <f ca="1">IF(I723&lt;&gt;Variables!$B$1,IF(C723&lt;&gt;"",$I$9-E723-F723,""),-D723)</f>
        <v/>
      </c>
      <c r="H723" s="29" t="str">
        <f t="shared" ca="1" si="66"/>
        <v/>
      </c>
      <c r="I723" s="31" t="str">
        <f ca="1">IF(C723&lt;&gt;"",IF(D723+$I$9-E723-F723&gt;=0,IF(ISERROR(INDEX($C$3:$C$6,MATCH(C723,$C$3:$C$6,0)+1,0)),Variables!$B$1,INDEX($C$3:$C$6,MATCH(C723,$C$3:$C$6,0)+1,0)),""),"")</f>
        <v/>
      </c>
      <c r="J723" s="29" t="str">
        <f ca="1">IF(ISERROR(VLOOKUP(I723,$C$3:$L$6,5,0)),"",IF(OR(VLOOKUP(I723,$C$3:$L$6,5,0)=Variables!$B$5,B723&gt;VLOOKUP(I723,$C$3:$L$6,8,0)),IF(VLOOKUP(I723,$C$3:$L$6,5,0)=Variables!$B$5,((YEAR(B723)-YEAR($B$12))*12+MONTH(B723)-MONTH($B$12)),((YEAR(B723)-YEAR(VLOOKUP(I723,$C$3:$L$6,8,0)))*12+MONTH(B723)-MONTH(VLOOKUP(I723,$C$3:$L$6,8,0))))*(VLOOKUP(I723,$C$3:$L$6,10,0)*VLOOKUP(I723,$C$3:$L$6,6,0)/12),0))</f>
        <v/>
      </c>
      <c r="K723" s="29" t="str">
        <f ca="1">IF(C723&lt;&gt;"",IF(I723&lt;&gt;"",IF(ISERROR(VLOOKUP(I723,$C$3:$L$6,10,0)),"",VLOOKUP(I723,$C$3:$L$6,10,0)+J723+IF(OR(VLOOKUP(I723,$C$3:$L$6,5,0)=Variables!$B$5,B723&gt;VLOOKUP(I723,$C$3:$L$6,8,0)),IF(VLOOKUP(I723,$C$3:$L$6,5,0)=Variables!$B$5,((YEAR(B723)-YEAR($B$12))*12+MONTH(B723)-MONTH($B$12)),((YEAR(B723)-YEAR(VLOOKUP(I723,$C$3:$L$6,8,0)))*12+MONTH(B723)-MONTH(VLOOKUP(I723,$C$3:$L$6,8,0))))*VLOOKUP(I723,$C$3:$L$6,7,0),0)),""),"")</f>
        <v/>
      </c>
      <c r="L723" s="29" t="str">
        <f t="shared" ca="1" si="64"/>
        <v/>
      </c>
      <c r="M723" s="10"/>
      <c r="N723" s="10"/>
    </row>
    <row r="724" spans="1:14" x14ac:dyDescent="0.25">
      <c r="A724" s="10"/>
      <c r="B724" s="14" t="str">
        <f t="shared" ca="1" si="65"/>
        <v/>
      </c>
      <c r="C724" s="14" t="str">
        <f ca="1">IF(I723&lt;&gt;Variables!$B$1,IF(H723&lt;&gt;0,C723,I723),"")</f>
        <v/>
      </c>
      <c r="D724" s="29" t="str">
        <f t="shared" ca="1" si="62"/>
        <v/>
      </c>
      <c r="E724" s="29" t="str">
        <f t="shared" ca="1" si="63"/>
        <v/>
      </c>
      <c r="F724" s="29" t="str">
        <f ca="1">IF(C724&lt;&gt;"",IF(OR(VLOOKUP(C724,$C$3:$L$6,5,0)=Variables!$B$5,B724&gt;VLOOKUP(C724,$C$3:$L$6,8,0)),-D724*VLOOKUP(C724,$C$3:$L$6,6,0)/12,0),"")</f>
        <v/>
      </c>
      <c r="G724" s="29" t="str">
        <f ca="1">IF(I724&lt;&gt;Variables!$B$1,IF(C724&lt;&gt;"",$I$9-E724-F724,""),-D724)</f>
        <v/>
      </c>
      <c r="H724" s="29" t="str">
        <f t="shared" ca="1" si="66"/>
        <v/>
      </c>
      <c r="I724" s="31" t="str">
        <f ca="1">IF(C724&lt;&gt;"",IF(D724+$I$9-E724-F724&gt;=0,IF(ISERROR(INDEX($C$3:$C$6,MATCH(C724,$C$3:$C$6,0)+1,0)),Variables!$B$1,INDEX($C$3:$C$6,MATCH(C724,$C$3:$C$6,0)+1,0)),""),"")</f>
        <v/>
      </c>
      <c r="J724" s="29" t="str">
        <f ca="1">IF(ISERROR(VLOOKUP(I724,$C$3:$L$6,5,0)),"",IF(OR(VLOOKUP(I724,$C$3:$L$6,5,0)=Variables!$B$5,B724&gt;VLOOKUP(I724,$C$3:$L$6,8,0)),IF(VLOOKUP(I724,$C$3:$L$6,5,0)=Variables!$B$5,((YEAR(B724)-YEAR($B$12))*12+MONTH(B724)-MONTH($B$12)),((YEAR(B724)-YEAR(VLOOKUP(I724,$C$3:$L$6,8,0)))*12+MONTH(B724)-MONTH(VLOOKUP(I724,$C$3:$L$6,8,0))))*(VLOOKUP(I724,$C$3:$L$6,10,0)*VLOOKUP(I724,$C$3:$L$6,6,0)/12),0))</f>
        <v/>
      </c>
      <c r="K724" s="29" t="str">
        <f ca="1">IF(C724&lt;&gt;"",IF(I724&lt;&gt;"",IF(ISERROR(VLOOKUP(I724,$C$3:$L$6,10,0)),"",VLOOKUP(I724,$C$3:$L$6,10,0)+J724+IF(OR(VLOOKUP(I724,$C$3:$L$6,5,0)=Variables!$B$5,B724&gt;VLOOKUP(I724,$C$3:$L$6,8,0)),IF(VLOOKUP(I724,$C$3:$L$6,5,0)=Variables!$B$5,((YEAR(B724)-YEAR($B$12))*12+MONTH(B724)-MONTH($B$12)),((YEAR(B724)-YEAR(VLOOKUP(I724,$C$3:$L$6,8,0)))*12+MONTH(B724)-MONTH(VLOOKUP(I724,$C$3:$L$6,8,0))))*VLOOKUP(I724,$C$3:$L$6,7,0),0)),""),"")</f>
        <v/>
      </c>
      <c r="L724" s="29" t="str">
        <f t="shared" ca="1" si="64"/>
        <v/>
      </c>
      <c r="M724" s="10"/>
      <c r="N724" s="10"/>
    </row>
    <row r="725" spans="1:14" x14ac:dyDescent="0.25">
      <c r="A725" s="10"/>
      <c r="B725" s="14" t="str">
        <f t="shared" ca="1" si="65"/>
        <v/>
      </c>
      <c r="C725" s="14" t="str">
        <f ca="1">IF(I724&lt;&gt;Variables!$B$1,IF(H724&lt;&gt;0,C724,I724),"")</f>
        <v/>
      </c>
      <c r="D725" s="29" t="str">
        <f t="shared" ca="1" si="62"/>
        <v/>
      </c>
      <c r="E725" s="29" t="str">
        <f t="shared" ca="1" si="63"/>
        <v/>
      </c>
      <c r="F725" s="29" t="str">
        <f ca="1">IF(C725&lt;&gt;"",IF(OR(VLOOKUP(C725,$C$3:$L$6,5,0)=Variables!$B$5,B725&gt;VLOOKUP(C725,$C$3:$L$6,8,0)),-D725*VLOOKUP(C725,$C$3:$L$6,6,0)/12,0),"")</f>
        <v/>
      </c>
      <c r="G725" s="29" t="str">
        <f ca="1">IF(I725&lt;&gt;Variables!$B$1,IF(C725&lt;&gt;"",$I$9-E725-F725,""),-D725)</f>
        <v/>
      </c>
      <c r="H725" s="29" t="str">
        <f t="shared" ca="1" si="66"/>
        <v/>
      </c>
      <c r="I725" s="31" t="str">
        <f ca="1">IF(C725&lt;&gt;"",IF(D725+$I$9-E725-F725&gt;=0,IF(ISERROR(INDEX($C$3:$C$6,MATCH(C725,$C$3:$C$6,0)+1,0)),Variables!$B$1,INDEX($C$3:$C$6,MATCH(C725,$C$3:$C$6,0)+1,0)),""),"")</f>
        <v/>
      </c>
      <c r="J725" s="29" t="str">
        <f ca="1">IF(ISERROR(VLOOKUP(I725,$C$3:$L$6,5,0)),"",IF(OR(VLOOKUP(I725,$C$3:$L$6,5,0)=Variables!$B$5,B725&gt;VLOOKUP(I725,$C$3:$L$6,8,0)),IF(VLOOKUP(I725,$C$3:$L$6,5,0)=Variables!$B$5,((YEAR(B725)-YEAR($B$12))*12+MONTH(B725)-MONTH($B$12)),((YEAR(B725)-YEAR(VLOOKUP(I725,$C$3:$L$6,8,0)))*12+MONTH(B725)-MONTH(VLOOKUP(I725,$C$3:$L$6,8,0))))*(VLOOKUP(I725,$C$3:$L$6,10,0)*VLOOKUP(I725,$C$3:$L$6,6,0)/12),0))</f>
        <v/>
      </c>
      <c r="K725" s="29" t="str">
        <f ca="1">IF(C725&lt;&gt;"",IF(I725&lt;&gt;"",IF(ISERROR(VLOOKUP(I725,$C$3:$L$6,10,0)),"",VLOOKUP(I725,$C$3:$L$6,10,0)+J725+IF(OR(VLOOKUP(I725,$C$3:$L$6,5,0)=Variables!$B$5,B725&gt;VLOOKUP(I725,$C$3:$L$6,8,0)),IF(VLOOKUP(I725,$C$3:$L$6,5,0)=Variables!$B$5,((YEAR(B725)-YEAR($B$12))*12+MONTH(B725)-MONTH($B$12)),((YEAR(B725)-YEAR(VLOOKUP(I725,$C$3:$L$6,8,0)))*12+MONTH(B725)-MONTH(VLOOKUP(I725,$C$3:$L$6,8,0))))*VLOOKUP(I725,$C$3:$L$6,7,0),0)),""),"")</f>
        <v/>
      </c>
      <c r="L725" s="29" t="str">
        <f t="shared" ca="1" si="64"/>
        <v/>
      </c>
      <c r="M725" s="10"/>
      <c r="N725" s="10"/>
    </row>
    <row r="726" spans="1:14" x14ac:dyDescent="0.25">
      <c r="A726" s="10"/>
      <c r="B726" s="14" t="str">
        <f t="shared" ca="1" si="65"/>
        <v/>
      </c>
      <c r="C726" s="14" t="str">
        <f ca="1">IF(I725&lt;&gt;Variables!$B$1,IF(H725&lt;&gt;0,C725,I725),"")</f>
        <v/>
      </c>
      <c r="D726" s="29" t="str">
        <f t="shared" ca="1" si="62"/>
        <v/>
      </c>
      <c r="E726" s="29" t="str">
        <f t="shared" ca="1" si="63"/>
        <v/>
      </c>
      <c r="F726" s="29" t="str">
        <f ca="1">IF(C726&lt;&gt;"",IF(OR(VLOOKUP(C726,$C$3:$L$6,5,0)=Variables!$B$5,B726&gt;VLOOKUP(C726,$C$3:$L$6,8,0)),-D726*VLOOKUP(C726,$C$3:$L$6,6,0)/12,0),"")</f>
        <v/>
      </c>
      <c r="G726" s="29" t="str">
        <f ca="1">IF(I726&lt;&gt;Variables!$B$1,IF(C726&lt;&gt;"",$I$9-E726-F726,""),-D726)</f>
        <v/>
      </c>
      <c r="H726" s="29" t="str">
        <f t="shared" ca="1" si="66"/>
        <v/>
      </c>
      <c r="I726" s="31" t="str">
        <f ca="1">IF(C726&lt;&gt;"",IF(D726+$I$9-E726-F726&gt;=0,IF(ISERROR(INDEX($C$3:$C$6,MATCH(C726,$C$3:$C$6,0)+1,0)),Variables!$B$1,INDEX($C$3:$C$6,MATCH(C726,$C$3:$C$6,0)+1,0)),""),"")</f>
        <v/>
      </c>
      <c r="J726" s="29" t="str">
        <f ca="1">IF(ISERROR(VLOOKUP(I726,$C$3:$L$6,5,0)),"",IF(OR(VLOOKUP(I726,$C$3:$L$6,5,0)=Variables!$B$5,B726&gt;VLOOKUP(I726,$C$3:$L$6,8,0)),IF(VLOOKUP(I726,$C$3:$L$6,5,0)=Variables!$B$5,((YEAR(B726)-YEAR($B$12))*12+MONTH(B726)-MONTH($B$12)),((YEAR(B726)-YEAR(VLOOKUP(I726,$C$3:$L$6,8,0)))*12+MONTH(B726)-MONTH(VLOOKUP(I726,$C$3:$L$6,8,0))))*(VLOOKUP(I726,$C$3:$L$6,10,0)*VLOOKUP(I726,$C$3:$L$6,6,0)/12),0))</f>
        <v/>
      </c>
      <c r="K726" s="29" t="str">
        <f ca="1">IF(C726&lt;&gt;"",IF(I726&lt;&gt;"",IF(ISERROR(VLOOKUP(I726,$C$3:$L$6,10,0)),"",VLOOKUP(I726,$C$3:$L$6,10,0)+J726+IF(OR(VLOOKUP(I726,$C$3:$L$6,5,0)=Variables!$B$5,B726&gt;VLOOKUP(I726,$C$3:$L$6,8,0)),IF(VLOOKUP(I726,$C$3:$L$6,5,0)=Variables!$B$5,((YEAR(B726)-YEAR($B$12))*12+MONTH(B726)-MONTH($B$12)),((YEAR(B726)-YEAR(VLOOKUP(I726,$C$3:$L$6,8,0)))*12+MONTH(B726)-MONTH(VLOOKUP(I726,$C$3:$L$6,8,0))))*VLOOKUP(I726,$C$3:$L$6,7,0),0)),""),"")</f>
        <v/>
      </c>
      <c r="L726" s="29" t="str">
        <f t="shared" ca="1" si="64"/>
        <v/>
      </c>
      <c r="M726" s="10"/>
      <c r="N726" s="10"/>
    </row>
    <row r="727" spans="1:14" x14ac:dyDescent="0.25">
      <c r="A727" s="10"/>
      <c r="B727" s="14" t="str">
        <f t="shared" ca="1" si="65"/>
        <v/>
      </c>
      <c r="C727" s="14" t="str">
        <f ca="1">IF(I726&lt;&gt;Variables!$B$1,IF(H726&lt;&gt;0,C726,I726),"")</f>
        <v/>
      </c>
      <c r="D727" s="29" t="str">
        <f t="shared" ca="1" si="62"/>
        <v/>
      </c>
      <c r="E727" s="29" t="str">
        <f t="shared" ca="1" si="63"/>
        <v/>
      </c>
      <c r="F727" s="29" t="str">
        <f ca="1">IF(C727&lt;&gt;"",IF(OR(VLOOKUP(C727,$C$3:$L$6,5,0)=Variables!$B$5,B727&gt;VLOOKUP(C727,$C$3:$L$6,8,0)),-D727*VLOOKUP(C727,$C$3:$L$6,6,0)/12,0),"")</f>
        <v/>
      </c>
      <c r="G727" s="29" t="str">
        <f ca="1">IF(I727&lt;&gt;Variables!$B$1,IF(C727&lt;&gt;"",$I$9-E727-F727,""),-D727)</f>
        <v/>
      </c>
      <c r="H727" s="29" t="str">
        <f t="shared" ca="1" si="66"/>
        <v/>
      </c>
      <c r="I727" s="31" t="str">
        <f ca="1">IF(C727&lt;&gt;"",IF(D727+$I$9-E727-F727&gt;=0,IF(ISERROR(INDEX($C$3:$C$6,MATCH(C727,$C$3:$C$6,0)+1,0)),Variables!$B$1,INDEX($C$3:$C$6,MATCH(C727,$C$3:$C$6,0)+1,0)),""),"")</f>
        <v/>
      </c>
      <c r="J727" s="29" t="str">
        <f ca="1">IF(ISERROR(VLOOKUP(I727,$C$3:$L$6,5,0)),"",IF(OR(VLOOKUP(I727,$C$3:$L$6,5,0)=Variables!$B$5,B727&gt;VLOOKUP(I727,$C$3:$L$6,8,0)),IF(VLOOKUP(I727,$C$3:$L$6,5,0)=Variables!$B$5,((YEAR(B727)-YEAR($B$12))*12+MONTH(B727)-MONTH($B$12)),((YEAR(B727)-YEAR(VLOOKUP(I727,$C$3:$L$6,8,0)))*12+MONTH(B727)-MONTH(VLOOKUP(I727,$C$3:$L$6,8,0))))*(VLOOKUP(I727,$C$3:$L$6,10,0)*VLOOKUP(I727,$C$3:$L$6,6,0)/12),0))</f>
        <v/>
      </c>
      <c r="K727" s="29" t="str">
        <f ca="1">IF(C727&lt;&gt;"",IF(I727&lt;&gt;"",IF(ISERROR(VLOOKUP(I727,$C$3:$L$6,10,0)),"",VLOOKUP(I727,$C$3:$L$6,10,0)+J727+IF(OR(VLOOKUP(I727,$C$3:$L$6,5,0)=Variables!$B$5,B727&gt;VLOOKUP(I727,$C$3:$L$6,8,0)),IF(VLOOKUP(I727,$C$3:$L$6,5,0)=Variables!$B$5,((YEAR(B727)-YEAR($B$12))*12+MONTH(B727)-MONTH($B$12)),((YEAR(B727)-YEAR(VLOOKUP(I727,$C$3:$L$6,8,0)))*12+MONTH(B727)-MONTH(VLOOKUP(I727,$C$3:$L$6,8,0))))*VLOOKUP(I727,$C$3:$L$6,7,0),0)),""),"")</f>
        <v/>
      </c>
      <c r="L727" s="29" t="str">
        <f t="shared" ca="1" si="64"/>
        <v/>
      </c>
      <c r="M727" s="10"/>
      <c r="N727" s="10"/>
    </row>
    <row r="728" spans="1:14" x14ac:dyDescent="0.25">
      <c r="A728" s="10"/>
      <c r="B728" s="14" t="str">
        <f t="shared" ca="1" si="65"/>
        <v/>
      </c>
      <c r="C728" s="14" t="str">
        <f ca="1">IF(I727&lt;&gt;Variables!$B$1,IF(H727&lt;&gt;0,C727,I727),"")</f>
        <v/>
      </c>
      <c r="D728" s="29" t="str">
        <f t="shared" ca="1" si="62"/>
        <v/>
      </c>
      <c r="E728" s="29" t="str">
        <f t="shared" ca="1" si="63"/>
        <v/>
      </c>
      <c r="F728" s="29" t="str">
        <f ca="1">IF(C728&lt;&gt;"",IF(OR(VLOOKUP(C728,$C$3:$L$6,5,0)=Variables!$B$5,B728&gt;VLOOKUP(C728,$C$3:$L$6,8,0)),-D728*VLOOKUP(C728,$C$3:$L$6,6,0)/12,0),"")</f>
        <v/>
      </c>
      <c r="G728" s="29" t="str">
        <f ca="1">IF(I728&lt;&gt;Variables!$B$1,IF(C728&lt;&gt;"",$I$9-E728-F728,""),-D728)</f>
        <v/>
      </c>
      <c r="H728" s="29" t="str">
        <f t="shared" ca="1" si="66"/>
        <v/>
      </c>
      <c r="I728" s="31" t="str">
        <f ca="1">IF(C728&lt;&gt;"",IF(D728+$I$9-E728-F728&gt;=0,IF(ISERROR(INDEX($C$3:$C$6,MATCH(C728,$C$3:$C$6,0)+1,0)),Variables!$B$1,INDEX($C$3:$C$6,MATCH(C728,$C$3:$C$6,0)+1,0)),""),"")</f>
        <v/>
      </c>
      <c r="J728" s="29" t="str">
        <f ca="1">IF(ISERROR(VLOOKUP(I728,$C$3:$L$6,5,0)),"",IF(OR(VLOOKUP(I728,$C$3:$L$6,5,0)=Variables!$B$5,B728&gt;VLOOKUP(I728,$C$3:$L$6,8,0)),IF(VLOOKUP(I728,$C$3:$L$6,5,0)=Variables!$B$5,((YEAR(B728)-YEAR($B$12))*12+MONTH(B728)-MONTH($B$12)),((YEAR(B728)-YEAR(VLOOKUP(I728,$C$3:$L$6,8,0)))*12+MONTH(B728)-MONTH(VLOOKUP(I728,$C$3:$L$6,8,0))))*(VLOOKUP(I728,$C$3:$L$6,10,0)*VLOOKUP(I728,$C$3:$L$6,6,0)/12),0))</f>
        <v/>
      </c>
      <c r="K728" s="29" t="str">
        <f ca="1">IF(C728&lt;&gt;"",IF(I728&lt;&gt;"",IF(ISERROR(VLOOKUP(I728,$C$3:$L$6,10,0)),"",VLOOKUP(I728,$C$3:$L$6,10,0)+J728+IF(OR(VLOOKUP(I728,$C$3:$L$6,5,0)=Variables!$B$5,B728&gt;VLOOKUP(I728,$C$3:$L$6,8,0)),IF(VLOOKUP(I728,$C$3:$L$6,5,0)=Variables!$B$5,((YEAR(B728)-YEAR($B$12))*12+MONTH(B728)-MONTH($B$12)),((YEAR(B728)-YEAR(VLOOKUP(I728,$C$3:$L$6,8,0)))*12+MONTH(B728)-MONTH(VLOOKUP(I728,$C$3:$L$6,8,0))))*VLOOKUP(I728,$C$3:$L$6,7,0),0)),""),"")</f>
        <v/>
      </c>
      <c r="L728" s="29" t="str">
        <f t="shared" ca="1" si="64"/>
        <v/>
      </c>
      <c r="M728" s="10"/>
      <c r="N728" s="10"/>
    </row>
    <row r="729" spans="1:14" x14ac:dyDescent="0.25">
      <c r="A729" s="10"/>
      <c r="B729" s="14" t="str">
        <f t="shared" ca="1" si="65"/>
        <v/>
      </c>
      <c r="C729" s="14" t="str">
        <f ca="1">IF(I728&lt;&gt;Variables!$B$1,IF(H728&lt;&gt;0,C728,I728),"")</f>
        <v/>
      </c>
      <c r="D729" s="29" t="str">
        <f t="shared" ca="1" si="62"/>
        <v/>
      </c>
      <c r="E729" s="29" t="str">
        <f t="shared" ca="1" si="63"/>
        <v/>
      </c>
      <c r="F729" s="29" t="str">
        <f ca="1">IF(C729&lt;&gt;"",IF(OR(VLOOKUP(C729,$C$3:$L$6,5,0)=Variables!$B$5,B729&gt;VLOOKUP(C729,$C$3:$L$6,8,0)),-D729*VLOOKUP(C729,$C$3:$L$6,6,0)/12,0),"")</f>
        <v/>
      </c>
      <c r="G729" s="29" t="str">
        <f ca="1">IF(I729&lt;&gt;Variables!$B$1,IF(C729&lt;&gt;"",$I$9-E729-F729,""),-D729)</f>
        <v/>
      </c>
      <c r="H729" s="29" t="str">
        <f t="shared" ca="1" si="66"/>
        <v/>
      </c>
      <c r="I729" s="31" t="str">
        <f ca="1">IF(C729&lt;&gt;"",IF(D729+$I$9-E729-F729&gt;=0,IF(ISERROR(INDEX($C$3:$C$6,MATCH(C729,$C$3:$C$6,0)+1,0)),Variables!$B$1,INDEX($C$3:$C$6,MATCH(C729,$C$3:$C$6,0)+1,0)),""),"")</f>
        <v/>
      </c>
      <c r="J729" s="29" t="str">
        <f ca="1">IF(ISERROR(VLOOKUP(I729,$C$3:$L$6,5,0)),"",IF(OR(VLOOKUP(I729,$C$3:$L$6,5,0)=Variables!$B$5,B729&gt;VLOOKUP(I729,$C$3:$L$6,8,0)),IF(VLOOKUP(I729,$C$3:$L$6,5,0)=Variables!$B$5,((YEAR(B729)-YEAR($B$12))*12+MONTH(B729)-MONTH($B$12)),((YEAR(B729)-YEAR(VLOOKUP(I729,$C$3:$L$6,8,0)))*12+MONTH(B729)-MONTH(VLOOKUP(I729,$C$3:$L$6,8,0))))*(VLOOKUP(I729,$C$3:$L$6,10,0)*VLOOKUP(I729,$C$3:$L$6,6,0)/12),0))</f>
        <v/>
      </c>
      <c r="K729" s="29" t="str">
        <f ca="1">IF(C729&lt;&gt;"",IF(I729&lt;&gt;"",IF(ISERROR(VLOOKUP(I729,$C$3:$L$6,10,0)),"",VLOOKUP(I729,$C$3:$L$6,10,0)+J729+IF(OR(VLOOKUP(I729,$C$3:$L$6,5,0)=Variables!$B$5,B729&gt;VLOOKUP(I729,$C$3:$L$6,8,0)),IF(VLOOKUP(I729,$C$3:$L$6,5,0)=Variables!$B$5,((YEAR(B729)-YEAR($B$12))*12+MONTH(B729)-MONTH($B$12)),((YEAR(B729)-YEAR(VLOOKUP(I729,$C$3:$L$6,8,0)))*12+MONTH(B729)-MONTH(VLOOKUP(I729,$C$3:$L$6,8,0))))*VLOOKUP(I729,$C$3:$L$6,7,0),0)),""),"")</f>
        <v/>
      </c>
      <c r="L729" s="29" t="str">
        <f t="shared" ca="1" si="64"/>
        <v/>
      </c>
      <c r="M729" s="10"/>
      <c r="N729" s="10"/>
    </row>
    <row r="730" spans="1:14" x14ac:dyDescent="0.25">
      <c r="A730" s="10"/>
      <c r="B730" s="14" t="str">
        <f t="shared" ca="1" si="65"/>
        <v/>
      </c>
      <c r="C730" s="14" t="str">
        <f ca="1">IF(I729&lt;&gt;Variables!$B$1,IF(H729&lt;&gt;0,C729,I729),"")</f>
        <v/>
      </c>
      <c r="D730" s="29" t="str">
        <f t="shared" ca="1" si="62"/>
        <v/>
      </c>
      <c r="E730" s="29" t="str">
        <f t="shared" ca="1" si="63"/>
        <v/>
      </c>
      <c r="F730" s="29" t="str">
        <f ca="1">IF(C730&lt;&gt;"",IF(OR(VLOOKUP(C730,$C$3:$L$6,5,0)=Variables!$B$5,B730&gt;VLOOKUP(C730,$C$3:$L$6,8,0)),-D730*VLOOKUP(C730,$C$3:$L$6,6,0)/12,0),"")</f>
        <v/>
      </c>
      <c r="G730" s="29" t="str">
        <f ca="1">IF(I730&lt;&gt;Variables!$B$1,IF(C730&lt;&gt;"",$I$9-E730-F730,""),-D730)</f>
        <v/>
      </c>
      <c r="H730" s="29" t="str">
        <f t="shared" ca="1" si="66"/>
        <v/>
      </c>
      <c r="I730" s="31" t="str">
        <f ca="1">IF(C730&lt;&gt;"",IF(D730+$I$9-E730-F730&gt;=0,IF(ISERROR(INDEX($C$3:$C$6,MATCH(C730,$C$3:$C$6,0)+1,0)),Variables!$B$1,INDEX($C$3:$C$6,MATCH(C730,$C$3:$C$6,0)+1,0)),""),"")</f>
        <v/>
      </c>
      <c r="J730" s="29" t="str">
        <f ca="1">IF(ISERROR(VLOOKUP(I730,$C$3:$L$6,5,0)),"",IF(OR(VLOOKUP(I730,$C$3:$L$6,5,0)=Variables!$B$5,B730&gt;VLOOKUP(I730,$C$3:$L$6,8,0)),IF(VLOOKUP(I730,$C$3:$L$6,5,0)=Variables!$B$5,((YEAR(B730)-YEAR($B$12))*12+MONTH(B730)-MONTH($B$12)),((YEAR(B730)-YEAR(VLOOKUP(I730,$C$3:$L$6,8,0)))*12+MONTH(B730)-MONTH(VLOOKUP(I730,$C$3:$L$6,8,0))))*(VLOOKUP(I730,$C$3:$L$6,10,0)*VLOOKUP(I730,$C$3:$L$6,6,0)/12),0))</f>
        <v/>
      </c>
      <c r="K730" s="29" t="str">
        <f ca="1">IF(C730&lt;&gt;"",IF(I730&lt;&gt;"",IF(ISERROR(VLOOKUP(I730,$C$3:$L$6,10,0)),"",VLOOKUP(I730,$C$3:$L$6,10,0)+J730+IF(OR(VLOOKUP(I730,$C$3:$L$6,5,0)=Variables!$B$5,B730&gt;VLOOKUP(I730,$C$3:$L$6,8,0)),IF(VLOOKUP(I730,$C$3:$L$6,5,0)=Variables!$B$5,((YEAR(B730)-YEAR($B$12))*12+MONTH(B730)-MONTH($B$12)),((YEAR(B730)-YEAR(VLOOKUP(I730,$C$3:$L$6,8,0)))*12+MONTH(B730)-MONTH(VLOOKUP(I730,$C$3:$L$6,8,0))))*VLOOKUP(I730,$C$3:$L$6,7,0),0)),""),"")</f>
        <v/>
      </c>
      <c r="L730" s="29" t="str">
        <f t="shared" ca="1" si="64"/>
        <v/>
      </c>
      <c r="M730" s="10"/>
      <c r="N730" s="10"/>
    </row>
    <row r="731" spans="1:14" x14ac:dyDescent="0.25">
      <c r="A731" s="10"/>
      <c r="B731" s="14" t="str">
        <f t="shared" ca="1" si="65"/>
        <v/>
      </c>
      <c r="C731" s="14" t="str">
        <f ca="1">IF(I730&lt;&gt;Variables!$B$1,IF(H730&lt;&gt;0,C730,I730),"")</f>
        <v/>
      </c>
      <c r="D731" s="29" t="str">
        <f t="shared" ca="1" si="62"/>
        <v/>
      </c>
      <c r="E731" s="29" t="str">
        <f t="shared" ca="1" si="63"/>
        <v/>
      </c>
      <c r="F731" s="29" t="str">
        <f ca="1">IF(C731&lt;&gt;"",IF(OR(VLOOKUP(C731,$C$3:$L$6,5,0)=Variables!$B$5,B731&gt;VLOOKUP(C731,$C$3:$L$6,8,0)),-D731*VLOOKUP(C731,$C$3:$L$6,6,0)/12,0),"")</f>
        <v/>
      </c>
      <c r="G731" s="29" t="str">
        <f ca="1">IF(I731&lt;&gt;Variables!$B$1,IF(C731&lt;&gt;"",$I$9-E731-F731,""),-D731)</f>
        <v/>
      </c>
      <c r="H731" s="29" t="str">
        <f t="shared" ca="1" si="66"/>
        <v/>
      </c>
      <c r="I731" s="31" t="str">
        <f ca="1">IF(C731&lt;&gt;"",IF(D731+$I$9-E731-F731&gt;=0,IF(ISERROR(INDEX($C$3:$C$6,MATCH(C731,$C$3:$C$6,0)+1,0)),Variables!$B$1,INDEX($C$3:$C$6,MATCH(C731,$C$3:$C$6,0)+1,0)),""),"")</f>
        <v/>
      </c>
      <c r="J731" s="29" t="str">
        <f ca="1">IF(ISERROR(VLOOKUP(I731,$C$3:$L$6,5,0)),"",IF(OR(VLOOKUP(I731,$C$3:$L$6,5,0)=Variables!$B$5,B731&gt;VLOOKUP(I731,$C$3:$L$6,8,0)),IF(VLOOKUP(I731,$C$3:$L$6,5,0)=Variables!$B$5,((YEAR(B731)-YEAR($B$12))*12+MONTH(B731)-MONTH($B$12)),((YEAR(B731)-YEAR(VLOOKUP(I731,$C$3:$L$6,8,0)))*12+MONTH(B731)-MONTH(VLOOKUP(I731,$C$3:$L$6,8,0))))*(VLOOKUP(I731,$C$3:$L$6,10,0)*VLOOKUP(I731,$C$3:$L$6,6,0)/12),0))</f>
        <v/>
      </c>
      <c r="K731" s="29" t="str">
        <f ca="1">IF(C731&lt;&gt;"",IF(I731&lt;&gt;"",IF(ISERROR(VLOOKUP(I731,$C$3:$L$6,10,0)),"",VLOOKUP(I731,$C$3:$L$6,10,0)+J731+IF(OR(VLOOKUP(I731,$C$3:$L$6,5,0)=Variables!$B$5,B731&gt;VLOOKUP(I731,$C$3:$L$6,8,0)),IF(VLOOKUP(I731,$C$3:$L$6,5,0)=Variables!$B$5,((YEAR(B731)-YEAR($B$12))*12+MONTH(B731)-MONTH($B$12)),((YEAR(B731)-YEAR(VLOOKUP(I731,$C$3:$L$6,8,0)))*12+MONTH(B731)-MONTH(VLOOKUP(I731,$C$3:$L$6,8,0))))*VLOOKUP(I731,$C$3:$L$6,7,0),0)),""),"")</f>
        <v/>
      </c>
      <c r="L731" s="29" t="str">
        <f t="shared" ca="1" si="64"/>
        <v/>
      </c>
      <c r="M731" s="10"/>
      <c r="N731" s="10"/>
    </row>
    <row r="732" spans="1:14" x14ac:dyDescent="0.25">
      <c r="A732" s="10"/>
      <c r="B732" s="14" t="str">
        <f t="shared" ca="1" si="65"/>
        <v/>
      </c>
      <c r="C732" s="14" t="str">
        <f ca="1">IF(I731&lt;&gt;Variables!$B$1,IF(H731&lt;&gt;0,C731,I731),"")</f>
        <v/>
      </c>
      <c r="D732" s="29" t="str">
        <f t="shared" ref="D732:D795" ca="1" si="67">IF(C732&lt;&gt;"",IF(H731&lt;&gt;0,H731,L731),"")</f>
        <v/>
      </c>
      <c r="E732" s="29" t="str">
        <f t="shared" ref="E732:E795" ca="1" si="68">IF(C732&lt;&gt;"",MINPAYMENT(C732,ROW(B732),COLUMN(B732)),"")</f>
        <v/>
      </c>
      <c r="F732" s="29" t="str">
        <f ca="1">IF(C732&lt;&gt;"",IF(OR(VLOOKUP(C732,$C$3:$L$6,5,0)=Variables!$B$5,B732&gt;VLOOKUP(C732,$C$3:$L$6,8,0)),-D732*VLOOKUP(C732,$C$3:$L$6,6,0)/12,0),"")</f>
        <v/>
      </c>
      <c r="G732" s="29" t="str">
        <f ca="1">IF(I732&lt;&gt;Variables!$B$1,IF(C732&lt;&gt;"",$I$9-E732-F732,""),-D732)</f>
        <v/>
      </c>
      <c r="H732" s="29" t="str">
        <f t="shared" ca="1" si="66"/>
        <v/>
      </c>
      <c r="I732" s="31" t="str">
        <f ca="1">IF(C732&lt;&gt;"",IF(D732+$I$9-E732-F732&gt;=0,IF(ISERROR(INDEX($C$3:$C$6,MATCH(C732,$C$3:$C$6,0)+1,0)),Variables!$B$1,INDEX($C$3:$C$6,MATCH(C732,$C$3:$C$6,0)+1,0)),""),"")</f>
        <v/>
      </c>
      <c r="J732" s="29" t="str">
        <f ca="1">IF(ISERROR(VLOOKUP(I732,$C$3:$L$6,5,0)),"",IF(OR(VLOOKUP(I732,$C$3:$L$6,5,0)=Variables!$B$5,B732&gt;VLOOKUP(I732,$C$3:$L$6,8,0)),IF(VLOOKUP(I732,$C$3:$L$6,5,0)=Variables!$B$5,((YEAR(B732)-YEAR($B$12))*12+MONTH(B732)-MONTH($B$12)),((YEAR(B732)-YEAR(VLOOKUP(I732,$C$3:$L$6,8,0)))*12+MONTH(B732)-MONTH(VLOOKUP(I732,$C$3:$L$6,8,0))))*(VLOOKUP(I732,$C$3:$L$6,10,0)*VLOOKUP(I732,$C$3:$L$6,6,0)/12),0))</f>
        <v/>
      </c>
      <c r="K732" s="29" t="str">
        <f ca="1">IF(C732&lt;&gt;"",IF(I732&lt;&gt;"",IF(ISERROR(VLOOKUP(I732,$C$3:$L$6,10,0)),"",VLOOKUP(I732,$C$3:$L$6,10,0)+J732+IF(OR(VLOOKUP(I732,$C$3:$L$6,5,0)=Variables!$B$5,B732&gt;VLOOKUP(I732,$C$3:$L$6,8,0)),IF(VLOOKUP(I732,$C$3:$L$6,5,0)=Variables!$B$5,((YEAR(B732)-YEAR($B$12))*12+MONTH(B732)-MONTH($B$12)),((YEAR(B732)-YEAR(VLOOKUP(I732,$C$3:$L$6,8,0)))*12+MONTH(B732)-MONTH(VLOOKUP(I732,$C$3:$L$6,8,0))))*VLOOKUP(I732,$C$3:$L$6,7,0),0)),""),"")</f>
        <v/>
      </c>
      <c r="L732" s="29" t="str">
        <f t="shared" ref="L732:L795" ca="1" si="69">IF(C732&lt;&gt;"",IF(ISERROR(IF(D732+G732&gt;=0,K732+D732+G732,"")),"",IF(D732+G732&gt;=0,K732+D732+G732,"")),"")</f>
        <v/>
      </c>
      <c r="M732" s="10"/>
      <c r="N732" s="10"/>
    </row>
    <row r="733" spans="1:14" x14ac:dyDescent="0.25">
      <c r="A733" s="10"/>
      <c r="B733" s="14" t="str">
        <f t="shared" ref="B733:B796" ca="1" si="70">IF(C733&lt;&gt;"",DATE(YEAR(B732),MONTH(B732)+1,DAY(B732)),"")</f>
        <v/>
      </c>
      <c r="C733" s="14" t="str">
        <f ca="1">IF(I732&lt;&gt;Variables!$B$1,IF(H732&lt;&gt;0,C732,I732),"")</f>
        <v/>
      </c>
      <c r="D733" s="29" t="str">
        <f t="shared" ca="1" si="67"/>
        <v/>
      </c>
      <c r="E733" s="29" t="str">
        <f t="shared" ca="1" si="68"/>
        <v/>
      </c>
      <c r="F733" s="29" t="str">
        <f ca="1">IF(C733&lt;&gt;"",IF(OR(VLOOKUP(C733,$C$3:$L$6,5,0)=Variables!$B$5,B733&gt;VLOOKUP(C733,$C$3:$L$6,8,0)),-D733*VLOOKUP(C733,$C$3:$L$6,6,0)/12,0),"")</f>
        <v/>
      </c>
      <c r="G733" s="29" t="str">
        <f ca="1">IF(I733&lt;&gt;Variables!$B$1,IF(C733&lt;&gt;"",$I$9-E733-F733,""),-D733)</f>
        <v/>
      </c>
      <c r="H733" s="29" t="str">
        <f t="shared" ref="H733:H796" ca="1" si="71">IF(C733&lt;&gt;"",IF(D733+G733&lt;0,D733+G733,0),"")</f>
        <v/>
      </c>
      <c r="I733" s="31" t="str">
        <f ca="1">IF(C733&lt;&gt;"",IF(D733+$I$9-E733-F733&gt;=0,IF(ISERROR(INDEX($C$3:$C$6,MATCH(C733,$C$3:$C$6,0)+1,0)),Variables!$B$1,INDEX($C$3:$C$6,MATCH(C733,$C$3:$C$6,0)+1,0)),""),"")</f>
        <v/>
      </c>
      <c r="J733" s="29" t="str">
        <f ca="1">IF(ISERROR(VLOOKUP(I733,$C$3:$L$6,5,0)),"",IF(OR(VLOOKUP(I733,$C$3:$L$6,5,0)=Variables!$B$5,B733&gt;VLOOKUP(I733,$C$3:$L$6,8,0)),IF(VLOOKUP(I733,$C$3:$L$6,5,0)=Variables!$B$5,((YEAR(B733)-YEAR($B$12))*12+MONTH(B733)-MONTH($B$12)),((YEAR(B733)-YEAR(VLOOKUP(I733,$C$3:$L$6,8,0)))*12+MONTH(B733)-MONTH(VLOOKUP(I733,$C$3:$L$6,8,0))))*(VLOOKUP(I733,$C$3:$L$6,10,0)*VLOOKUP(I733,$C$3:$L$6,6,0)/12),0))</f>
        <v/>
      </c>
      <c r="K733" s="29" t="str">
        <f ca="1">IF(C733&lt;&gt;"",IF(I733&lt;&gt;"",IF(ISERROR(VLOOKUP(I733,$C$3:$L$6,10,0)),"",VLOOKUP(I733,$C$3:$L$6,10,0)+J733+IF(OR(VLOOKUP(I733,$C$3:$L$6,5,0)=Variables!$B$5,B733&gt;VLOOKUP(I733,$C$3:$L$6,8,0)),IF(VLOOKUP(I733,$C$3:$L$6,5,0)=Variables!$B$5,((YEAR(B733)-YEAR($B$12))*12+MONTH(B733)-MONTH($B$12)),((YEAR(B733)-YEAR(VLOOKUP(I733,$C$3:$L$6,8,0)))*12+MONTH(B733)-MONTH(VLOOKUP(I733,$C$3:$L$6,8,0))))*VLOOKUP(I733,$C$3:$L$6,7,0),0)),""),"")</f>
        <v/>
      </c>
      <c r="L733" s="29" t="str">
        <f t="shared" ca="1" si="69"/>
        <v/>
      </c>
      <c r="M733" s="10"/>
      <c r="N733" s="10"/>
    </row>
    <row r="734" spans="1:14" x14ac:dyDescent="0.25">
      <c r="A734" s="10"/>
      <c r="B734" s="14" t="str">
        <f t="shared" ca="1" si="70"/>
        <v/>
      </c>
      <c r="C734" s="14" t="str">
        <f ca="1">IF(I733&lt;&gt;Variables!$B$1,IF(H733&lt;&gt;0,C733,I733),"")</f>
        <v/>
      </c>
      <c r="D734" s="29" t="str">
        <f t="shared" ca="1" si="67"/>
        <v/>
      </c>
      <c r="E734" s="29" t="str">
        <f t="shared" ca="1" si="68"/>
        <v/>
      </c>
      <c r="F734" s="29" t="str">
        <f ca="1">IF(C734&lt;&gt;"",IF(OR(VLOOKUP(C734,$C$3:$L$6,5,0)=Variables!$B$5,B734&gt;VLOOKUP(C734,$C$3:$L$6,8,0)),-D734*VLOOKUP(C734,$C$3:$L$6,6,0)/12,0),"")</f>
        <v/>
      </c>
      <c r="G734" s="29" t="str">
        <f ca="1">IF(I734&lt;&gt;Variables!$B$1,IF(C734&lt;&gt;"",$I$9-E734-F734,""),-D734)</f>
        <v/>
      </c>
      <c r="H734" s="29" t="str">
        <f t="shared" ca="1" si="71"/>
        <v/>
      </c>
      <c r="I734" s="31" t="str">
        <f ca="1">IF(C734&lt;&gt;"",IF(D734+$I$9-E734-F734&gt;=0,IF(ISERROR(INDEX($C$3:$C$6,MATCH(C734,$C$3:$C$6,0)+1,0)),Variables!$B$1,INDEX($C$3:$C$6,MATCH(C734,$C$3:$C$6,0)+1,0)),""),"")</f>
        <v/>
      </c>
      <c r="J734" s="29" t="str">
        <f ca="1">IF(ISERROR(VLOOKUP(I734,$C$3:$L$6,5,0)),"",IF(OR(VLOOKUP(I734,$C$3:$L$6,5,0)=Variables!$B$5,B734&gt;VLOOKUP(I734,$C$3:$L$6,8,0)),IF(VLOOKUP(I734,$C$3:$L$6,5,0)=Variables!$B$5,((YEAR(B734)-YEAR($B$12))*12+MONTH(B734)-MONTH($B$12)),((YEAR(B734)-YEAR(VLOOKUP(I734,$C$3:$L$6,8,0)))*12+MONTH(B734)-MONTH(VLOOKUP(I734,$C$3:$L$6,8,0))))*(VLOOKUP(I734,$C$3:$L$6,10,0)*VLOOKUP(I734,$C$3:$L$6,6,0)/12),0))</f>
        <v/>
      </c>
      <c r="K734" s="29" t="str">
        <f ca="1">IF(C734&lt;&gt;"",IF(I734&lt;&gt;"",IF(ISERROR(VLOOKUP(I734,$C$3:$L$6,10,0)),"",VLOOKUP(I734,$C$3:$L$6,10,0)+J734+IF(OR(VLOOKUP(I734,$C$3:$L$6,5,0)=Variables!$B$5,B734&gt;VLOOKUP(I734,$C$3:$L$6,8,0)),IF(VLOOKUP(I734,$C$3:$L$6,5,0)=Variables!$B$5,((YEAR(B734)-YEAR($B$12))*12+MONTH(B734)-MONTH($B$12)),((YEAR(B734)-YEAR(VLOOKUP(I734,$C$3:$L$6,8,0)))*12+MONTH(B734)-MONTH(VLOOKUP(I734,$C$3:$L$6,8,0))))*VLOOKUP(I734,$C$3:$L$6,7,0),0)),""),"")</f>
        <v/>
      </c>
      <c r="L734" s="29" t="str">
        <f t="shared" ca="1" si="69"/>
        <v/>
      </c>
      <c r="M734" s="10"/>
      <c r="N734" s="10"/>
    </row>
    <row r="735" spans="1:14" x14ac:dyDescent="0.25">
      <c r="A735" s="10"/>
      <c r="B735" s="14" t="str">
        <f t="shared" ca="1" si="70"/>
        <v/>
      </c>
      <c r="C735" s="14" t="str">
        <f ca="1">IF(I734&lt;&gt;Variables!$B$1,IF(H734&lt;&gt;0,C734,I734),"")</f>
        <v/>
      </c>
      <c r="D735" s="29" t="str">
        <f t="shared" ca="1" si="67"/>
        <v/>
      </c>
      <c r="E735" s="29" t="str">
        <f t="shared" ca="1" si="68"/>
        <v/>
      </c>
      <c r="F735" s="29" t="str">
        <f ca="1">IF(C735&lt;&gt;"",IF(OR(VLOOKUP(C735,$C$3:$L$6,5,0)=Variables!$B$5,B735&gt;VLOOKUP(C735,$C$3:$L$6,8,0)),-D735*VLOOKUP(C735,$C$3:$L$6,6,0)/12,0),"")</f>
        <v/>
      </c>
      <c r="G735" s="29" t="str">
        <f ca="1">IF(I735&lt;&gt;Variables!$B$1,IF(C735&lt;&gt;"",$I$9-E735-F735,""),-D735)</f>
        <v/>
      </c>
      <c r="H735" s="29" t="str">
        <f t="shared" ca="1" si="71"/>
        <v/>
      </c>
      <c r="I735" s="31" t="str">
        <f ca="1">IF(C735&lt;&gt;"",IF(D735+$I$9-E735-F735&gt;=0,IF(ISERROR(INDEX($C$3:$C$6,MATCH(C735,$C$3:$C$6,0)+1,0)),Variables!$B$1,INDEX($C$3:$C$6,MATCH(C735,$C$3:$C$6,0)+1,0)),""),"")</f>
        <v/>
      </c>
      <c r="J735" s="29" t="str">
        <f ca="1">IF(ISERROR(VLOOKUP(I735,$C$3:$L$6,5,0)),"",IF(OR(VLOOKUP(I735,$C$3:$L$6,5,0)=Variables!$B$5,B735&gt;VLOOKUP(I735,$C$3:$L$6,8,0)),IF(VLOOKUP(I735,$C$3:$L$6,5,0)=Variables!$B$5,((YEAR(B735)-YEAR($B$12))*12+MONTH(B735)-MONTH($B$12)),((YEAR(B735)-YEAR(VLOOKUP(I735,$C$3:$L$6,8,0)))*12+MONTH(B735)-MONTH(VLOOKUP(I735,$C$3:$L$6,8,0))))*(VLOOKUP(I735,$C$3:$L$6,10,0)*VLOOKUP(I735,$C$3:$L$6,6,0)/12),0))</f>
        <v/>
      </c>
      <c r="K735" s="29" t="str">
        <f ca="1">IF(C735&lt;&gt;"",IF(I735&lt;&gt;"",IF(ISERROR(VLOOKUP(I735,$C$3:$L$6,10,0)),"",VLOOKUP(I735,$C$3:$L$6,10,0)+J735+IF(OR(VLOOKUP(I735,$C$3:$L$6,5,0)=Variables!$B$5,B735&gt;VLOOKUP(I735,$C$3:$L$6,8,0)),IF(VLOOKUP(I735,$C$3:$L$6,5,0)=Variables!$B$5,((YEAR(B735)-YEAR($B$12))*12+MONTH(B735)-MONTH($B$12)),((YEAR(B735)-YEAR(VLOOKUP(I735,$C$3:$L$6,8,0)))*12+MONTH(B735)-MONTH(VLOOKUP(I735,$C$3:$L$6,8,0))))*VLOOKUP(I735,$C$3:$L$6,7,0),0)),""),"")</f>
        <v/>
      </c>
      <c r="L735" s="29" t="str">
        <f t="shared" ca="1" si="69"/>
        <v/>
      </c>
      <c r="M735" s="10"/>
      <c r="N735" s="10"/>
    </row>
    <row r="736" spans="1:14" x14ac:dyDescent="0.25">
      <c r="A736" s="10"/>
      <c r="B736" s="14" t="str">
        <f t="shared" ca="1" si="70"/>
        <v/>
      </c>
      <c r="C736" s="14" t="str">
        <f ca="1">IF(I735&lt;&gt;Variables!$B$1,IF(H735&lt;&gt;0,C735,I735),"")</f>
        <v/>
      </c>
      <c r="D736" s="29" t="str">
        <f t="shared" ca="1" si="67"/>
        <v/>
      </c>
      <c r="E736" s="29" t="str">
        <f t="shared" ca="1" si="68"/>
        <v/>
      </c>
      <c r="F736" s="29" t="str">
        <f ca="1">IF(C736&lt;&gt;"",IF(OR(VLOOKUP(C736,$C$3:$L$6,5,0)=Variables!$B$5,B736&gt;VLOOKUP(C736,$C$3:$L$6,8,0)),-D736*VLOOKUP(C736,$C$3:$L$6,6,0)/12,0),"")</f>
        <v/>
      </c>
      <c r="G736" s="29" t="str">
        <f ca="1">IF(I736&lt;&gt;Variables!$B$1,IF(C736&lt;&gt;"",$I$9-E736-F736,""),-D736)</f>
        <v/>
      </c>
      <c r="H736" s="29" t="str">
        <f t="shared" ca="1" si="71"/>
        <v/>
      </c>
      <c r="I736" s="31" t="str">
        <f ca="1">IF(C736&lt;&gt;"",IF(D736+$I$9-E736-F736&gt;=0,IF(ISERROR(INDEX($C$3:$C$6,MATCH(C736,$C$3:$C$6,0)+1,0)),Variables!$B$1,INDEX($C$3:$C$6,MATCH(C736,$C$3:$C$6,0)+1,0)),""),"")</f>
        <v/>
      </c>
      <c r="J736" s="29" t="str">
        <f ca="1">IF(ISERROR(VLOOKUP(I736,$C$3:$L$6,5,0)),"",IF(OR(VLOOKUP(I736,$C$3:$L$6,5,0)=Variables!$B$5,B736&gt;VLOOKUP(I736,$C$3:$L$6,8,0)),IF(VLOOKUP(I736,$C$3:$L$6,5,0)=Variables!$B$5,((YEAR(B736)-YEAR($B$12))*12+MONTH(B736)-MONTH($B$12)),((YEAR(B736)-YEAR(VLOOKUP(I736,$C$3:$L$6,8,0)))*12+MONTH(B736)-MONTH(VLOOKUP(I736,$C$3:$L$6,8,0))))*(VLOOKUP(I736,$C$3:$L$6,10,0)*VLOOKUP(I736,$C$3:$L$6,6,0)/12),0))</f>
        <v/>
      </c>
      <c r="K736" s="29" t="str">
        <f ca="1">IF(C736&lt;&gt;"",IF(I736&lt;&gt;"",IF(ISERROR(VLOOKUP(I736,$C$3:$L$6,10,0)),"",VLOOKUP(I736,$C$3:$L$6,10,0)+J736+IF(OR(VLOOKUP(I736,$C$3:$L$6,5,0)=Variables!$B$5,B736&gt;VLOOKUP(I736,$C$3:$L$6,8,0)),IF(VLOOKUP(I736,$C$3:$L$6,5,0)=Variables!$B$5,((YEAR(B736)-YEAR($B$12))*12+MONTH(B736)-MONTH($B$12)),((YEAR(B736)-YEAR(VLOOKUP(I736,$C$3:$L$6,8,0)))*12+MONTH(B736)-MONTH(VLOOKUP(I736,$C$3:$L$6,8,0))))*VLOOKUP(I736,$C$3:$L$6,7,0),0)),""),"")</f>
        <v/>
      </c>
      <c r="L736" s="29" t="str">
        <f t="shared" ca="1" si="69"/>
        <v/>
      </c>
      <c r="M736" s="10"/>
      <c r="N736" s="10"/>
    </row>
    <row r="737" spans="1:14" x14ac:dyDescent="0.25">
      <c r="A737" s="10"/>
      <c r="B737" s="14" t="str">
        <f t="shared" ca="1" si="70"/>
        <v/>
      </c>
      <c r="C737" s="14" t="str">
        <f ca="1">IF(I736&lt;&gt;Variables!$B$1,IF(H736&lt;&gt;0,C736,I736),"")</f>
        <v/>
      </c>
      <c r="D737" s="29" t="str">
        <f t="shared" ca="1" si="67"/>
        <v/>
      </c>
      <c r="E737" s="29" t="str">
        <f t="shared" ca="1" si="68"/>
        <v/>
      </c>
      <c r="F737" s="29" t="str">
        <f ca="1">IF(C737&lt;&gt;"",IF(OR(VLOOKUP(C737,$C$3:$L$6,5,0)=Variables!$B$5,B737&gt;VLOOKUP(C737,$C$3:$L$6,8,0)),-D737*VLOOKUP(C737,$C$3:$L$6,6,0)/12,0),"")</f>
        <v/>
      </c>
      <c r="G737" s="29" t="str">
        <f ca="1">IF(I737&lt;&gt;Variables!$B$1,IF(C737&lt;&gt;"",$I$9-E737-F737,""),-D737)</f>
        <v/>
      </c>
      <c r="H737" s="29" t="str">
        <f t="shared" ca="1" si="71"/>
        <v/>
      </c>
      <c r="I737" s="31" t="str">
        <f ca="1">IF(C737&lt;&gt;"",IF(D737+$I$9-E737-F737&gt;=0,IF(ISERROR(INDEX($C$3:$C$6,MATCH(C737,$C$3:$C$6,0)+1,0)),Variables!$B$1,INDEX($C$3:$C$6,MATCH(C737,$C$3:$C$6,0)+1,0)),""),"")</f>
        <v/>
      </c>
      <c r="J737" s="29" t="str">
        <f ca="1">IF(ISERROR(VLOOKUP(I737,$C$3:$L$6,5,0)),"",IF(OR(VLOOKUP(I737,$C$3:$L$6,5,0)=Variables!$B$5,B737&gt;VLOOKUP(I737,$C$3:$L$6,8,0)),IF(VLOOKUP(I737,$C$3:$L$6,5,0)=Variables!$B$5,((YEAR(B737)-YEAR($B$12))*12+MONTH(B737)-MONTH($B$12)),((YEAR(B737)-YEAR(VLOOKUP(I737,$C$3:$L$6,8,0)))*12+MONTH(B737)-MONTH(VLOOKUP(I737,$C$3:$L$6,8,0))))*(VLOOKUP(I737,$C$3:$L$6,10,0)*VLOOKUP(I737,$C$3:$L$6,6,0)/12),0))</f>
        <v/>
      </c>
      <c r="K737" s="29" t="str">
        <f ca="1">IF(C737&lt;&gt;"",IF(I737&lt;&gt;"",IF(ISERROR(VLOOKUP(I737,$C$3:$L$6,10,0)),"",VLOOKUP(I737,$C$3:$L$6,10,0)+J737+IF(OR(VLOOKUP(I737,$C$3:$L$6,5,0)=Variables!$B$5,B737&gt;VLOOKUP(I737,$C$3:$L$6,8,0)),IF(VLOOKUP(I737,$C$3:$L$6,5,0)=Variables!$B$5,((YEAR(B737)-YEAR($B$12))*12+MONTH(B737)-MONTH($B$12)),((YEAR(B737)-YEAR(VLOOKUP(I737,$C$3:$L$6,8,0)))*12+MONTH(B737)-MONTH(VLOOKUP(I737,$C$3:$L$6,8,0))))*VLOOKUP(I737,$C$3:$L$6,7,0),0)),""),"")</f>
        <v/>
      </c>
      <c r="L737" s="29" t="str">
        <f t="shared" ca="1" si="69"/>
        <v/>
      </c>
      <c r="M737" s="10"/>
      <c r="N737" s="10"/>
    </row>
    <row r="738" spans="1:14" x14ac:dyDescent="0.25">
      <c r="A738" s="10"/>
      <c r="B738" s="14" t="str">
        <f t="shared" ca="1" si="70"/>
        <v/>
      </c>
      <c r="C738" s="14" t="str">
        <f ca="1">IF(I737&lt;&gt;Variables!$B$1,IF(H737&lt;&gt;0,C737,I737),"")</f>
        <v/>
      </c>
      <c r="D738" s="29" t="str">
        <f t="shared" ca="1" si="67"/>
        <v/>
      </c>
      <c r="E738" s="29" t="str">
        <f t="shared" ca="1" si="68"/>
        <v/>
      </c>
      <c r="F738" s="29" t="str">
        <f ca="1">IF(C738&lt;&gt;"",IF(OR(VLOOKUP(C738,$C$3:$L$6,5,0)=Variables!$B$5,B738&gt;VLOOKUP(C738,$C$3:$L$6,8,0)),-D738*VLOOKUP(C738,$C$3:$L$6,6,0)/12,0),"")</f>
        <v/>
      </c>
      <c r="G738" s="29" t="str">
        <f ca="1">IF(I738&lt;&gt;Variables!$B$1,IF(C738&lt;&gt;"",$I$9-E738-F738,""),-D738)</f>
        <v/>
      </c>
      <c r="H738" s="29" t="str">
        <f t="shared" ca="1" si="71"/>
        <v/>
      </c>
      <c r="I738" s="31" t="str">
        <f ca="1">IF(C738&lt;&gt;"",IF(D738+$I$9-E738-F738&gt;=0,IF(ISERROR(INDEX($C$3:$C$6,MATCH(C738,$C$3:$C$6,0)+1,0)),Variables!$B$1,INDEX($C$3:$C$6,MATCH(C738,$C$3:$C$6,0)+1,0)),""),"")</f>
        <v/>
      </c>
      <c r="J738" s="29" t="str">
        <f ca="1">IF(ISERROR(VLOOKUP(I738,$C$3:$L$6,5,0)),"",IF(OR(VLOOKUP(I738,$C$3:$L$6,5,0)=Variables!$B$5,B738&gt;VLOOKUP(I738,$C$3:$L$6,8,0)),IF(VLOOKUP(I738,$C$3:$L$6,5,0)=Variables!$B$5,((YEAR(B738)-YEAR($B$12))*12+MONTH(B738)-MONTH($B$12)),((YEAR(B738)-YEAR(VLOOKUP(I738,$C$3:$L$6,8,0)))*12+MONTH(B738)-MONTH(VLOOKUP(I738,$C$3:$L$6,8,0))))*(VLOOKUP(I738,$C$3:$L$6,10,0)*VLOOKUP(I738,$C$3:$L$6,6,0)/12),0))</f>
        <v/>
      </c>
      <c r="K738" s="29" t="str">
        <f ca="1">IF(C738&lt;&gt;"",IF(I738&lt;&gt;"",IF(ISERROR(VLOOKUP(I738,$C$3:$L$6,10,0)),"",VLOOKUP(I738,$C$3:$L$6,10,0)+J738+IF(OR(VLOOKUP(I738,$C$3:$L$6,5,0)=Variables!$B$5,B738&gt;VLOOKUP(I738,$C$3:$L$6,8,0)),IF(VLOOKUP(I738,$C$3:$L$6,5,0)=Variables!$B$5,((YEAR(B738)-YEAR($B$12))*12+MONTH(B738)-MONTH($B$12)),((YEAR(B738)-YEAR(VLOOKUP(I738,$C$3:$L$6,8,0)))*12+MONTH(B738)-MONTH(VLOOKUP(I738,$C$3:$L$6,8,0))))*VLOOKUP(I738,$C$3:$L$6,7,0),0)),""),"")</f>
        <v/>
      </c>
      <c r="L738" s="29" t="str">
        <f t="shared" ca="1" si="69"/>
        <v/>
      </c>
      <c r="M738" s="10"/>
      <c r="N738" s="10"/>
    </row>
    <row r="739" spans="1:14" x14ac:dyDescent="0.25">
      <c r="A739" s="10"/>
      <c r="B739" s="14" t="str">
        <f t="shared" ca="1" si="70"/>
        <v/>
      </c>
      <c r="C739" s="14" t="str">
        <f ca="1">IF(I738&lt;&gt;Variables!$B$1,IF(H738&lt;&gt;0,C738,I738),"")</f>
        <v/>
      </c>
      <c r="D739" s="29" t="str">
        <f t="shared" ca="1" si="67"/>
        <v/>
      </c>
      <c r="E739" s="29" t="str">
        <f t="shared" ca="1" si="68"/>
        <v/>
      </c>
      <c r="F739" s="29" t="str">
        <f ca="1">IF(C739&lt;&gt;"",IF(OR(VLOOKUP(C739,$C$3:$L$6,5,0)=Variables!$B$5,B739&gt;VLOOKUP(C739,$C$3:$L$6,8,0)),-D739*VLOOKUP(C739,$C$3:$L$6,6,0)/12,0),"")</f>
        <v/>
      </c>
      <c r="G739" s="29" t="str">
        <f ca="1">IF(I739&lt;&gt;Variables!$B$1,IF(C739&lt;&gt;"",$I$9-E739-F739,""),-D739)</f>
        <v/>
      </c>
      <c r="H739" s="29" t="str">
        <f t="shared" ca="1" si="71"/>
        <v/>
      </c>
      <c r="I739" s="31" t="str">
        <f ca="1">IF(C739&lt;&gt;"",IF(D739+$I$9-E739-F739&gt;=0,IF(ISERROR(INDEX($C$3:$C$6,MATCH(C739,$C$3:$C$6,0)+1,0)),Variables!$B$1,INDEX($C$3:$C$6,MATCH(C739,$C$3:$C$6,0)+1,0)),""),"")</f>
        <v/>
      </c>
      <c r="J739" s="29" t="str">
        <f ca="1">IF(ISERROR(VLOOKUP(I739,$C$3:$L$6,5,0)),"",IF(OR(VLOOKUP(I739,$C$3:$L$6,5,0)=Variables!$B$5,B739&gt;VLOOKUP(I739,$C$3:$L$6,8,0)),IF(VLOOKUP(I739,$C$3:$L$6,5,0)=Variables!$B$5,((YEAR(B739)-YEAR($B$12))*12+MONTH(B739)-MONTH($B$12)),((YEAR(B739)-YEAR(VLOOKUP(I739,$C$3:$L$6,8,0)))*12+MONTH(B739)-MONTH(VLOOKUP(I739,$C$3:$L$6,8,0))))*(VLOOKUP(I739,$C$3:$L$6,10,0)*VLOOKUP(I739,$C$3:$L$6,6,0)/12),0))</f>
        <v/>
      </c>
      <c r="K739" s="29" t="str">
        <f ca="1">IF(C739&lt;&gt;"",IF(I739&lt;&gt;"",IF(ISERROR(VLOOKUP(I739,$C$3:$L$6,10,0)),"",VLOOKUP(I739,$C$3:$L$6,10,0)+J739+IF(OR(VLOOKUP(I739,$C$3:$L$6,5,0)=Variables!$B$5,B739&gt;VLOOKUP(I739,$C$3:$L$6,8,0)),IF(VLOOKUP(I739,$C$3:$L$6,5,0)=Variables!$B$5,((YEAR(B739)-YEAR($B$12))*12+MONTH(B739)-MONTH($B$12)),((YEAR(B739)-YEAR(VLOOKUP(I739,$C$3:$L$6,8,0)))*12+MONTH(B739)-MONTH(VLOOKUP(I739,$C$3:$L$6,8,0))))*VLOOKUP(I739,$C$3:$L$6,7,0),0)),""),"")</f>
        <v/>
      </c>
      <c r="L739" s="29" t="str">
        <f t="shared" ca="1" si="69"/>
        <v/>
      </c>
      <c r="M739" s="10"/>
      <c r="N739" s="10"/>
    </row>
    <row r="740" spans="1:14" x14ac:dyDescent="0.25">
      <c r="A740" s="10"/>
      <c r="B740" s="14" t="str">
        <f t="shared" ca="1" si="70"/>
        <v/>
      </c>
      <c r="C740" s="14" t="str">
        <f ca="1">IF(I739&lt;&gt;Variables!$B$1,IF(H739&lt;&gt;0,C739,I739),"")</f>
        <v/>
      </c>
      <c r="D740" s="29" t="str">
        <f t="shared" ca="1" si="67"/>
        <v/>
      </c>
      <c r="E740" s="29" t="str">
        <f t="shared" ca="1" si="68"/>
        <v/>
      </c>
      <c r="F740" s="29" t="str">
        <f ca="1">IF(C740&lt;&gt;"",IF(OR(VLOOKUP(C740,$C$3:$L$6,5,0)=Variables!$B$5,B740&gt;VLOOKUP(C740,$C$3:$L$6,8,0)),-D740*VLOOKUP(C740,$C$3:$L$6,6,0)/12,0),"")</f>
        <v/>
      </c>
      <c r="G740" s="29" t="str">
        <f ca="1">IF(I740&lt;&gt;Variables!$B$1,IF(C740&lt;&gt;"",$I$9-E740-F740,""),-D740)</f>
        <v/>
      </c>
      <c r="H740" s="29" t="str">
        <f t="shared" ca="1" si="71"/>
        <v/>
      </c>
      <c r="I740" s="31" t="str">
        <f ca="1">IF(C740&lt;&gt;"",IF(D740+$I$9-E740-F740&gt;=0,IF(ISERROR(INDEX($C$3:$C$6,MATCH(C740,$C$3:$C$6,0)+1,0)),Variables!$B$1,INDEX($C$3:$C$6,MATCH(C740,$C$3:$C$6,0)+1,0)),""),"")</f>
        <v/>
      </c>
      <c r="J740" s="29" t="str">
        <f ca="1">IF(ISERROR(VLOOKUP(I740,$C$3:$L$6,5,0)),"",IF(OR(VLOOKUP(I740,$C$3:$L$6,5,0)=Variables!$B$5,B740&gt;VLOOKUP(I740,$C$3:$L$6,8,0)),IF(VLOOKUP(I740,$C$3:$L$6,5,0)=Variables!$B$5,((YEAR(B740)-YEAR($B$12))*12+MONTH(B740)-MONTH($B$12)),((YEAR(B740)-YEAR(VLOOKUP(I740,$C$3:$L$6,8,0)))*12+MONTH(B740)-MONTH(VLOOKUP(I740,$C$3:$L$6,8,0))))*(VLOOKUP(I740,$C$3:$L$6,10,0)*VLOOKUP(I740,$C$3:$L$6,6,0)/12),0))</f>
        <v/>
      </c>
      <c r="K740" s="29" t="str">
        <f ca="1">IF(C740&lt;&gt;"",IF(I740&lt;&gt;"",IF(ISERROR(VLOOKUP(I740,$C$3:$L$6,10,0)),"",VLOOKUP(I740,$C$3:$L$6,10,0)+J740+IF(OR(VLOOKUP(I740,$C$3:$L$6,5,0)=Variables!$B$5,B740&gt;VLOOKUP(I740,$C$3:$L$6,8,0)),IF(VLOOKUP(I740,$C$3:$L$6,5,0)=Variables!$B$5,((YEAR(B740)-YEAR($B$12))*12+MONTH(B740)-MONTH($B$12)),((YEAR(B740)-YEAR(VLOOKUP(I740,$C$3:$L$6,8,0)))*12+MONTH(B740)-MONTH(VLOOKUP(I740,$C$3:$L$6,8,0))))*VLOOKUP(I740,$C$3:$L$6,7,0),0)),""),"")</f>
        <v/>
      </c>
      <c r="L740" s="29" t="str">
        <f t="shared" ca="1" si="69"/>
        <v/>
      </c>
      <c r="M740" s="10"/>
      <c r="N740" s="10"/>
    </row>
    <row r="741" spans="1:14" x14ac:dyDescent="0.25">
      <c r="A741" s="10"/>
      <c r="B741" s="14" t="str">
        <f t="shared" ca="1" si="70"/>
        <v/>
      </c>
      <c r="C741" s="14" t="str">
        <f ca="1">IF(I740&lt;&gt;Variables!$B$1,IF(H740&lt;&gt;0,C740,I740),"")</f>
        <v/>
      </c>
      <c r="D741" s="29" t="str">
        <f t="shared" ca="1" si="67"/>
        <v/>
      </c>
      <c r="E741" s="29" t="str">
        <f t="shared" ca="1" si="68"/>
        <v/>
      </c>
      <c r="F741" s="29" t="str">
        <f ca="1">IF(C741&lt;&gt;"",IF(OR(VLOOKUP(C741,$C$3:$L$6,5,0)=Variables!$B$5,B741&gt;VLOOKUP(C741,$C$3:$L$6,8,0)),-D741*VLOOKUP(C741,$C$3:$L$6,6,0)/12,0),"")</f>
        <v/>
      </c>
      <c r="G741" s="29" t="str">
        <f ca="1">IF(I741&lt;&gt;Variables!$B$1,IF(C741&lt;&gt;"",$I$9-E741-F741,""),-D741)</f>
        <v/>
      </c>
      <c r="H741" s="29" t="str">
        <f t="shared" ca="1" si="71"/>
        <v/>
      </c>
      <c r="I741" s="31" t="str">
        <f ca="1">IF(C741&lt;&gt;"",IF(D741+$I$9-E741-F741&gt;=0,IF(ISERROR(INDEX($C$3:$C$6,MATCH(C741,$C$3:$C$6,0)+1,0)),Variables!$B$1,INDEX($C$3:$C$6,MATCH(C741,$C$3:$C$6,0)+1,0)),""),"")</f>
        <v/>
      </c>
      <c r="J741" s="29" t="str">
        <f ca="1">IF(ISERROR(VLOOKUP(I741,$C$3:$L$6,5,0)),"",IF(OR(VLOOKUP(I741,$C$3:$L$6,5,0)=Variables!$B$5,B741&gt;VLOOKUP(I741,$C$3:$L$6,8,0)),IF(VLOOKUP(I741,$C$3:$L$6,5,0)=Variables!$B$5,((YEAR(B741)-YEAR($B$12))*12+MONTH(B741)-MONTH($B$12)),((YEAR(B741)-YEAR(VLOOKUP(I741,$C$3:$L$6,8,0)))*12+MONTH(B741)-MONTH(VLOOKUP(I741,$C$3:$L$6,8,0))))*(VLOOKUP(I741,$C$3:$L$6,10,0)*VLOOKUP(I741,$C$3:$L$6,6,0)/12),0))</f>
        <v/>
      </c>
      <c r="K741" s="29" t="str">
        <f ca="1">IF(C741&lt;&gt;"",IF(I741&lt;&gt;"",IF(ISERROR(VLOOKUP(I741,$C$3:$L$6,10,0)),"",VLOOKUP(I741,$C$3:$L$6,10,0)+J741+IF(OR(VLOOKUP(I741,$C$3:$L$6,5,0)=Variables!$B$5,B741&gt;VLOOKUP(I741,$C$3:$L$6,8,0)),IF(VLOOKUP(I741,$C$3:$L$6,5,0)=Variables!$B$5,((YEAR(B741)-YEAR($B$12))*12+MONTH(B741)-MONTH($B$12)),((YEAR(B741)-YEAR(VLOOKUP(I741,$C$3:$L$6,8,0)))*12+MONTH(B741)-MONTH(VLOOKUP(I741,$C$3:$L$6,8,0))))*VLOOKUP(I741,$C$3:$L$6,7,0),0)),""),"")</f>
        <v/>
      </c>
      <c r="L741" s="29" t="str">
        <f t="shared" ca="1" si="69"/>
        <v/>
      </c>
      <c r="M741" s="10"/>
      <c r="N741" s="10"/>
    </row>
    <row r="742" spans="1:14" x14ac:dyDescent="0.25">
      <c r="A742" s="10"/>
      <c r="B742" s="14" t="str">
        <f t="shared" ca="1" si="70"/>
        <v/>
      </c>
      <c r="C742" s="14" t="str">
        <f ca="1">IF(I741&lt;&gt;Variables!$B$1,IF(H741&lt;&gt;0,C741,I741),"")</f>
        <v/>
      </c>
      <c r="D742" s="29" t="str">
        <f t="shared" ca="1" si="67"/>
        <v/>
      </c>
      <c r="E742" s="29" t="str">
        <f t="shared" ca="1" si="68"/>
        <v/>
      </c>
      <c r="F742" s="29" t="str">
        <f ca="1">IF(C742&lt;&gt;"",IF(OR(VLOOKUP(C742,$C$3:$L$6,5,0)=Variables!$B$5,B742&gt;VLOOKUP(C742,$C$3:$L$6,8,0)),-D742*VLOOKUP(C742,$C$3:$L$6,6,0)/12,0),"")</f>
        <v/>
      </c>
      <c r="G742" s="29" t="str">
        <f ca="1">IF(I742&lt;&gt;Variables!$B$1,IF(C742&lt;&gt;"",$I$9-E742-F742,""),-D742)</f>
        <v/>
      </c>
      <c r="H742" s="29" t="str">
        <f t="shared" ca="1" si="71"/>
        <v/>
      </c>
      <c r="I742" s="31" t="str">
        <f ca="1">IF(C742&lt;&gt;"",IF(D742+$I$9-E742-F742&gt;=0,IF(ISERROR(INDEX($C$3:$C$6,MATCH(C742,$C$3:$C$6,0)+1,0)),Variables!$B$1,INDEX($C$3:$C$6,MATCH(C742,$C$3:$C$6,0)+1,0)),""),"")</f>
        <v/>
      </c>
      <c r="J742" s="29" t="str">
        <f ca="1">IF(ISERROR(VLOOKUP(I742,$C$3:$L$6,5,0)),"",IF(OR(VLOOKUP(I742,$C$3:$L$6,5,0)=Variables!$B$5,B742&gt;VLOOKUP(I742,$C$3:$L$6,8,0)),IF(VLOOKUP(I742,$C$3:$L$6,5,0)=Variables!$B$5,((YEAR(B742)-YEAR($B$12))*12+MONTH(B742)-MONTH($B$12)),((YEAR(B742)-YEAR(VLOOKUP(I742,$C$3:$L$6,8,0)))*12+MONTH(B742)-MONTH(VLOOKUP(I742,$C$3:$L$6,8,0))))*(VLOOKUP(I742,$C$3:$L$6,10,0)*VLOOKUP(I742,$C$3:$L$6,6,0)/12),0))</f>
        <v/>
      </c>
      <c r="K742" s="29" t="str">
        <f ca="1">IF(C742&lt;&gt;"",IF(I742&lt;&gt;"",IF(ISERROR(VLOOKUP(I742,$C$3:$L$6,10,0)),"",VLOOKUP(I742,$C$3:$L$6,10,0)+J742+IF(OR(VLOOKUP(I742,$C$3:$L$6,5,0)=Variables!$B$5,B742&gt;VLOOKUP(I742,$C$3:$L$6,8,0)),IF(VLOOKUP(I742,$C$3:$L$6,5,0)=Variables!$B$5,((YEAR(B742)-YEAR($B$12))*12+MONTH(B742)-MONTH($B$12)),((YEAR(B742)-YEAR(VLOOKUP(I742,$C$3:$L$6,8,0)))*12+MONTH(B742)-MONTH(VLOOKUP(I742,$C$3:$L$6,8,0))))*VLOOKUP(I742,$C$3:$L$6,7,0),0)),""),"")</f>
        <v/>
      </c>
      <c r="L742" s="29" t="str">
        <f t="shared" ca="1" si="69"/>
        <v/>
      </c>
      <c r="M742" s="10"/>
      <c r="N742" s="10"/>
    </row>
    <row r="743" spans="1:14" x14ac:dyDescent="0.25">
      <c r="A743" s="10"/>
      <c r="B743" s="14" t="str">
        <f t="shared" ca="1" si="70"/>
        <v/>
      </c>
      <c r="C743" s="14" t="str">
        <f ca="1">IF(I742&lt;&gt;Variables!$B$1,IF(H742&lt;&gt;0,C742,I742),"")</f>
        <v/>
      </c>
      <c r="D743" s="29" t="str">
        <f t="shared" ca="1" si="67"/>
        <v/>
      </c>
      <c r="E743" s="29" t="str">
        <f t="shared" ca="1" si="68"/>
        <v/>
      </c>
      <c r="F743" s="29" t="str">
        <f ca="1">IF(C743&lt;&gt;"",IF(OR(VLOOKUP(C743,$C$3:$L$6,5,0)=Variables!$B$5,B743&gt;VLOOKUP(C743,$C$3:$L$6,8,0)),-D743*VLOOKUP(C743,$C$3:$L$6,6,0)/12,0),"")</f>
        <v/>
      </c>
      <c r="G743" s="29" t="str">
        <f ca="1">IF(I743&lt;&gt;Variables!$B$1,IF(C743&lt;&gt;"",$I$9-E743-F743,""),-D743)</f>
        <v/>
      </c>
      <c r="H743" s="29" t="str">
        <f t="shared" ca="1" si="71"/>
        <v/>
      </c>
      <c r="I743" s="31" t="str">
        <f ca="1">IF(C743&lt;&gt;"",IF(D743+$I$9-E743-F743&gt;=0,IF(ISERROR(INDEX($C$3:$C$6,MATCH(C743,$C$3:$C$6,0)+1,0)),Variables!$B$1,INDEX($C$3:$C$6,MATCH(C743,$C$3:$C$6,0)+1,0)),""),"")</f>
        <v/>
      </c>
      <c r="J743" s="29" t="str">
        <f ca="1">IF(ISERROR(VLOOKUP(I743,$C$3:$L$6,5,0)),"",IF(OR(VLOOKUP(I743,$C$3:$L$6,5,0)=Variables!$B$5,B743&gt;VLOOKUP(I743,$C$3:$L$6,8,0)),IF(VLOOKUP(I743,$C$3:$L$6,5,0)=Variables!$B$5,((YEAR(B743)-YEAR($B$12))*12+MONTH(B743)-MONTH($B$12)),((YEAR(B743)-YEAR(VLOOKUP(I743,$C$3:$L$6,8,0)))*12+MONTH(B743)-MONTH(VLOOKUP(I743,$C$3:$L$6,8,0))))*(VLOOKUP(I743,$C$3:$L$6,10,0)*VLOOKUP(I743,$C$3:$L$6,6,0)/12),0))</f>
        <v/>
      </c>
      <c r="K743" s="29" t="str">
        <f ca="1">IF(C743&lt;&gt;"",IF(I743&lt;&gt;"",IF(ISERROR(VLOOKUP(I743,$C$3:$L$6,10,0)),"",VLOOKUP(I743,$C$3:$L$6,10,0)+J743+IF(OR(VLOOKUP(I743,$C$3:$L$6,5,0)=Variables!$B$5,B743&gt;VLOOKUP(I743,$C$3:$L$6,8,0)),IF(VLOOKUP(I743,$C$3:$L$6,5,0)=Variables!$B$5,((YEAR(B743)-YEAR($B$12))*12+MONTH(B743)-MONTH($B$12)),((YEAR(B743)-YEAR(VLOOKUP(I743,$C$3:$L$6,8,0)))*12+MONTH(B743)-MONTH(VLOOKUP(I743,$C$3:$L$6,8,0))))*VLOOKUP(I743,$C$3:$L$6,7,0),0)),""),"")</f>
        <v/>
      </c>
      <c r="L743" s="29" t="str">
        <f t="shared" ca="1" si="69"/>
        <v/>
      </c>
      <c r="M743" s="10"/>
      <c r="N743" s="10"/>
    </row>
    <row r="744" spans="1:14" x14ac:dyDescent="0.25">
      <c r="A744" s="10"/>
      <c r="B744" s="14" t="str">
        <f t="shared" ca="1" si="70"/>
        <v/>
      </c>
      <c r="C744" s="14" t="str">
        <f ca="1">IF(I743&lt;&gt;Variables!$B$1,IF(H743&lt;&gt;0,C743,I743),"")</f>
        <v/>
      </c>
      <c r="D744" s="29" t="str">
        <f t="shared" ca="1" si="67"/>
        <v/>
      </c>
      <c r="E744" s="29" t="str">
        <f t="shared" ca="1" si="68"/>
        <v/>
      </c>
      <c r="F744" s="29" t="str">
        <f ca="1">IF(C744&lt;&gt;"",IF(OR(VLOOKUP(C744,$C$3:$L$6,5,0)=Variables!$B$5,B744&gt;VLOOKUP(C744,$C$3:$L$6,8,0)),-D744*VLOOKUP(C744,$C$3:$L$6,6,0)/12,0),"")</f>
        <v/>
      </c>
      <c r="G744" s="29" t="str">
        <f ca="1">IF(I744&lt;&gt;Variables!$B$1,IF(C744&lt;&gt;"",$I$9-E744-F744,""),-D744)</f>
        <v/>
      </c>
      <c r="H744" s="29" t="str">
        <f t="shared" ca="1" si="71"/>
        <v/>
      </c>
      <c r="I744" s="31" t="str">
        <f ca="1">IF(C744&lt;&gt;"",IF(D744+$I$9-E744-F744&gt;=0,IF(ISERROR(INDEX($C$3:$C$6,MATCH(C744,$C$3:$C$6,0)+1,0)),Variables!$B$1,INDEX($C$3:$C$6,MATCH(C744,$C$3:$C$6,0)+1,0)),""),"")</f>
        <v/>
      </c>
      <c r="J744" s="29" t="str">
        <f ca="1">IF(ISERROR(VLOOKUP(I744,$C$3:$L$6,5,0)),"",IF(OR(VLOOKUP(I744,$C$3:$L$6,5,0)=Variables!$B$5,B744&gt;VLOOKUP(I744,$C$3:$L$6,8,0)),IF(VLOOKUP(I744,$C$3:$L$6,5,0)=Variables!$B$5,((YEAR(B744)-YEAR($B$12))*12+MONTH(B744)-MONTH($B$12)),((YEAR(B744)-YEAR(VLOOKUP(I744,$C$3:$L$6,8,0)))*12+MONTH(B744)-MONTH(VLOOKUP(I744,$C$3:$L$6,8,0))))*(VLOOKUP(I744,$C$3:$L$6,10,0)*VLOOKUP(I744,$C$3:$L$6,6,0)/12),0))</f>
        <v/>
      </c>
      <c r="K744" s="29" t="str">
        <f ca="1">IF(C744&lt;&gt;"",IF(I744&lt;&gt;"",IF(ISERROR(VLOOKUP(I744,$C$3:$L$6,10,0)),"",VLOOKUP(I744,$C$3:$L$6,10,0)+J744+IF(OR(VLOOKUP(I744,$C$3:$L$6,5,0)=Variables!$B$5,B744&gt;VLOOKUP(I744,$C$3:$L$6,8,0)),IF(VLOOKUP(I744,$C$3:$L$6,5,0)=Variables!$B$5,((YEAR(B744)-YEAR($B$12))*12+MONTH(B744)-MONTH($B$12)),((YEAR(B744)-YEAR(VLOOKUP(I744,$C$3:$L$6,8,0)))*12+MONTH(B744)-MONTH(VLOOKUP(I744,$C$3:$L$6,8,0))))*VLOOKUP(I744,$C$3:$L$6,7,0),0)),""),"")</f>
        <v/>
      </c>
      <c r="L744" s="29" t="str">
        <f t="shared" ca="1" si="69"/>
        <v/>
      </c>
      <c r="M744" s="10"/>
      <c r="N744" s="10"/>
    </row>
    <row r="745" spans="1:14" x14ac:dyDescent="0.25">
      <c r="A745" s="10"/>
      <c r="B745" s="14" t="str">
        <f t="shared" ca="1" si="70"/>
        <v/>
      </c>
      <c r="C745" s="14" t="str">
        <f ca="1">IF(I744&lt;&gt;Variables!$B$1,IF(H744&lt;&gt;0,C744,I744),"")</f>
        <v/>
      </c>
      <c r="D745" s="29" t="str">
        <f t="shared" ca="1" si="67"/>
        <v/>
      </c>
      <c r="E745" s="29" t="str">
        <f t="shared" ca="1" si="68"/>
        <v/>
      </c>
      <c r="F745" s="29" t="str">
        <f ca="1">IF(C745&lt;&gt;"",IF(OR(VLOOKUP(C745,$C$3:$L$6,5,0)=Variables!$B$5,B745&gt;VLOOKUP(C745,$C$3:$L$6,8,0)),-D745*VLOOKUP(C745,$C$3:$L$6,6,0)/12,0),"")</f>
        <v/>
      </c>
      <c r="G745" s="29" t="str">
        <f ca="1">IF(I745&lt;&gt;Variables!$B$1,IF(C745&lt;&gt;"",$I$9-E745-F745,""),-D745)</f>
        <v/>
      </c>
      <c r="H745" s="29" t="str">
        <f t="shared" ca="1" si="71"/>
        <v/>
      </c>
      <c r="I745" s="31" t="str">
        <f ca="1">IF(C745&lt;&gt;"",IF(D745+$I$9-E745-F745&gt;=0,IF(ISERROR(INDEX($C$3:$C$6,MATCH(C745,$C$3:$C$6,0)+1,0)),Variables!$B$1,INDEX($C$3:$C$6,MATCH(C745,$C$3:$C$6,0)+1,0)),""),"")</f>
        <v/>
      </c>
      <c r="J745" s="29" t="str">
        <f ca="1">IF(ISERROR(VLOOKUP(I745,$C$3:$L$6,5,0)),"",IF(OR(VLOOKUP(I745,$C$3:$L$6,5,0)=Variables!$B$5,B745&gt;VLOOKUP(I745,$C$3:$L$6,8,0)),IF(VLOOKUP(I745,$C$3:$L$6,5,0)=Variables!$B$5,((YEAR(B745)-YEAR($B$12))*12+MONTH(B745)-MONTH($B$12)),((YEAR(B745)-YEAR(VLOOKUP(I745,$C$3:$L$6,8,0)))*12+MONTH(B745)-MONTH(VLOOKUP(I745,$C$3:$L$6,8,0))))*(VLOOKUP(I745,$C$3:$L$6,10,0)*VLOOKUP(I745,$C$3:$L$6,6,0)/12),0))</f>
        <v/>
      </c>
      <c r="K745" s="29" t="str">
        <f ca="1">IF(C745&lt;&gt;"",IF(I745&lt;&gt;"",IF(ISERROR(VLOOKUP(I745,$C$3:$L$6,10,0)),"",VLOOKUP(I745,$C$3:$L$6,10,0)+J745+IF(OR(VLOOKUP(I745,$C$3:$L$6,5,0)=Variables!$B$5,B745&gt;VLOOKUP(I745,$C$3:$L$6,8,0)),IF(VLOOKUP(I745,$C$3:$L$6,5,0)=Variables!$B$5,((YEAR(B745)-YEAR($B$12))*12+MONTH(B745)-MONTH($B$12)),((YEAR(B745)-YEAR(VLOOKUP(I745,$C$3:$L$6,8,0)))*12+MONTH(B745)-MONTH(VLOOKUP(I745,$C$3:$L$6,8,0))))*VLOOKUP(I745,$C$3:$L$6,7,0),0)),""),"")</f>
        <v/>
      </c>
      <c r="L745" s="29" t="str">
        <f t="shared" ca="1" si="69"/>
        <v/>
      </c>
      <c r="M745" s="10"/>
      <c r="N745" s="10"/>
    </row>
    <row r="746" spans="1:14" x14ac:dyDescent="0.25">
      <c r="A746" s="10"/>
      <c r="B746" s="14" t="str">
        <f t="shared" ca="1" si="70"/>
        <v/>
      </c>
      <c r="C746" s="14" t="str">
        <f ca="1">IF(I745&lt;&gt;Variables!$B$1,IF(H745&lt;&gt;0,C745,I745),"")</f>
        <v/>
      </c>
      <c r="D746" s="29" t="str">
        <f t="shared" ca="1" si="67"/>
        <v/>
      </c>
      <c r="E746" s="29" t="str">
        <f t="shared" ca="1" si="68"/>
        <v/>
      </c>
      <c r="F746" s="29" t="str">
        <f ca="1">IF(C746&lt;&gt;"",IF(OR(VLOOKUP(C746,$C$3:$L$6,5,0)=Variables!$B$5,B746&gt;VLOOKUP(C746,$C$3:$L$6,8,0)),-D746*VLOOKUP(C746,$C$3:$L$6,6,0)/12,0),"")</f>
        <v/>
      </c>
      <c r="G746" s="29" t="str">
        <f ca="1">IF(I746&lt;&gt;Variables!$B$1,IF(C746&lt;&gt;"",$I$9-E746-F746,""),-D746)</f>
        <v/>
      </c>
      <c r="H746" s="29" t="str">
        <f t="shared" ca="1" si="71"/>
        <v/>
      </c>
      <c r="I746" s="31" t="str">
        <f ca="1">IF(C746&lt;&gt;"",IF(D746+$I$9-E746-F746&gt;=0,IF(ISERROR(INDEX($C$3:$C$6,MATCH(C746,$C$3:$C$6,0)+1,0)),Variables!$B$1,INDEX($C$3:$C$6,MATCH(C746,$C$3:$C$6,0)+1,0)),""),"")</f>
        <v/>
      </c>
      <c r="J746" s="29" t="str">
        <f ca="1">IF(ISERROR(VLOOKUP(I746,$C$3:$L$6,5,0)),"",IF(OR(VLOOKUP(I746,$C$3:$L$6,5,0)=Variables!$B$5,B746&gt;VLOOKUP(I746,$C$3:$L$6,8,0)),IF(VLOOKUP(I746,$C$3:$L$6,5,0)=Variables!$B$5,((YEAR(B746)-YEAR($B$12))*12+MONTH(B746)-MONTH($B$12)),((YEAR(B746)-YEAR(VLOOKUP(I746,$C$3:$L$6,8,0)))*12+MONTH(B746)-MONTH(VLOOKUP(I746,$C$3:$L$6,8,0))))*(VLOOKUP(I746,$C$3:$L$6,10,0)*VLOOKUP(I746,$C$3:$L$6,6,0)/12),0))</f>
        <v/>
      </c>
      <c r="K746" s="29" t="str">
        <f ca="1">IF(C746&lt;&gt;"",IF(I746&lt;&gt;"",IF(ISERROR(VLOOKUP(I746,$C$3:$L$6,10,0)),"",VLOOKUP(I746,$C$3:$L$6,10,0)+J746+IF(OR(VLOOKUP(I746,$C$3:$L$6,5,0)=Variables!$B$5,B746&gt;VLOOKUP(I746,$C$3:$L$6,8,0)),IF(VLOOKUP(I746,$C$3:$L$6,5,0)=Variables!$B$5,((YEAR(B746)-YEAR($B$12))*12+MONTH(B746)-MONTH($B$12)),((YEAR(B746)-YEAR(VLOOKUP(I746,$C$3:$L$6,8,0)))*12+MONTH(B746)-MONTH(VLOOKUP(I746,$C$3:$L$6,8,0))))*VLOOKUP(I746,$C$3:$L$6,7,0),0)),""),"")</f>
        <v/>
      </c>
      <c r="L746" s="29" t="str">
        <f t="shared" ca="1" si="69"/>
        <v/>
      </c>
      <c r="M746" s="10"/>
      <c r="N746" s="10"/>
    </row>
    <row r="747" spans="1:14" x14ac:dyDescent="0.25">
      <c r="A747" s="10"/>
      <c r="B747" s="14" t="str">
        <f t="shared" ca="1" si="70"/>
        <v/>
      </c>
      <c r="C747" s="14" t="str">
        <f ca="1">IF(I746&lt;&gt;Variables!$B$1,IF(H746&lt;&gt;0,C746,I746),"")</f>
        <v/>
      </c>
      <c r="D747" s="29" t="str">
        <f t="shared" ca="1" si="67"/>
        <v/>
      </c>
      <c r="E747" s="29" t="str">
        <f t="shared" ca="1" si="68"/>
        <v/>
      </c>
      <c r="F747" s="29" t="str">
        <f ca="1">IF(C747&lt;&gt;"",IF(OR(VLOOKUP(C747,$C$3:$L$6,5,0)=Variables!$B$5,B747&gt;VLOOKUP(C747,$C$3:$L$6,8,0)),-D747*VLOOKUP(C747,$C$3:$L$6,6,0)/12,0),"")</f>
        <v/>
      </c>
      <c r="G747" s="29" t="str">
        <f ca="1">IF(I747&lt;&gt;Variables!$B$1,IF(C747&lt;&gt;"",$I$9-E747-F747,""),-D747)</f>
        <v/>
      </c>
      <c r="H747" s="29" t="str">
        <f t="shared" ca="1" si="71"/>
        <v/>
      </c>
      <c r="I747" s="31" t="str">
        <f ca="1">IF(C747&lt;&gt;"",IF(D747+$I$9-E747-F747&gt;=0,IF(ISERROR(INDEX($C$3:$C$6,MATCH(C747,$C$3:$C$6,0)+1,0)),Variables!$B$1,INDEX($C$3:$C$6,MATCH(C747,$C$3:$C$6,0)+1,0)),""),"")</f>
        <v/>
      </c>
      <c r="J747" s="29" t="str">
        <f ca="1">IF(ISERROR(VLOOKUP(I747,$C$3:$L$6,5,0)),"",IF(OR(VLOOKUP(I747,$C$3:$L$6,5,0)=Variables!$B$5,B747&gt;VLOOKUP(I747,$C$3:$L$6,8,0)),IF(VLOOKUP(I747,$C$3:$L$6,5,0)=Variables!$B$5,((YEAR(B747)-YEAR($B$12))*12+MONTH(B747)-MONTH($B$12)),((YEAR(B747)-YEAR(VLOOKUP(I747,$C$3:$L$6,8,0)))*12+MONTH(B747)-MONTH(VLOOKUP(I747,$C$3:$L$6,8,0))))*(VLOOKUP(I747,$C$3:$L$6,10,0)*VLOOKUP(I747,$C$3:$L$6,6,0)/12),0))</f>
        <v/>
      </c>
      <c r="K747" s="29" t="str">
        <f ca="1">IF(C747&lt;&gt;"",IF(I747&lt;&gt;"",IF(ISERROR(VLOOKUP(I747,$C$3:$L$6,10,0)),"",VLOOKUP(I747,$C$3:$L$6,10,0)+J747+IF(OR(VLOOKUP(I747,$C$3:$L$6,5,0)=Variables!$B$5,B747&gt;VLOOKUP(I747,$C$3:$L$6,8,0)),IF(VLOOKUP(I747,$C$3:$L$6,5,0)=Variables!$B$5,((YEAR(B747)-YEAR($B$12))*12+MONTH(B747)-MONTH($B$12)),((YEAR(B747)-YEAR(VLOOKUP(I747,$C$3:$L$6,8,0)))*12+MONTH(B747)-MONTH(VLOOKUP(I747,$C$3:$L$6,8,0))))*VLOOKUP(I747,$C$3:$L$6,7,0),0)),""),"")</f>
        <v/>
      </c>
      <c r="L747" s="29" t="str">
        <f t="shared" ca="1" si="69"/>
        <v/>
      </c>
      <c r="M747" s="10"/>
      <c r="N747" s="10"/>
    </row>
    <row r="748" spans="1:14" x14ac:dyDescent="0.25">
      <c r="A748" s="10"/>
      <c r="B748" s="14" t="str">
        <f t="shared" ca="1" si="70"/>
        <v/>
      </c>
      <c r="C748" s="14" t="str">
        <f ca="1">IF(I747&lt;&gt;Variables!$B$1,IF(H747&lt;&gt;0,C747,I747),"")</f>
        <v/>
      </c>
      <c r="D748" s="29" t="str">
        <f t="shared" ca="1" si="67"/>
        <v/>
      </c>
      <c r="E748" s="29" t="str">
        <f t="shared" ca="1" si="68"/>
        <v/>
      </c>
      <c r="F748" s="29" t="str">
        <f ca="1">IF(C748&lt;&gt;"",IF(OR(VLOOKUP(C748,$C$3:$L$6,5,0)=Variables!$B$5,B748&gt;VLOOKUP(C748,$C$3:$L$6,8,0)),-D748*VLOOKUP(C748,$C$3:$L$6,6,0)/12,0),"")</f>
        <v/>
      </c>
      <c r="G748" s="29" t="str">
        <f ca="1">IF(I748&lt;&gt;Variables!$B$1,IF(C748&lt;&gt;"",$I$9-E748-F748,""),-D748)</f>
        <v/>
      </c>
      <c r="H748" s="29" t="str">
        <f t="shared" ca="1" si="71"/>
        <v/>
      </c>
      <c r="I748" s="31" t="str">
        <f ca="1">IF(C748&lt;&gt;"",IF(D748+$I$9-E748-F748&gt;=0,IF(ISERROR(INDEX($C$3:$C$6,MATCH(C748,$C$3:$C$6,0)+1,0)),Variables!$B$1,INDEX($C$3:$C$6,MATCH(C748,$C$3:$C$6,0)+1,0)),""),"")</f>
        <v/>
      </c>
      <c r="J748" s="29" t="str">
        <f ca="1">IF(ISERROR(VLOOKUP(I748,$C$3:$L$6,5,0)),"",IF(OR(VLOOKUP(I748,$C$3:$L$6,5,0)=Variables!$B$5,B748&gt;VLOOKUP(I748,$C$3:$L$6,8,0)),IF(VLOOKUP(I748,$C$3:$L$6,5,0)=Variables!$B$5,((YEAR(B748)-YEAR($B$12))*12+MONTH(B748)-MONTH($B$12)),((YEAR(B748)-YEAR(VLOOKUP(I748,$C$3:$L$6,8,0)))*12+MONTH(B748)-MONTH(VLOOKUP(I748,$C$3:$L$6,8,0))))*(VLOOKUP(I748,$C$3:$L$6,10,0)*VLOOKUP(I748,$C$3:$L$6,6,0)/12),0))</f>
        <v/>
      </c>
      <c r="K748" s="29" t="str">
        <f ca="1">IF(C748&lt;&gt;"",IF(I748&lt;&gt;"",IF(ISERROR(VLOOKUP(I748,$C$3:$L$6,10,0)),"",VLOOKUP(I748,$C$3:$L$6,10,0)+J748+IF(OR(VLOOKUP(I748,$C$3:$L$6,5,0)=Variables!$B$5,B748&gt;VLOOKUP(I748,$C$3:$L$6,8,0)),IF(VLOOKUP(I748,$C$3:$L$6,5,0)=Variables!$B$5,((YEAR(B748)-YEAR($B$12))*12+MONTH(B748)-MONTH($B$12)),((YEAR(B748)-YEAR(VLOOKUP(I748,$C$3:$L$6,8,0)))*12+MONTH(B748)-MONTH(VLOOKUP(I748,$C$3:$L$6,8,0))))*VLOOKUP(I748,$C$3:$L$6,7,0),0)),""),"")</f>
        <v/>
      </c>
      <c r="L748" s="29" t="str">
        <f t="shared" ca="1" si="69"/>
        <v/>
      </c>
      <c r="M748" s="10"/>
      <c r="N748" s="10"/>
    </row>
    <row r="749" spans="1:14" x14ac:dyDescent="0.25">
      <c r="A749" s="10"/>
      <c r="B749" s="14" t="str">
        <f t="shared" ca="1" si="70"/>
        <v/>
      </c>
      <c r="C749" s="14" t="str">
        <f ca="1">IF(I748&lt;&gt;Variables!$B$1,IF(H748&lt;&gt;0,C748,I748),"")</f>
        <v/>
      </c>
      <c r="D749" s="29" t="str">
        <f t="shared" ca="1" si="67"/>
        <v/>
      </c>
      <c r="E749" s="29" t="str">
        <f t="shared" ca="1" si="68"/>
        <v/>
      </c>
      <c r="F749" s="29" t="str">
        <f ca="1">IF(C749&lt;&gt;"",IF(OR(VLOOKUP(C749,$C$3:$L$6,5,0)=Variables!$B$5,B749&gt;VLOOKUP(C749,$C$3:$L$6,8,0)),-D749*VLOOKUP(C749,$C$3:$L$6,6,0)/12,0),"")</f>
        <v/>
      </c>
      <c r="G749" s="29" t="str">
        <f ca="1">IF(I749&lt;&gt;Variables!$B$1,IF(C749&lt;&gt;"",$I$9-E749-F749,""),-D749)</f>
        <v/>
      </c>
      <c r="H749" s="29" t="str">
        <f t="shared" ca="1" si="71"/>
        <v/>
      </c>
      <c r="I749" s="31" t="str">
        <f ca="1">IF(C749&lt;&gt;"",IF(D749+$I$9-E749-F749&gt;=0,IF(ISERROR(INDEX($C$3:$C$6,MATCH(C749,$C$3:$C$6,0)+1,0)),Variables!$B$1,INDEX($C$3:$C$6,MATCH(C749,$C$3:$C$6,0)+1,0)),""),"")</f>
        <v/>
      </c>
      <c r="J749" s="29" t="str">
        <f ca="1">IF(ISERROR(VLOOKUP(I749,$C$3:$L$6,5,0)),"",IF(OR(VLOOKUP(I749,$C$3:$L$6,5,0)=Variables!$B$5,B749&gt;VLOOKUP(I749,$C$3:$L$6,8,0)),IF(VLOOKUP(I749,$C$3:$L$6,5,0)=Variables!$B$5,((YEAR(B749)-YEAR($B$12))*12+MONTH(B749)-MONTH($B$12)),((YEAR(B749)-YEAR(VLOOKUP(I749,$C$3:$L$6,8,0)))*12+MONTH(B749)-MONTH(VLOOKUP(I749,$C$3:$L$6,8,0))))*(VLOOKUP(I749,$C$3:$L$6,10,0)*VLOOKUP(I749,$C$3:$L$6,6,0)/12),0))</f>
        <v/>
      </c>
      <c r="K749" s="29" t="str">
        <f ca="1">IF(C749&lt;&gt;"",IF(I749&lt;&gt;"",IF(ISERROR(VLOOKUP(I749,$C$3:$L$6,10,0)),"",VLOOKUP(I749,$C$3:$L$6,10,0)+J749+IF(OR(VLOOKUP(I749,$C$3:$L$6,5,0)=Variables!$B$5,B749&gt;VLOOKUP(I749,$C$3:$L$6,8,0)),IF(VLOOKUP(I749,$C$3:$L$6,5,0)=Variables!$B$5,((YEAR(B749)-YEAR($B$12))*12+MONTH(B749)-MONTH($B$12)),((YEAR(B749)-YEAR(VLOOKUP(I749,$C$3:$L$6,8,0)))*12+MONTH(B749)-MONTH(VLOOKUP(I749,$C$3:$L$6,8,0))))*VLOOKUP(I749,$C$3:$L$6,7,0),0)),""),"")</f>
        <v/>
      </c>
      <c r="L749" s="29" t="str">
        <f t="shared" ca="1" si="69"/>
        <v/>
      </c>
      <c r="M749" s="10"/>
      <c r="N749" s="10"/>
    </row>
    <row r="750" spans="1:14" x14ac:dyDescent="0.25">
      <c r="A750" s="10"/>
      <c r="B750" s="14" t="str">
        <f t="shared" ca="1" si="70"/>
        <v/>
      </c>
      <c r="C750" s="14" t="str">
        <f ca="1">IF(I749&lt;&gt;Variables!$B$1,IF(H749&lt;&gt;0,C749,I749),"")</f>
        <v/>
      </c>
      <c r="D750" s="29" t="str">
        <f t="shared" ca="1" si="67"/>
        <v/>
      </c>
      <c r="E750" s="29" t="str">
        <f t="shared" ca="1" si="68"/>
        <v/>
      </c>
      <c r="F750" s="29" t="str">
        <f ca="1">IF(C750&lt;&gt;"",IF(OR(VLOOKUP(C750,$C$3:$L$6,5,0)=Variables!$B$5,B750&gt;VLOOKUP(C750,$C$3:$L$6,8,0)),-D750*VLOOKUP(C750,$C$3:$L$6,6,0)/12,0),"")</f>
        <v/>
      </c>
      <c r="G750" s="29" t="str">
        <f ca="1">IF(I750&lt;&gt;Variables!$B$1,IF(C750&lt;&gt;"",$I$9-E750-F750,""),-D750)</f>
        <v/>
      </c>
      <c r="H750" s="29" t="str">
        <f t="shared" ca="1" si="71"/>
        <v/>
      </c>
      <c r="I750" s="31" t="str">
        <f ca="1">IF(C750&lt;&gt;"",IF(D750+$I$9-E750-F750&gt;=0,IF(ISERROR(INDEX($C$3:$C$6,MATCH(C750,$C$3:$C$6,0)+1,0)),Variables!$B$1,INDEX($C$3:$C$6,MATCH(C750,$C$3:$C$6,0)+1,0)),""),"")</f>
        <v/>
      </c>
      <c r="J750" s="29" t="str">
        <f ca="1">IF(ISERROR(VLOOKUP(I750,$C$3:$L$6,5,0)),"",IF(OR(VLOOKUP(I750,$C$3:$L$6,5,0)=Variables!$B$5,B750&gt;VLOOKUP(I750,$C$3:$L$6,8,0)),IF(VLOOKUP(I750,$C$3:$L$6,5,0)=Variables!$B$5,((YEAR(B750)-YEAR($B$12))*12+MONTH(B750)-MONTH($B$12)),((YEAR(B750)-YEAR(VLOOKUP(I750,$C$3:$L$6,8,0)))*12+MONTH(B750)-MONTH(VLOOKUP(I750,$C$3:$L$6,8,0))))*(VLOOKUP(I750,$C$3:$L$6,10,0)*VLOOKUP(I750,$C$3:$L$6,6,0)/12),0))</f>
        <v/>
      </c>
      <c r="K750" s="29" t="str">
        <f ca="1">IF(C750&lt;&gt;"",IF(I750&lt;&gt;"",IF(ISERROR(VLOOKUP(I750,$C$3:$L$6,10,0)),"",VLOOKUP(I750,$C$3:$L$6,10,0)+J750+IF(OR(VLOOKUP(I750,$C$3:$L$6,5,0)=Variables!$B$5,B750&gt;VLOOKUP(I750,$C$3:$L$6,8,0)),IF(VLOOKUP(I750,$C$3:$L$6,5,0)=Variables!$B$5,((YEAR(B750)-YEAR($B$12))*12+MONTH(B750)-MONTH($B$12)),((YEAR(B750)-YEAR(VLOOKUP(I750,$C$3:$L$6,8,0)))*12+MONTH(B750)-MONTH(VLOOKUP(I750,$C$3:$L$6,8,0))))*VLOOKUP(I750,$C$3:$L$6,7,0),0)),""),"")</f>
        <v/>
      </c>
      <c r="L750" s="29" t="str">
        <f t="shared" ca="1" si="69"/>
        <v/>
      </c>
      <c r="M750" s="10"/>
      <c r="N750" s="10"/>
    </row>
    <row r="751" spans="1:14" x14ac:dyDescent="0.25">
      <c r="A751" s="10"/>
      <c r="B751" s="14" t="str">
        <f t="shared" ca="1" si="70"/>
        <v/>
      </c>
      <c r="C751" s="14" t="str">
        <f ca="1">IF(I750&lt;&gt;Variables!$B$1,IF(H750&lt;&gt;0,C750,I750),"")</f>
        <v/>
      </c>
      <c r="D751" s="29" t="str">
        <f t="shared" ca="1" si="67"/>
        <v/>
      </c>
      <c r="E751" s="29" t="str">
        <f t="shared" ca="1" si="68"/>
        <v/>
      </c>
      <c r="F751" s="29" t="str">
        <f ca="1">IF(C751&lt;&gt;"",IF(OR(VLOOKUP(C751,$C$3:$L$6,5,0)=Variables!$B$5,B751&gt;VLOOKUP(C751,$C$3:$L$6,8,0)),-D751*VLOOKUP(C751,$C$3:$L$6,6,0)/12,0),"")</f>
        <v/>
      </c>
      <c r="G751" s="29" t="str">
        <f ca="1">IF(I751&lt;&gt;Variables!$B$1,IF(C751&lt;&gt;"",$I$9-E751-F751,""),-D751)</f>
        <v/>
      </c>
      <c r="H751" s="29" t="str">
        <f t="shared" ca="1" si="71"/>
        <v/>
      </c>
      <c r="I751" s="31" t="str">
        <f ca="1">IF(C751&lt;&gt;"",IF(D751+$I$9-E751-F751&gt;=0,IF(ISERROR(INDEX($C$3:$C$6,MATCH(C751,$C$3:$C$6,0)+1,0)),Variables!$B$1,INDEX($C$3:$C$6,MATCH(C751,$C$3:$C$6,0)+1,0)),""),"")</f>
        <v/>
      </c>
      <c r="J751" s="29" t="str">
        <f ca="1">IF(ISERROR(VLOOKUP(I751,$C$3:$L$6,5,0)),"",IF(OR(VLOOKUP(I751,$C$3:$L$6,5,0)=Variables!$B$5,B751&gt;VLOOKUP(I751,$C$3:$L$6,8,0)),IF(VLOOKUP(I751,$C$3:$L$6,5,0)=Variables!$B$5,((YEAR(B751)-YEAR($B$12))*12+MONTH(B751)-MONTH($B$12)),((YEAR(B751)-YEAR(VLOOKUP(I751,$C$3:$L$6,8,0)))*12+MONTH(B751)-MONTH(VLOOKUP(I751,$C$3:$L$6,8,0))))*(VLOOKUP(I751,$C$3:$L$6,10,0)*VLOOKUP(I751,$C$3:$L$6,6,0)/12),0))</f>
        <v/>
      </c>
      <c r="K751" s="29" t="str">
        <f ca="1">IF(C751&lt;&gt;"",IF(I751&lt;&gt;"",IF(ISERROR(VLOOKUP(I751,$C$3:$L$6,10,0)),"",VLOOKUP(I751,$C$3:$L$6,10,0)+J751+IF(OR(VLOOKUP(I751,$C$3:$L$6,5,0)=Variables!$B$5,B751&gt;VLOOKUP(I751,$C$3:$L$6,8,0)),IF(VLOOKUP(I751,$C$3:$L$6,5,0)=Variables!$B$5,((YEAR(B751)-YEAR($B$12))*12+MONTH(B751)-MONTH($B$12)),((YEAR(B751)-YEAR(VLOOKUP(I751,$C$3:$L$6,8,0)))*12+MONTH(B751)-MONTH(VLOOKUP(I751,$C$3:$L$6,8,0))))*VLOOKUP(I751,$C$3:$L$6,7,0),0)),""),"")</f>
        <v/>
      </c>
      <c r="L751" s="29" t="str">
        <f t="shared" ca="1" si="69"/>
        <v/>
      </c>
      <c r="M751" s="10"/>
      <c r="N751" s="10"/>
    </row>
    <row r="752" spans="1:14" x14ac:dyDescent="0.25">
      <c r="A752" s="10"/>
      <c r="B752" s="14" t="str">
        <f t="shared" ca="1" si="70"/>
        <v/>
      </c>
      <c r="C752" s="14" t="str">
        <f ca="1">IF(I751&lt;&gt;Variables!$B$1,IF(H751&lt;&gt;0,C751,I751),"")</f>
        <v/>
      </c>
      <c r="D752" s="29" t="str">
        <f t="shared" ca="1" si="67"/>
        <v/>
      </c>
      <c r="E752" s="29" t="str">
        <f t="shared" ca="1" si="68"/>
        <v/>
      </c>
      <c r="F752" s="29" t="str">
        <f ca="1">IF(C752&lt;&gt;"",IF(OR(VLOOKUP(C752,$C$3:$L$6,5,0)=Variables!$B$5,B752&gt;VLOOKUP(C752,$C$3:$L$6,8,0)),-D752*VLOOKUP(C752,$C$3:$L$6,6,0)/12,0),"")</f>
        <v/>
      </c>
      <c r="G752" s="29" t="str">
        <f ca="1">IF(I752&lt;&gt;Variables!$B$1,IF(C752&lt;&gt;"",$I$9-E752-F752,""),-D752)</f>
        <v/>
      </c>
      <c r="H752" s="29" t="str">
        <f t="shared" ca="1" si="71"/>
        <v/>
      </c>
      <c r="I752" s="31" t="str">
        <f ca="1">IF(C752&lt;&gt;"",IF(D752+$I$9-E752-F752&gt;=0,IF(ISERROR(INDEX($C$3:$C$6,MATCH(C752,$C$3:$C$6,0)+1,0)),Variables!$B$1,INDEX($C$3:$C$6,MATCH(C752,$C$3:$C$6,0)+1,0)),""),"")</f>
        <v/>
      </c>
      <c r="J752" s="29" t="str">
        <f ca="1">IF(ISERROR(VLOOKUP(I752,$C$3:$L$6,5,0)),"",IF(OR(VLOOKUP(I752,$C$3:$L$6,5,0)=Variables!$B$5,B752&gt;VLOOKUP(I752,$C$3:$L$6,8,0)),IF(VLOOKUP(I752,$C$3:$L$6,5,0)=Variables!$B$5,((YEAR(B752)-YEAR($B$12))*12+MONTH(B752)-MONTH($B$12)),((YEAR(B752)-YEAR(VLOOKUP(I752,$C$3:$L$6,8,0)))*12+MONTH(B752)-MONTH(VLOOKUP(I752,$C$3:$L$6,8,0))))*(VLOOKUP(I752,$C$3:$L$6,10,0)*VLOOKUP(I752,$C$3:$L$6,6,0)/12),0))</f>
        <v/>
      </c>
      <c r="K752" s="29" t="str">
        <f ca="1">IF(C752&lt;&gt;"",IF(I752&lt;&gt;"",IF(ISERROR(VLOOKUP(I752,$C$3:$L$6,10,0)),"",VLOOKUP(I752,$C$3:$L$6,10,0)+J752+IF(OR(VLOOKUP(I752,$C$3:$L$6,5,0)=Variables!$B$5,B752&gt;VLOOKUP(I752,$C$3:$L$6,8,0)),IF(VLOOKUP(I752,$C$3:$L$6,5,0)=Variables!$B$5,((YEAR(B752)-YEAR($B$12))*12+MONTH(B752)-MONTH($B$12)),((YEAR(B752)-YEAR(VLOOKUP(I752,$C$3:$L$6,8,0)))*12+MONTH(B752)-MONTH(VLOOKUP(I752,$C$3:$L$6,8,0))))*VLOOKUP(I752,$C$3:$L$6,7,0),0)),""),"")</f>
        <v/>
      </c>
      <c r="L752" s="29" t="str">
        <f t="shared" ca="1" si="69"/>
        <v/>
      </c>
      <c r="M752" s="10"/>
      <c r="N752" s="10"/>
    </row>
    <row r="753" spans="1:14" x14ac:dyDescent="0.25">
      <c r="A753" s="10"/>
      <c r="B753" s="14" t="str">
        <f t="shared" ca="1" si="70"/>
        <v/>
      </c>
      <c r="C753" s="14" t="str">
        <f ca="1">IF(I752&lt;&gt;Variables!$B$1,IF(H752&lt;&gt;0,C752,I752),"")</f>
        <v/>
      </c>
      <c r="D753" s="29" t="str">
        <f t="shared" ca="1" si="67"/>
        <v/>
      </c>
      <c r="E753" s="29" t="str">
        <f t="shared" ca="1" si="68"/>
        <v/>
      </c>
      <c r="F753" s="29" t="str">
        <f ca="1">IF(C753&lt;&gt;"",IF(OR(VLOOKUP(C753,$C$3:$L$6,5,0)=Variables!$B$5,B753&gt;VLOOKUP(C753,$C$3:$L$6,8,0)),-D753*VLOOKUP(C753,$C$3:$L$6,6,0)/12,0),"")</f>
        <v/>
      </c>
      <c r="G753" s="29" t="str">
        <f ca="1">IF(I753&lt;&gt;Variables!$B$1,IF(C753&lt;&gt;"",$I$9-E753-F753,""),-D753)</f>
        <v/>
      </c>
      <c r="H753" s="29" t="str">
        <f t="shared" ca="1" si="71"/>
        <v/>
      </c>
      <c r="I753" s="31" t="str">
        <f ca="1">IF(C753&lt;&gt;"",IF(D753+$I$9-E753-F753&gt;=0,IF(ISERROR(INDEX($C$3:$C$6,MATCH(C753,$C$3:$C$6,0)+1,0)),Variables!$B$1,INDEX($C$3:$C$6,MATCH(C753,$C$3:$C$6,0)+1,0)),""),"")</f>
        <v/>
      </c>
      <c r="J753" s="29" t="str">
        <f ca="1">IF(ISERROR(VLOOKUP(I753,$C$3:$L$6,5,0)),"",IF(OR(VLOOKUP(I753,$C$3:$L$6,5,0)=Variables!$B$5,B753&gt;VLOOKUP(I753,$C$3:$L$6,8,0)),IF(VLOOKUP(I753,$C$3:$L$6,5,0)=Variables!$B$5,((YEAR(B753)-YEAR($B$12))*12+MONTH(B753)-MONTH($B$12)),((YEAR(B753)-YEAR(VLOOKUP(I753,$C$3:$L$6,8,0)))*12+MONTH(B753)-MONTH(VLOOKUP(I753,$C$3:$L$6,8,0))))*(VLOOKUP(I753,$C$3:$L$6,10,0)*VLOOKUP(I753,$C$3:$L$6,6,0)/12),0))</f>
        <v/>
      </c>
      <c r="K753" s="29" t="str">
        <f ca="1">IF(C753&lt;&gt;"",IF(I753&lt;&gt;"",IF(ISERROR(VLOOKUP(I753,$C$3:$L$6,10,0)),"",VLOOKUP(I753,$C$3:$L$6,10,0)+J753+IF(OR(VLOOKUP(I753,$C$3:$L$6,5,0)=Variables!$B$5,B753&gt;VLOOKUP(I753,$C$3:$L$6,8,0)),IF(VLOOKUP(I753,$C$3:$L$6,5,0)=Variables!$B$5,((YEAR(B753)-YEAR($B$12))*12+MONTH(B753)-MONTH($B$12)),((YEAR(B753)-YEAR(VLOOKUP(I753,$C$3:$L$6,8,0)))*12+MONTH(B753)-MONTH(VLOOKUP(I753,$C$3:$L$6,8,0))))*VLOOKUP(I753,$C$3:$L$6,7,0),0)),""),"")</f>
        <v/>
      </c>
      <c r="L753" s="29" t="str">
        <f t="shared" ca="1" si="69"/>
        <v/>
      </c>
      <c r="M753" s="10"/>
      <c r="N753" s="10"/>
    </row>
    <row r="754" spans="1:14" x14ac:dyDescent="0.25">
      <c r="A754" s="10"/>
      <c r="B754" s="14" t="str">
        <f t="shared" ca="1" si="70"/>
        <v/>
      </c>
      <c r="C754" s="14" t="str">
        <f ca="1">IF(I753&lt;&gt;Variables!$B$1,IF(H753&lt;&gt;0,C753,I753),"")</f>
        <v/>
      </c>
      <c r="D754" s="29" t="str">
        <f t="shared" ca="1" si="67"/>
        <v/>
      </c>
      <c r="E754" s="29" t="str">
        <f t="shared" ca="1" si="68"/>
        <v/>
      </c>
      <c r="F754" s="29" t="str">
        <f ca="1">IF(C754&lt;&gt;"",IF(OR(VLOOKUP(C754,$C$3:$L$6,5,0)=Variables!$B$5,B754&gt;VLOOKUP(C754,$C$3:$L$6,8,0)),-D754*VLOOKUP(C754,$C$3:$L$6,6,0)/12,0),"")</f>
        <v/>
      </c>
      <c r="G754" s="29" t="str">
        <f ca="1">IF(I754&lt;&gt;Variables!$B$1,IF(C754&lt;&gt;"",$I$9-E754-F754,""),-D754)</f>
        <v/>
      </c>
      <c r="H754" s="29" t="str">
        <f t="shared" ca="1" si="71"/>
        <v/>
      </c>
      <c r="I754" s="31" t="str">
        <f ca="1">IF(C754&lt;&gt;"",IF(D754+$I$9-E754-F754&gt;=0,IF(ISERROR(INDEX($C$3:$C$6,MATCH(C754,$C$3:$C$6,0)+1,0)),Variables!$B$1,INDEX($C$3:$C$6,MATCH(C754,$C$3:$C$6,0)+1,0)),""),"")</f>
        <v/>
      </c>
      <c r="J754" s="29" t="str">
        <f ca="1">IF(ISERROR(VLOOKUP(I754,$C$3:$L$6,5,0)),"",IF(OR(VLOOKUP(I754,$C$3:$L$6,5,0)=Variables!$B$5,B754&gt;VLOOKUP(I754,$C$3:$L$6,8,0)),IF(VLOOKUP(I754,$C$3:$L$6,5,0)=Variables!$B$5,((YEAR(B754)-YEAR($B$12))*12+MONTH(B754)-MONTH($B$12)),((YEAR(B754)-YEAR(VLOOKUP(I754,$C$3:$L$6,8,0)))*12+MONTH(B754)-MONTH(VLOOKUP(I754,$C$3:$L$6,8,0))))*(VLOOKUP(I754,$C$3:$L$6,10,0)*VLOOKUP(I754,$C$3:$L$6,6,0)/12),0))</f>
        <v/>
      </c>
      <c r="K754" s="29" t="str">
        <f ca="1">IF(C754&lt;&gt;"",IF(I754&lt;&gt;"",IF(ISERROR(VLOOKUP(I754,$C$3:$L$6,10,0)),"",VLOOKUP(I754,$C$3:$L$6,10,0)+J754+IF(OR(VLOOKUP(I754,$C$3:$L$6,5,0)=Variables!$B$5,B754&gt;VLOOKUP(I754,$C$3:$L$6,8,0)),IF(VLOOKUP(I754,$C$3:$L$6,5,0)=Variables!$B$5,((YEAR(B754)-YEAR($B$12))*12+MONTH(B754)-MONTH($B$12)),((YEAR(B754)-YEAR(VLOOKUP(I754,$C$3:$L$6,8,0)))*12+MONTH(B754)-MONTH(VLOOKUP(I754,$C$3:$L$6,8,0))))*VLOOKUP(I754,$C$3:$L$6,7,0),0)),""),"")</f>
        <v/>
      </c>
      <c r="L754" s="29" t="str">
        <f t="shared" ca="1" si="69"/>
        <v/>
      </c>
      <c r="M754" s="10"/>
      <c r="N754" s="10"/>
    </row>
    <row r="755" spans="1:14" x14ac:dyDescent="0.25">
      <c r="A755" s="10"/>
      <c r="B755" s="14" t="str">
        <f t="shared" ca="1" si="70"/>
        <v/>
      </c>
      <c r="C755" s="14" t="str">
        <f ca="1">IF(I754&lt;&gt;Variables!$B$1,IF(H754&lt;&gt;0,C754,I754),"")</f>
        <v/>
      </c>
      <c r="D755" s="29" t="str">
        <f t="shared" ca="1" si="67"/>
        <v/>
      </c>
      <c r="E755" s="29" t="str">
        <f t="shared" ca="1" si="68"/>
        <v/>
      </c>
      <c r="F755" s="29" t="str">
        <f ca="1">IF(C755&lt;&gt;"",IF(OR(VLOOKUP(C755,$C$3:$L$6,5,0)=Variables!$B$5,B755&gt;VLOOKUP(C755,$C$3:$L$6,8,0)),-D755*VLOOKUP(C755,$C$3:$L$6,6,0)/12,0),"")</f>
        <v/>
      </c>
      <c r="G755" s="29" t="str">
        <f ca="1">IF(I755&lt;&gt;Variables!$B$1,IF(C755&lt;&gt;"",$I$9-E755-F755,""),-D755)</f>
        <v/>
      </c>
      <c r="H755" s="29" t="str">
        <f t="shared" ca="1" si="71"/>
        <v/>
      </c>
      <c r="I755" s="31" t="str">
        <f ca="1">IF(C755&lt;&gt;"",IF(D755+$I$9-E755-F755&gt;=0,IF(ISERROR(INDEX($C$3:$C$6,MATCH(C755,$C$3:$C$6,0)+1,0)),Variables!$B$1,INDEX($C$3:$C$6,MATCH(C755,$C$3:$C$6,0)+1,0)),""),"")</f>
        <v/>
      </c>
      <c r="J755" s="29" t="str">
        <f ca="1">IF(ISERROR(VLOOKUP(I755,$C$3:$L$6,5,0)),"",IF(OR(VLOOKUP(I755,$C$3:$L$6,5,0)=Variables!$B$5,B755&gt;VLOOKUP(I755,$C$3:$L$6,8,0)),IF(VLOOKUP(I755,$C$3:$L$6,5,0)=Variables!$B$5,((YEAR(B755)-YEAR($B$12))*12+MONTH(B755)-MONTH($B$12)),((YEAR(B755)-YEAR(VLOOKUP(I755,$C$3:$L$6,8,0)))*12+MONTH(B755)-MONTH(VLOOKUP(I755,$C$3:$L$6,8,0))))*(VLOOKUP(I755,$C$3:$L$6,10,0)*VLOOKUP(I755,$C$3:$L$6,6,0)/12),0))</f>
        <v/>
      </c>
      <c r="K755" s="29" t="str">
        <f ca="1">IF(C755&lt;&gt;"",IF(I755&lt;&gt;"",IF(ISERROR(VLOOKUP(I755,$C$3:$L$6,10,0)),"",VLOOKUP(I755,$C$3:$L$6,10,0)+J755+IF(OR(VLOOKUP(I755,$C$3:$L$6,5,0)=Variables!$B$5,B755&gt;VLOOKUP(I755,$C$3:$L$6,8,0)),IF(VLOOKUP(I755,$C$3:$L$6,5,0)=Variables!$B$5,((YEAR(B755)-YEAR($B$12))*12+MONTH(B755)-MONTH($B$12)),((YEAR(B755)-YEAR(VLOOKUP(I755,$C$3:$L$6,8,0)))*12+MONTH(B755)-MONTH(VLOOKUP(I755,$C$3:$L$6,8,0))))*VLOOKUP(I755,$C$3:$L$6,7,0),0)),""),"")</f>
        <v/>
      </c>
      <c r="L755" s="29" t="str">
        <f t="shared" ca="1" si="69"/>
        <v/>
      </c>
      <c r="M755" s="10"/>
      <c r="N755" s="10"/>
    </row>
    <row r="756" spans="1:14" x14ac:dyDescent="0.25">
      <c r="A756" s="10"/>
      <c r="B756" s="14" t="str">
        <f t="shared" ca="1" si="70"/>
        <v/>
      </c>
      <c r="C756" s="14" t="str">
        <f ca="1">IF(I755&lt;&gt;Variables!$B$1,IF(H755&lt;&gt;0,C755,I755),"")</f>
        <v/>
      </c>
      <c r="D756" s="29" t="str">
        <f t="shared" ca="1" si="67"/>
        <v/>
      </c>
      <c r="E756" s="29" t="str">
        <f t="shared" ca="1" si="68"/>
        <v/>
      </c>
      <c r="F756" s="29" t="str">
        <f ca="1">IF(C756&lt;&gt;"",IF(OR(VLOOKUP(C756,$C$3:$L$6,5,0)=Variables!$B$5,B756&gt;VLOOKUP(C756,$C$3:$L$6,8,0)),-D756*VLOOKUP(C756,$C$3:$L$6,6,0)/12,0),"")</f>
        <v/>
      </c>
      <c r="G756" s="29" t="str">
        <f ca="1">IF(I756&lt;&gt;Variables!$B$1,IF(C756&lt;&gt;"",$I$9-E756-F756,""),-D756)</f>
        <v/>
      </c>
      <c r="H756" s="29" t="str">
        <f t="shared" ca="1" si="71"/>
        <v/>
      </c>
      <c r="I756" s="31" t="str">
        <f ca="1">IF(C756&lt;&gt;"",IF(D756+$I$9-E756-F756&gt;=0,IF(ISERROR(INDEX($C$3:$C$6,MATCH(C756,$C$3:$C$6,0)+1,0)),Variables!$B$1,INDEX($C$3:$C$6,MATCH(C756,$C$3:$C$6,0)+1,0)),""),"")</f>
        <v/>
      </c>
      <c r="J756" s="29" t="str">
        <f ca="1">IF(ISERROR(VLOOKUP(I756,$C$3:$L$6,5,0)),"",IF(OR(VLOOKUP(I756,$C$3:$L$6,5,0)=Variables!$B$5,B756&gt;VLOOKUP(I756,$C$3:$L$6,8,0)),IF(VLOOKUP(I756,$C$3:$L$6,5,0)=Variables!$B$5,((YEAR(B756)-YEAR($B$12))*12+MONTH(B756)-MONTH($B$12)),((YEAR(B756)-YEAR(VLOOKUP(I756,$C$3:$L$6,8,0)))*12+MONTH(B756)-MONTH(VLOOKUP(I756,$C$3:$L$6,8,0))))*(VLOOKUP(I756,$C$3:$L$6,10,0)*VLOOKUP(I756,$C$3:$L$6,6,0)/12),0))</f>
        <v/>
      </c>
      <c r="K756" s="29" t="str">
        <f ca="1">IF(C756&lt;&gt;"",IF(I756&lt;&gt;"",IF(ISERROR(VLOOKUP(I756,$C$3:$L$6,10,0)),"",VLOOKUP(I756,$C$3:$L$6,10,0)+J756+IF(OR(VLOOKUP(I756,$C$3:$L$6,5,0)=Variables!$B$5,B756&gt;VLOOKUP(I756,$C$3:$L$6,8,0)),IF(VLOOKUP(I756,$C$3:$L$6,5,0)=Variables!$B$5,((YEAR(B756)-YEAR($B$12))*12+MONTH(B756)-MONTH($B$12)),((YEAR(B756)-YEAR(VLOOKUP(I756,$C$3:$L$6,8,0)))*12+MONTH(B756)-MONTH(VLOOKUP(I756,$C$3:$L$6,8,0))))*VLOOKUP(I756,$C$3:$L$6,7,0),0)),""),"")</f>
        <v/>
      </c>
      <c r="L756" s="29" t="str">
        <f t="shared" ca="1" si="69"/>
        <v/>
      </c>
      <c r="M756" s="10"/>
      <c r="N756" s="10"/>
    </row>
    <row r="757" spans="1:14" x14ac:dyDescent="0.25">
      <c r="A757" s="10"/>
      <c r="B757" s="14" t="str">
        <f t="shared" ca="1" si="70"/>
        <v/>
      </c>
      <c r="C757" s="14" t="str">
        <f ca="1">IF(I756&lt;&gt;Variables!$B$1,IF(H756&lt;&gt;0,C756,I756),"")</f>
        <v/>
      </c>
      <c r="D757" s="29" t="str">
        <f t="shared" ca="1" si="67"/>
        <v/>
      </c>
      <c r="E757" s="29" t="str">
        <f t="shared" ca="1" si="68"/>
        <v/>
      </c>
      <c r="F757" s="29" t="str">
        <f ca="1">IF(C757&lt;&gt;"",IF(OR(VLOOKUP(C757,$C$3:$L$6,5,0)=Variables!$B$5,B757&gt;VLOOKUP(C757,$C$3:$L$6,8,0)),-D757*VLOOKUP(C757,$C$3:$L$6,6,0)/12,0),"")</f>
        <v/>
      </c>
      <c r="G757" s="29" t="str">
        <f ca="1">IF(I757&lt;&gt;Variables!$B$1,IF(C757&lt;&gt;"",$I$9-E757-F757,""),-D757)</f>
        <v/>
      </c>
      <c r="H757" s="29" t="str">
        <f t="shared" ca="1" si="71"/>
        <v/>
      </c>
      <c r="I757" s="31" t="str">
        <f ca="1">IF(C757&lt;&gt;"",IF(D757+$I$9-E757-F757&gt;=0,IF(ISERROR(INDEX($C$3:$C$6,MATCH(C757,$C$3:$C$6,0)+1,0)),Variables!$B$1,INDEX($C$3:$C$6,MATCH(C757,$C$3:$C$6,0)+1,0)),""),"")</f>
        <v/>
      </c>
      <c r="J757" s="29" t="str">
        <f ca="1">IF(ISERROR(VLOOKUP(I757,$C$3:$L$6,5,0)),"",IF(OR(VLOOKUP(I757,$C$3:$L$6,5,0)=Variables!$B$5,B757&gt;VLOOKUP(I757,$C$3:$L$6,8,0)),IF(VLOOKUP(I757,$C$3:$L$6,5,0)=Variables!$B$5,((YEAR(B757)-YEAR($B$12))*12+MONTH(B757)-MONTH($B$12)),((YEAR(B757)-YEAR(VLOOKUP(I757,$C$3:$L$6,8,0)))*12+MONTH(B757)-MONTH(VLOOKUP(I757,$C$3:$L$6,8,0))))*(VLOOKUP(I757,$C$3:$L$6,10,0)*VLOOKUP(I757,$C$3:$L$6,6,0)/12),0))</f>
        <v/>
      </c>
      <c r="K757" s="29" t="str">
        <f ca="1">IF(C757&lt;&gt;"",IF(I757&lt;&gt;"",IF(ISERROR(VLOOKUP(I757,$C$3:$L$6,10,0)),"",VLOOKUP(I757,$C$3:$L$6,10,0)+J757+IF(OR(VLOOKUP(I757,$C$3:$L$6,5,0)=Variables!$B$5,B757&gt;VLOOKUP(I757,$C$3:$L$6,8,0)),IF(VLOOKUP(I757,$C$3:$L$6,5,0)=Variables!$B$5,((YEAR(B757)-YEAR($B$12))*12+MONTH(B757)-MONTH($B$12)),((YEAR(B757)-YEAR(VLOOKUP(I757,$C$3:$L$6,8,0)))*12+MONTH(B757)-MONTH(VLOOKUP(I757,$C$3:$L$6,8,0))))*VLOOKUP(I757,$C$3:$L$6,7,0),0)),""),"")</f>
        <v/>
      </c>
      <c r="L757" s="29" t="str">
        <f t="shared" ca="1" si="69"/>
        <v/>
      </c>
      <c r="M757" s="10"/>
      <c r="N757" s="10"/>
    </row>
    <row r="758" spans="1:14" x14ac:dyDescent="0.25">
      <c r="A758" s="10"/>
      <c r="B758" s="14" t="str">
        <f t="shared" ca="1" si="70"/>
        <v/>
      </c>
      <c r="C758" s="14" t="str">
        <f ca="1">IF(I757&lt;&gt;Variables!$B$1,IF(H757&lt;&gt;0,C757,I757),"")</f>
        <v/>
      </c>
      <c r="D758" s="29" t="str">
        <f t="shared" ca="1" si="67"/>
        <v/>
      </c>
      <c r="E758" s="29" t="str">
        <f t="shared" ca="1" si="68"/>
        <v/>
      </c>
      <c r="F758" s="29" t="str">
        <f ca="1">IF(C758&lt;&gt;"",IF(OR(VLOOKUP(C758,$C$3:$L$6,5,0)=Variables!$B$5,B758&gt;VLOOKUP(C758,$C$3:$L$6,8,0)),-D758*VLOOKUP(C758,$C$3:$L$6,6,0)/12,0),"")</f>
        <v/>
      </c>
      <c r="G758" s="29" t="str">
        <f ca="1">IF(I758&lt;&gt;Variables!$B$1,IF(C758&lt;&gt;"",$I$9-E758-F758,""),-D758)</f>
        <v/>
      </c>
      <c r="H758" s="29" t="str">
        <f t="shared" ca="1" si="71"/>
        <v/>
      </c>
      <c r="I758" s="31" t="str">
        <f ca="1">IF(C758&lt;&gt;"",IF(D758+$I$9-E758-F758&gt;=0,IF(ISERROR(INDEX($C$3:$C$6,MATCH(C758,$C$3:$C$6,0)+1,0)),Variables!$B$1,INDEX($C$3:$C$6,MATCH(C758,$C$3:$C$6,0)+1,0)),""),"")</f>
        <v/>
      </c>
      <c r="J758" s="29" t="str">
        <f ca="1">IF(ISERROR(VLOOKUP(I758,$C$3:$L$6,5,0)),"",IF(OR(VLOOKUP(I758,$C$3:$L$6,5,0)=Variables!$B$5,B758&gt;VLOOKUP(I758,$C$3:$L$6,8,0)),IF(VLOOKUP(I758,$C$3:$L$6,5,0)=Variables!$B$5,((YEAR(B758)-YEAR($B$12))*12+MONTH(B758)-MONTH($B$12)),((YEAR(B758)-YEAR(VLOOKUP(I758,$C$3:$L$6,8,0)))*12+MONTH(B758)-MONTH(VLOOKUP(I758,$C$3:$L$6,8,0))))*(VLOOKUP(I758,$C$3:$L$6,10,0)*VLOOKUP(I758,$C$3:$L$6,6,0)/12),0))</f>
        <v/>
      </c>
      <c r="K758" s="29" t="str">
        <f ca="1">IF(C758&lt;&gt;"",IF(I758&lt;&gt;"",IF(ISERROR(VLOOKUP(I758,$C$3:$L$6,10,0)),"",VLOOKUP(I758,$C$3:$L$6,10,0)+J758+IF(OR(VLOOKUP(I758,$C$3:$L$6,5,0)=Variables!$B$5,B758&gt;VLOOKUP(I758,$C$3:$L$6,8,0)),IF(VLOOKUP(I758,$C$3:$L$6,5,0)=Variables!$B$5,((YEAR(B758)-YEAR($B$12))*12+MONTH(B758)-MONTH($B$12)),((YEAR(B758)-YEAR(VLOOKUP(I758,$C$3:$L$6,8,0)))*12+MONTH(B758)-MONTH(VLOOKUP(I758,$C$3:$L$6,8,0))))*VLOOKUP(I758,$C$3:$L$6,7,0),0)),""),"")</f>
        <v/>
      </c>
      <c r="L758" s="29" t="str">
        <f t="shared" ca="1" si="69"/>
        <v/>
      </c>
      <c r="M758" s="10"/>
      <c r="N758" s="10"/>
    </row>
    <row r="759" spans="1:14" x14ac:dyDescent="0.25">
      <c r="A759" s="10"/>
      <c r="B759" s="14" t="str">
        <f t="shared" ca="1" si="70"/>
        <v/>
      </c>
      <c r="C759" s="14" t="str">
        <f ca="1">IF(I758&lt;&gt;Variables!$B$1,IF(H758&lt;&gt;0,C758,I758),"")</f>
        <v/>
      </c>
      <c r="D759" s="29" t="str">
        <f t="shared" ca="1" si="67"/>
        <v/>
      </c>
      <c r="E759" s="29" t="str">
        <f t="shared" ca="1" si="68"/>
        <v/>
      </c>
      <c r="F759" s="29" t="str">
        <f ca="1">IF(C759&lt;&gt;"",IF(OR(VLOOKUP(C759,$C$3:$L$6,5,0)=Variables!$B$5,B759&gt;VLOOKUP(C759,$C$3:$L$6,8,0)),-D759*VLOOKUP(C759,$C$3:$L$6,6,0)/12,0),"")</f>
        <v/>
      </c>
      <c r="G759" s="29" t="str">
        <f ca="1">IF(I759&lt;&gt;Variables!$B$1,IF(C759&lt;&gt;"",$I$9-E759-F759,""),-D759)</f>
        <v/>
      </c>
      <c r="H759" s="29" t="str">
        <f t="shared" ca="1" si="71"/>
        <v/>
      </c>
      <c r="I759" s="31" t="str">
        <f ca="1">IF(C759&lt;&gt;"",IF(D759+$I$9-E759-F759&gt;=0,IF(ISERROR(INDEX($C$3:$C$6,MATCH(C759,$C$3:$C$6,0)+1,0)),Variables!$B$1,INDEX($C$3:$C$6,MATCH(C759,$C$3:$C$6,0)+1,0)),""),"")</f>
        <v/>
      </c>
      <c r="J759" s="29" t="str">
        <f ca="1">IF(ISERROR(VLOOKUP(I759,$C$3:$L$6,5,0)),"",IF(OR(VLOOKUP(I759,$C$3:$L$6,5,0)=Variables!$B$5,B759&gt;VLOOKUP(I759,$C$3:$L$6,8,0)),IF(VLOOKUP(I759,$C$3:$L$6,5,0)=Variables!$B$5,((YEAR(B759)-YEAR($B$12))*12+MONTH(B759)-MONTH($B$12)),((YEAR(B759)-YEAR(VLOOKUP(I759,$C$3:$L$6,8,0)))*12+MONTH(B759)-MONTH(VLOOKUP(I759,$C$3:$L$6,8,0))))*(VLOOKUP(I759,$C$3:$L$6,10,0)*VLOOKUP(I759,$C$3:$L$6,6,0)/12),0))</f>
        <v/>
      </c>
      <c r="K759" s="29" t="str">
        <f ca="1">IF(C759&lt;&gt;"",IF(I759&lt;&gt;"",IF(ISERROR(VLOOKUP(I759,$C$3:$L$6,10,0)),"",VLOOKUP(I759,$C$3:$L$6,10,0)+J759+IF(OR(VLOOKUP(I759,$C$3:$L$6,5,0)=Variables!$B$5,B759&gt;VLOOKUP(I759,$C$3:$L$6,8,0)),IF(VLOOKUP(I759,$C$3:$L$6,5,0)=Variables!$B$5,((YEAR(B759)-YEAR($B$12))*12+MONTH(B759)-MONTH($B$12)),((YEAR(B759)-YEAR(VLOOKUP(I759,$C$3:$L$6,8,0)))*12+MONTH(B759)-MONTH(VLOOKUP(I759,$C$3:$L$6,8,0))))*VLOOKUP(I759,$C$3:$L$6,7,0),0)),""),"")</f>
        <v/>
      </c>
      <c r="L759" s="29" t="str">
        <f t="shared" ca="1" si="69"/>
        <v/>
      </c>
      <c r="M759" s="10"/>
      <c r="N759" s="10"/>
    </row>
    <row r="760" spans="1:14" x14ac:dyDescent="0.25">
      <c r="A760" s="10"/>
      <c r="B760" s="14" t="str">
        <f t="shared" ca="1" si="70"/>
        <v/>
      </c>
      <c r="C760" s="14" t="str">
        <f ca="1">IF(I759&lt;&gt;Variables!$B$1,IF(H759&lt;&gt;0,C759,I759),"")</f>
        <v/>
      </c>
      <c r="D760" s="29" t="str">
        <f t="shared" ca="1" si="67"/>
        <v/>
      </c>
      <c r="E760" s="29" t="str">
        <f t="shared" ca="1" si="68"/>
        <v/>
      </c>
      <c r="F760" s="29" t="str">
        <f ca="1">IF(C760&lt;&gt;"",IF(OR(VLOOKUP(C760,$C$3:$L$6,5,0)=Variables!$B$5,B760&gt;VLOOKUP(C760,$C$3:$L$6,8,0)),-D760*VLOOKUP(C760,$C$3:$L$6,6,0)/12,0),"")</f>
        <v/>
      </c>
      <c r="G760" s="29" t="str">
        <f ca="1">IF(I760&lt;&gt;Variables!$B$1,IF(C760&lt;&gt;"",$I$9-E760-F760,""),-D760)</f>
        <v/>
      </c>
      <c r="H760" s="29" t="str">
        <f t="shared" ca="1" si="71"/>
        <v/>
      </c>
      <c r="I760" s="31" t="str">
        <f ca="1">IF(C760&lt;&gt;"",IF(D760+$I$9-E760-F760&gt;=0,IF(ISERROR(INDEX($C$3:$C$6,MATCH(C760,$C$3:$C$6,0)+1,0)),Variables!$B$1,INDEX($C$3:$C$6,MATCH(C760,$C$3:$C$6,0)+1,0)),""),"")</f>
        <v/>
      </c>
      <c r="J760" s="29" t="str">
        <f ca="1">IF(ISERROR(VLOOKUP(I760,$C$3:$L$6,5,0)),"",IF(OR(VLOOKUP(I760,$C$3:$L$6,5,0)=Variables!$B$5,B760&gt;VLOOKUP(I760,$C$3:$L$6,8,0)),IF(VLOOKUP(I760,$C$3:$L$6,5,0)=Variables!$B$5,((YEAR(B760)-YEAR($B$12))*12+MONTH(B760)-MONTH($B$12)),((YEAR(B760)-YEAR(VLOOKUP(I760,$C$3:$L$6,8,0)))*12+MONTH(B760)-MONTH(VLOOKUP(I760,$C$3:$L$6,8,0))))*(VLOOKUP(I760,$C$3:$L$6,10,0)*VLOOKUP(I760,$C$3:$L$6,6,0)/12),0))</f>
        <v/>
      </c>
      <c r="K760" s="29" t="str">
        <f ca="1">IF(C760&lt;&gt;"",IF(I760&lt;&gt;"",IF(ISERROR(VLOOKUP(I760,$C$3:$L$6,10,0)),"",VLOOKUP(I760,$C$3:$L$6,10,0)+J760+IF(OR(VLOOKUP(I760,$C$3:$L$6,5,0)=Variables!$B$5,B760&gt;VLOOKUP(I760,$C$3:$L$6,8,0)),IF(VLOOKUP(I760,$C$3:$L$6,5,0)=Variables!$B$5,((YEAR(B760)-YEAR($B$12))*12+MONTH(B760)-MONTH($B$12)),((YEAR(B760)-YEAR(VLOOKUP(I760,$C$3:$L$6,8,0)))*12+MONTH(B760)-MONTH(VLOOKUP(I760,$C$3:$L$6,8,0))))*VLOOKUP(I760,$C$3:$L$6,7,0),0)),""),"")</f>
        <v/>
      </c>
      <c r="L760" s="29" t="str">
        <f t="shared" ca="1" si="69"/>
        <v/>
      </c>
      <c r="M760" s="10"/>
      <c r="N760" s="10"/>
    </row>
    <row r="761" spans="1:14" x14ac:dyDescent="0.25">
      <c r="A761" s="10"/>
      <c r="B761" s="14" t="str">
        <f t="shared" ca="1" si="70"/>
        <v/>
      </c>
      <c r="C761" s="14" t="str">
        <f ca="1">IF(I760&lt;&gt;Variables!$B$1,IF(H760&lt;&gt;0,C760,I760),"")</f>
        <v/>
      </c>
      <c r="D761" s="29" t="str">
        <f t="shared" ca="1" si="67"/>
        <v/>
      </c>
      <c r="E761" s="29" t="str">
        <f t="shared" ca="1" si="68"/>
        <v/>
      </c>
      <c r="F761" s="29" t="str">
        <f ca="1">IF(C761&lt;&gt;"",IF(OR(VLOOKUP(C761,$C$3:$L$6,5,0)=Variables!$B$5,B761&gt;VLOOKUP(C761,$C$3:$L$6,8,0)),-D761*VLOOKUP(C761,$C$3:$L$6,6,0)/12,0),"")</f>
        <v/>
      </c>
      <c r="G761" s="29" t="str">
        <f ca="1">IF(I761&lt;&gt;Variables!$B$1,IF(C761&lt;&gt;"",$I$9-E761-F761,""),-D761)</f>
        <v/>
      </c>
      <c r="H761" s="29" t="str">
        <f t="shared" ca="1" si="71"/>
        <v/>
      </c>
      <c r="I761" s="31" t="str">
        <f ca="1">IF(C761&lt;&gt;"",IF(D761+$I$9-E761-F761&gt;=0,IF(ISERROR(INDEX($C$3:$C$6,MATCH(C761,$C$3:$C$6,0)+1,0)),Variables!$B$1,INDEX($C$3:$C$6,MATCH(C761,$C$3:$C$6,0)+1,0)),""),"")</f>
        <v/>
      </c>
      <c r="J761" s="29" t="str">
        <f ca="1">IF(ISERROR(VLOOKUP(I761,$C$3:$L$6,5,0)),"",IF(OR(VLOOKUP(I761,$C$3:$L$6,5,0)=Variables!$B$5,B761&gt;VLOOKUP(I761,$C$3:$L$6,8,0)),IF(VLOOKUP(I761,$C$3:$L$6,5,0)=Variables!$B$5,((YEAR(B761)-YEAR($B$12))*12+MONTH(B761)-MONTH($B$12)),((YEAR(B761)-YEAR(VLOOKUP(I761,$C$3:$L$6,8,0)))*12+MONTH(B761)-MONTH(VLOOKUP(I761,$C$3:$L$6,8,0))))*(VLOOKUP(I761,$C$3:$L$6,10,0)*VLOOKUP(I761,$C$3:$L$6,6,0)/12),0))</f>
        <v/>
      </c>
      <c r="K761" s="29" t="str">
        <f ca="1">IF(C761&lt;&gt;"",IF(I761&lt;&gt;"",IF(ISERROR(VLOOKUP(I761,$C$3:$L$6,10,0)),"",VLOOKUP(I761,$C$3:$L$6,10,0)+J761+IF(OR(VLOOKUP(I761,$C$3:$L$6,5,0)=Variables!$B$5,B761&gt;VLOOKUP(I761,$C$3:$L$6,8,0)),IF(VLOOKUP(I761,$C$3:$L$6,5,0)=Variables!$B$5,((YEAR(B761)-YEAR($B$12))*12+MONTH(B761)-MONTH($B$12)),((YEAR(B761)-YEAR(VLOOKUP(I761,$C$3:$L$6,8,0)))*12+MONTH(B761)-MONTH(VLOOKUP(I761,$C$3:$L$6,8,0))))*VLOOKUP(I761,$C$3:$L$6,7,0),0)),""),"")</f>
        <v/>
      </c>
      <c r="L761" s="29" t="str">
        <f t="shared" ca="1" si="69"/>
        <v/>
      </c>
      <c r="M761" s="10"/>
      <c r="N761" s="10"/>
    </row>
    <row r="762" spans="1:14" x14ac:dyDescent="0.25">
      <c r="A762" s="10"/>
      <c r="B762" s="14" t="str">
        <f t="shared" ca="1" si="70"/>
        <v/>
      </c>
      <c r="C762" s="14" t="str">
        <f ca="1">IF(I761&lt;&gt;Variables!$B$1,IF(H761&lt;&gt;0,C761,I761),"")</f>
        <v/>
      </c>
      <c r="D762" s="29" t="str">
        <f t="shared" ca="1" si="67"/>
        <v/>
      </c>
      <c r="E762" s="29" t="str">
        <f t="shared" ca="1" si="68"/>
        <v/>
      </c>
      <c r="F762" s="29" t="str">
        <f ca="1">IF(C762&lt;&gt;"",IF(OR(VLOOKUP(C762,$C$3:$L$6,5,0)=Variables!$B$5,B762&gt;VLOOKUP(C762,$C$3:$L$6,8,0)),-D762*VLOOKUP(C762,$C$3:$L$6,6,0)/12,0),"")</f>
        <v/>
      </c>
      <c r="G762" s="29" t="str">
        <f ca="1">IF(I762&lt;&gt;Variables!$B$1,IF(C762&lt;&gt;"",$I$9-E762-F762,""),-D762)</f>
        <v/>
      </c>
      <c r="H762" s="29" t="str">
        <f t="shared" ca="1" si="71"/>
        <v/>
      </c>
      <c r="I762" s="31" t="str">
        <f ca="1">IF(C762&lt;&gt;"",IF(D762+$I$9-E762-F762&gt;=0,IF(ISERROR(INDEX($C$3:$C$6,MATCH(C762,$C$3:$C$6,0)+1,0)),Variables!$B$1,INDEX($C$3:$C$6,MATCH(C762,$C$3:$C$6,0)+1,0)),""),"")</f>
        <v/>
      </c>
      <c r="J762" s="29" t="str">
        <f ca="1">IF(ISERROR(VLOOKUP(I762,$C$3:$L$6,5,0)),"",IF(OR(VLOOKUP(I762,$C$3:$L$6,5,0)=Variables!$B$5,B762&gt;VLOOKUP(I762,$C$3:$L$6,8,0)),IF(VLOOKUP(I762,$C$3:$L$6,5,0)=Variables!$B$5,((YEAR(B762)-YEAR($B$12))*12+MONTH(B762)-MONTH($B$12)),((YEAR(B762)-YEAR(VLOOKUP(I762,$C$3:$L$6,8,0)))*12+MONTH(B762)-MONTH(VLOOKUP(I762,$C$3:$L$6,8,0))))*(VLOOKUP(I762,$C$3:$L$6,10,0)*VLOOKUP(I762,$C$3:$L$6,6,0)/12),0))</f>
        <v/>
      </c>
      <c r="K762" s="29" t="str">
        <f ca="1">IF(C762&lt;&gt;"",IF(I762&lt;&gt;"",IF(ISERROR(VLOOKUP(I762,$C$3:$L$6,10,0)),"",VLOOKUP(I762,$C$3:$L$6,10,0)+J762+IF(OR(VLOOKUP(I762,$C$3:$L$6,5,0)=Variables!$B$5,B762&gt;VLOOKUP(I762,$C$3:$L$6,8,0)),IF(VLOOKUP(I762,$C$3:$L$6,5,0)=Variables!$B$5,((YEAR(B762)-YEAR($B$12))*12+MONTH(B762)-MONTH($B$12)),((YEAR(B762)-YEAR(VLOOKUP(I762,$C$3:$L$6,8,0)))*12+MONTH(B762)-MONTH(VLOOKUP(I762,$C$3:$L$6,8,0))))*VLOOKUP(I762,$C$3:$L$6,7,0),0)),""),"")</f>
        <v/>
      </c>
      <c r="L762" s="29" t="str">
        <f t="shared" ca="1" si="69"/>
        <v/>
      </c>
      <c r="M762" s="10"/>
      <c r="N762" s="10"/>
    </row>
    <row r="763" spans="1:14" x14ac:dyDescent="0.25">
      <c r="A763" s="10"/>
      <c r="B763" s="14" t="str">
        <f t="shared" ca="1" si="70"/>
        <v/>
      </c>
      <c r="C763" s="14" t="str">
        <f ca="1">IF(I762&lt;&gt;Variables!$B$1,IF(H762&lt;&gt;0,C762,I762),"")</f>
        <v/>
      </c>
      <c r="D763" s="29" t="str">
        <f t="shared" ca="1" si="67"/>
        <v/>
      </c>
      <c r="E763" s="29" t="str">
        <f t="shared" ca="1" si="68"/>
        <v/>
      </c>
      <c r="F763" s="29" t="str">
        <f ca="1">IF(C763&lt;&gt;"",IF(OR(VLOOKUP(C763,$C$3:$L$6,5,0)=Variables!$B$5,B763&gt;VLOOKUP(C763,$C$3:$L$6,8,0)),-D763*VLOOKUP(C763,$C$3:$L$6,6,0)/12,0),"")</f>
        <v/>
      </c>
      <c r="G763" s="29" t="str">
        <f ca="1">IF(I763&lt;&gt;Variables!$B$1,IF(C763&lt;&gt;"",$I$9-E763-F763,""),-D763)</f>
        <v/>
      </c>
      <c r="H763" s="29" t="str">
        <f t="shared" ca="1" si="71"/>
        <v/>
      </c>
      <c r="I763" s="31" t="str">
        <f ca="1">IF(C763&lt;&gt;"",IF(D763+$I$9-E763-F763&gt;=0,IF(ISERROR(INDEX($C$3:$C$6,MATCH(C763,$C$3:$C$6,0)+1,0)),Variables!$B$1,INDEX($C$3:$C$6,MATCH(C763,$C$3:$C$6,0)+1,0)),""),"")</f>
        <v/>
      </c>
      <c r="J763" s="29" t="str">
        <f ca="1">IF(ISERROR(VLOOKUP(I763,$C$3:$L$6,5,0)),"",IF(OR(VLOOKUP(I763,$C$3:$L$6,5,0)=Variables!$B$5,B763&gt;VLOOKUP(I763,$C$3:$L$6,8,0)),IF(VLOOKUP(I763,$C$3:$L$6,5,0)=Variables!$B$5,((YEAR(B763)-YEAR($B$12))*12+MONTH(B763)-MONTH($B$12)),((YEAR(B763)-YEAR(VLOOKUP(I763,$C$3:$L$6,8,0)))*12+MONTH(B763)-MONTH(VLOOKUP(I763,$C$3:$L$6,8,0))))*(VLOOKUP(I763,$C$3:$L$6,10,0)*VLOOKUP(I763,$C$3:$L$6,6,0)/12),0))</f>
        <v/>
      </c>
      <c r="K763" s="29" t="str">
        <f ca="1">IF(C763&lt;&gt;"",IF(I763&lt;&gt;"",IF(ISERROR(VLOOKUP(I763,$C$3:$L$6,10,0)),"",VLOOKUP(I763,$C$3:$L$6,10,0)+J763+IF(OR(VLOOKUP(I763,$C$3:$L$6,5,0)=Variables!$B$5,B763&gt;VLOOKUP(I763,$C$3:$L$6,8,0)),IF(VLOOKUP(I763,$C$3:$L$6,5,0)=Variables!$B$5,((YEAR(B763)-YEAR($B$12))*12+MONTH(B763)-MONTH($B$12)),((YEAR(B763)-YEAR(VLOOKUP(I763,$C$3:$L$6,8,0)))*12+MONTH(B763)-MONTH(VLOOKUP(I763,$C$3:$L$6,8,0))))*VLOOKUP(I763,$C$3:$L$6,7,0),0)),""),"")</f>
        <v/>
      </c>
      <c r="L763" s="29" t="str">
        <f t="shared" ca="1" si="69"/>
        <v/>
      </c>
      <c r="M763" s="10"/>
      <c r="N763" s="10"/>
    </row>
    <row r="764" spans="1:14" x14ac:dyDescent="0.25">
      <c r="A764" s="10"/>
      <c r="B764" s="14" t="str">
        <f t="shared" ca="1" si="70"/>
        <v/>
      </c>
      <c r="C764" s="14" t="str">
        <f ca="1">IF(I763&lt;&gt;Variables!$B$1,IF(H763&lt;&gt;0,C763,I763),"")</f>
        <v/>
      </c>
      <c r="D764" s="29" t="str">
        <f t="shared" ca="1" si="67"/>
        <v/>
      </c>
      <c r="E764" s="29" t="str">
        <f t="shared" ca="1" si="68"/>
        <v/>
      </c>
      <c r="F764" s="29" t="str">
        <f ca="1">IF(C764&lt;&gt;"",IF(OR(VLOOKUP(C764,$C$3:$L$6,5,0)=Variables!$B$5,B764&gt;VLOOKUP(C764,$C$3:$L$6,8,0)),-D764*VLOOKUP(C764,$C$3:$L$6,6,0)/12,0),"")</f>
        <v/>
      </c>
      <c r="G764" s="29" t="str">
        <f ca="1">IF(I764&lt;&gt;Variables!$B$1,IF(C764&lt;&gt;"",$I$9-E764-F764,""),-D764)</f>
        <v/>
      </c>
      <c r="H764" s="29" t="str">
        <f t="shared" ca="1" si="71"/>
        <v/>
      </c>
      <c r="I764" s="31" t="str">
        <f ca="1">IF(C764&lt;&gt;"",IF(D764+$I$9-E764-F764&gt;=0,IF(ISERROR(INDEX($C$3:$C$6,MATCH(C764,$C$3:$C$6,0)+1,0)),Variables!$B$1,INDEX($C$3:$C$6,MATCH(C764,$C$3:$C$6,0)+1,0)),""),"")</f>
        <v/>
      </c>
      <c r="J764" s="29" t="str">
        <f ca="1">IF(ISERROR(VLOOKUP(I764,$C$3:$L$6,5,0)),"",IF(OR(VLOOKUP(I764,$C$3:$L$6,5,0)=Variables!$B$5,B764&gt;VLOOKUP(I764,$C$3:$L$6,8,0)),IF(VLOOKUP(I764,$C$3:$L$6,5,0)=Variables!$B$5,((YEAR(B764)-YEAR($B$12))*12+MONTH(B764)-MONTH($B$12)),((YEAR(B764)-YEAR(VLOOKUP(I764,$C$3:$L$6,8,0)))*12+MONTH(B764)-MONTH(VLOOKUP(I764,$C$3:$L$6,8,0))))*(VLOOKUP(I764,$C$3:$L$6,10,0)*VLOOKUP(I764,$C$3:$L$6,6,0)/12),0))</f>
        <v/>
      </c>
      <c r="K764" s="29" t="str">
        <f ca="1">IF(C764&lt;&gt;"",IF(I764&lt;&gt;"",IF(ISERROR(VLOOKUP(I764,$C$3:$L$6,10,0)),"",VLOOKUP(I764,$C$3:$L$6,10,0)+J764+IF(OR(VLOOKUP(I764,$C$3:$L$6,5,0)=Variables!$B$5,B764&gt;VLOOKUP(I764,$C$3:$L$6,8,0)),IF(VLOOKUP(I764,$C$3:$L$6,5,0)=Variables!$B$5,((YEAR(B764)-YEAR($B$12))*12+MONTH(B764)-MONTH($B$12)),((YEAR(B764)-YEAR(VLOOKUP(I764,$C$3:$L$6,8,0)))*12+MONTH(B764)-MONTH(VLOOKUP(I764,$C$3:$L$6,8,0))))*VLOOKUP(I764,$C$3:$L$6,7,0),0)),""),"")</f>
        <v/>
      </c>
      <c r="L764" s="29" t="str">
        <f t="shared" ca="1" si="69"/>
        <v/>
      </c>
      <c r="M764" s="10"/>
      <c r="N764" s="10"/>
    </row>
    <row r="765" spans="1:14" x14ac:dyDescent="0.25">
      <c r="A765" s="10"/>
      <c r="B765" s="14" t="str">
        <f t="shared" ca="1" si="70"/>
        <v/>
      </c>
      <c r="C765" s="14" t="str">
        <f ca="1">IF(I764&lt;&gt;Variables!$B$1,IF(H764&lt;&gt;0,C764,I764),"")</f>
        <v/>
      </c>
      <c r="D765" s="29" t="str">
        <f t="shared" ca="1" si="67"/>
        <v/>
      </c>
      <c r="E765" s="29" t="str">
        <f t="shared" ca="1" si="68"/>
        <v/>
      </c>
      <c r="F765" s="29" t="str">
        <f ca="1">IF(C765&lt;&gt;"",IF(OR(VLOOKUP(C765,$C$3:$L$6,5,0)=Variables!$B$5,B765&gt;VLOOKUP(C765,$C$3:$L$6,8,0)),-D765*VLOOKUP(C765,$C$3:$L$6,6,0)/12,0),"")</f>
        <v/>
      </c>
      <c r="G765" s="29" t="str">
        <f ca="1">IF(I765&lt;&gt;Variables!$B$1,IF(C765&lt;&gt;"",$I$9-E765-F765,""),-D765)</f>
        <v/>
      </c>
      <c r="H765" s="29" t="str">
        <f t="shared" ca="1" si="71"/>
        <v/>
      </c>
      <c r="I765" s="31" t="str">
        <f ca="1">IF(C765&lt;&gt;"",IF(D765+$I$9-E765-F765&gt;=0,IF(ISERROR(INDEX($C$3:$C$6,MATCH(C765,$C$3:$C$6,0)+1,0)),Variables!$B$1,INDEX($C$3:$C$6,MATCH(C765,$C$3:$C$6,0)+1,0)),""),"")</f>
        <v/>
      </c>
      <c r="J765" s="29" t="str">
        <f ca="1">IF(ISERROR(VLOOKUP(I765,$C$3:$L$6,5,0)),"",IF(OR(VLOOKUP(I765,$C$3:$L$6,5,0)=Variables!$B$5,B765&gt;VLOOKUP(I765,$C$3:$L$6,8,0)),IF(VLOOKUP(I765,$C$3:$L$6,5,0)=Variables!$B$5,((YEAR(B765)-YEAR($B$12))*12+MONTH(B765)-MONTH($B$12)),((YEAR(B765)-YEAR(VLOOKUP(I765,$C$3:$L$6,8,0)))*12+MONTH(B765)-MONTH(VLOOKUP(I765,$C$3:$L$6,8,0))))*(VLOOKUP(I765,$C$3:$L$6,10,0)*VLOOKUP(I765,$C$3:$L$6,6,0)/12),0))</f>
        <v/>
      </c>
      <c r="K765" s="29" t="str">
        <f ca="1">IF(C765&lt;&gt;"",IF(I765&lt;&gt;"",IF(ISERROR(VLOOKUP(I765,$C$3:$L$6,10,0)),"",VLOOKUP(I765,$C$3:$L$6,10,0)+J765+IF(OR(VLOOKUP(I765,$C$3:$L$6,5,0)=Variables!$B$5,B765&gt;VLOOKUP(I765,$C$3:$L$6,8,0)),IF(VLOOKUP(I765,$C$3:$L$6,5,0)=Variables!$B$5,((YEAR(B765)-YEAR($B$12))*12+MONTH(B765)-MONTH($B$12)),((YEAR(B765)-YEAR(VLOOKUP(I765,$C$3:$L$6,8,0)))*12+MONTH(B765)-MONTH(VLOOKUP(I765,$C$3:$L$6,8,0))))*VLOOKUP(I765,$C$3:$L$6,7,0),0)),""),"")</f>
        <v/>
      </c>
      <c r="L765" s="29" t="str">
        <f t="shared" ca="1" si="69"/>
        <v/>
      </c>
      <c r="M765" s="10"/>
      <c r="N765" s="10"/>
    </row>
    <row r="766" spans="1:14" x14ac:dyDescent="0.25">
      <c r="A766" s="10"/>
      <c r="B766" s="14" t="str">
        <f t="shared" ca="1" si="70"/>
        <v/>
      </c>
      <c r="C766" s="14" t="str">
        <f ca="1">IF(I765&lt;&gt;Variables!$B$1,IF(H765&lt;&gt;0,C765,I765),"")</f>
        <v/>
      </c>
      <c r="D766" s="29" t="str">
        <f t="shared" ca="1" si="67"/>
        <v/>
      </c>
      <c r="E766" s="29" t="str">
        <f t="shared" ca="1" si="68"/>
        <v/>
      </c>
      <c r="F766" s="29" t="str">
        <f ca="1">IF(C766&lt;&gt;"",IF(OR(VLOOKUP(C766,$C$3:$L$6,5,0)=Variables!$B$5,B766&gt;VLOOKUP(C766,$C$3:$L$6,8,0)),-D766*VLOOKUP(C766,$C$3:$L$6,6,0)/12,0),"")</f>
        <v/>
      </c>
      <c r="G766" s="29" t="str">
        <f ca="1">IF(I766&lt;&gt;Variables!$B$1,IF(C766&lt;&gt;"",$I$9-E766-F766,""),-D766)</f>
        <v/>
      </c>
      <c r="H766" s="29" t="str">
        <f t="shared" ca="1" si="71"/>
        <v/>
      </c>
      <c r="I766" s="31" t="str">
        <f ca="1">IF(C766&lt;&gt;"",IF(D766+$I$9-E766-F766&gt;=0,IF(ISERROR(INDEX($C$3:$C$6,MATCH(C766,$C$3:$C$6,0)+1,0)),Variables!$B$1,INDEX($C$3:$C$6,MATCH(C766,$C$3:$C$6,0)+1,0)),""),"")</f>
        <v/>
      </c>
      <c r="J766" s="29" t="str">
        <f ca="1">IF(ISERROR(VLOOKUP(I766,$C$3:$L$6,5,0)),"",IF(OR(VLOOKUP(I766,$C$3:$L$6,5,0)=Variables!$B$5,B766&gt;VLOOKUP(I766,$C$3:$L$6,8,0)),IF(VLOOKUP(I766,$C$3:$L$6,5,0)=Variables!$B$5,((YEAR(B766)-YEAR($B$12))*12+MONTH(B766)-MONTH($B$12)),((YEAR(B766)-YEAR(VLOOKUP(I766,$C$3:$L$6,8,0)))*12+MONTH(B766)-MONTH(VLOOKUP(I766,$C$3:$L$6,8,0))))*(VLOOKUP(I766,$C$3:$L$6,10,0)*VLOOKUP(I766,$C$3:$L$6,6,0)/12),0))</f>
        <v/>
      </c>
      <c r="K766" s="29" t="str">
        <f ca="1">IF(C766&lt;&gt;"",IF(I766&lt;&gt;"",IF(ISERROR(VLOOKUP(I766,$C$3:$L$6,10,0)),"",VLOOKUP(I766,$C$3:$L$6,10,0)+J766+IF(OR(VLOOKUP(I766,$C$3:$L$6,5,0)=Variables!$B$5,B766&gt;VLOOKUP(I766,$C$3:$L$6,8,0)),IF(VLOOKUP(I766,$C$3:$L$6,5,0)=Variables!$B$5,((YEAR(B766)-YEAR($B$12))*12+MONTH(B766)-MONTH($B$12)),((YEAR(B766)-YEAR(VLOOKUP(I766,$C$3:$L$6,8,0)))*12+MONTH(B766)-MONTH(VLOOKUP(I766,$C$3:$L$6,8,0))))*VLOOKUP(I766,$C$3:$L$6,7,0),0)),""),"")</f>
        <v/>
      </c>
      <c r="L766" s="29" t="str">
        <f t="shared" ca="1" si="69"/>
        <v/>
      </c>
      <c r="M766" s="10"/>
      <c r="N766" s="10"/>
    </row>
    <row r="767" spans="1:14" x14ac:dyDescent="0.25">
      <c r="A767" s="10"/>
      <c r="B767" s="14" t="str">
        <f t="shared" ca="1" si="70"/>
        <v/>
      </c>
      <c r="C767" s="14" t="str">
        <f ca="1">IF(I766&lt;&gt;Variables!$B$1,IF(H766&lt;&gt;0,C766,I766),"")</f>
        <v/>
      </c>
      <c r="D767" s="29" t="str">
        <f t="shared" ca="1" si="67"/>
        <v/>
      </c>
      <c r="E767" s="29" t="str">
        <f t="shared" ca="1" si="68"/>
        <v/>
      </c>
      <c r="F767" s="29" t="str">
        <f ca="1">IF(C767&lt;&gt;"",IF(OR(VLOOKUP(C767,$C$3:$L$6,5,0)=Variables!$B$5,B767&gt;VLOOKUP(C767,$C$3:$L$6,8,0)),-D767*VLOOKUP(C767,$C$3:$L$6,6,0)/12,0),"")</f>
        <v/>
      </c>
      <c r="G767" s="29" t="str">
        <f ca="1">IF(I767&lt;&gt;Variables!$B$1,IF(C767&lt;&gt;"",$I$9-E767-F767,""),-D767)</f>
        <v/>
      </c>
      <c r="H767" s="29" t="str">
        <f t="shared" ca="1" si="71"/>
        <v/>
      </c>
      <c r="I767" s="31" t="str">
        <f ca="1">IF(C767&lt;&gt;"",IF(D767+$I$9-E767-F767&gt;=0,IF(ISERROR(INDEX($C$3:$C$6,MATCH(C767,$C$3:$C$6,0)+1,0)),Variables!$B$1,INDEX($C$3:$C$6,MATCH(C767,$C$3:$C$6,0)+1,0)),""),"")</f>
        <v/>
      </c>
      <c r="J767" s="29" t="str">
        <f ca="1">IF(ISERROR(VLOOKUP(I767,$C$3:$L$6,5,0)),"",IF(OR(VLOOKUP(I767,$C$3:$L$6,5,0)=Variables!$B$5,B767&gt;VLOOKUP(I767,$C$3:$L$6,8,0)),IF(VLOOKUP(I767,$C$3:$L$6,5,0)=Variables!$B$5,((YEAR(B767)-YEAR($B$12))*12+MONTH(B767)-MONTH($B$12)),((YEAR(B767)-YEAR(VLOOKUP(I767,$C$3:$L$6,8,0)))*12+MONTH(B767)-MONTH(VLOOKUP(I767,$C$3:$L$6,8,0))))*(VLOOKUP(I767,$C$3:$L$6,10,0)*VLOOKUP(I767,$C$3:$L$6,6,0)/12),0))</f>
        <v/>
      </c>
      <c r="K767" s="29" t="str">
        <f ca="1">IF(C767&lt;&gt;"",IF(I767&lt;&gt;"",IF(ISERROR(VLOOKUP(I767,$C$3:$L$6,10,0)),"",VLOOKUP(I767,$C$3:$L$6,10,0)+J767+IF(OR(VLOOKUP(I767,$C$3:$L$6,5,0)=Variables!$B$5,B767&gt;VLOOKUP(I767,$C$3:$L$6,8,0)),IF(VLOOKUP(I767,$C$3:$L$6,5,0)=Variables!$B$5,((YEAR(B767)-YEAR($B$12))*12+MONTH(B767)-MONTH($B$12)),((YEAR(B767)-YEAR(VLOOKUP(I767,$C$3:$L$6,8,0)))*12+MONTH(B767)-MONTH(VLOOKUP(I767,$C$3:$L$6,8,0))))*VLOOKUP(I767,$C$3:$L$6,7,0),0)),""),"")</f>
        <v/>
      </c>
      <c r="L767" s="29" t="str">
        <f t="shared" ca="1" si="69"/>
        <v/>
      </c>
      <c r="M767" s="10"/>
      <c r="N767" s="10"/>
    </row>
    <row r="768" spans="1:14" x14ac:dyDescent="0.25">
      <c r="A768" s="10"/>
      <c r="B768" s="14" t="str">
        <f t="shared" ca="1" si="70"/>
        <v/>
      </c>
      <c r="C768" s="14" t="str">
        <f ca="1">IF(I767&lt;&gt;Variables!$B$1,IF(H767&lt;&gt;0,C767,I767),"")</f>
        <v/>
      </c>
      <c r="D768" s="29" t="str">
        <f t="shared" ca="1" si="67"/>
        <v/>
      </c>
      <c r="E768" s="29" t="str">
        <f t="shared" ca="1" si="68"/>
        <v/>
      </c>
      <c r="F768" s="29" t="str">
        <f ca="1">IF(C768&lt;&gt;"",IF(OR(VLOOKUP(C768,$C$3:$L$6,5,0)=Variables!$B$5,B768&gt;VLOOKUP(C768,$C$3:$L$6,8,0)),-D768*VLOOKUP(C768,$C$3:$L$6,6,0)/12,0),"")</f>
        <v/>
      </c>
      <c r="G768" s="29" t="str">
        <f ca="1">IF(I768&lt;&gt;Variables!$B$1,IF(C768&lt;&gt;"",$I$9-E768-F768,""),-D768)</f>
        <v/>
      </c>
      <c r="H768" s="29" t="str">
        <f t="shared" ca="1" si="71"/>
        <v/>
      </c>
      <c r="I768" s="31" t="str">
        <f ca="1">IF(C768&lt;&gt;"",IF(D768+$I$9-E768-F768&gt;=0,IF(ISERROR(INDEX($C$3:$C$6,MATCH(C768,$C$3:$C$6,0)+1,0)),Variables!$B$1,INDEX($C$3:$C$6,MATCH(C768,$C$3:$C$6,0)+1,0)),""),"")</f>
        <v/>
      </c>
      <c r="J768" s="29" t="str">
        <f ca="1">IF(ISERROR(VLOOKUP(I768,$C$3:$L$6,5,0)),"",IF(OR(VLOOKUP(I768,$C$3:$L$6,5,0)=Variables!$B$5,B768&gt;VLOOKUP(I768,$C$3:$L$6,8,0)),IF(VLOOKUP(I768,$C$3:$L$6,5,0)=Variables!$B$5,((YEAR(B768)-YEAR($B$12))*12+MONTH(B768)-MONTH($B$12)),((YEAR(B768)-YEAR(VLOOKUP(I768,$C$3:$L$6,8,0)))*12+MONTH(B768)-MONTH(VLOOKUP(I768,$C$3:$L$6,8,0))))*(VLOOKUP(I768,$C$3:$L$6,10,0)*VLOOKUP(I768,$C$3:$L$6,6,0)/12),0))</f>
        <v/>
      </c>
      <c r="K768" s="29" t="str">
        <f ca="1">IF(C768&lt;&gt;"",IF(I768&lt;&gt;"",IF(ISERROR(VLOOKUP(I768,$C$3:$L$6,10,0)),"",VLOOKUP(I768,$C$3:$L$6,10,0)+J768+IF(OR(VLOOKUP(I768,$C$3:$L$6,5,0)=Variables!$B$5,B768&gt;VLOOKUP(I768,$C$3:$L$6,8,0)),IF(VLOOKUP(I768,$C$3:$L$6,5,0)=Variables!$B$5,((YEAR(B768)-YEAR($B$12))*12+MONTH(B768)-MONTH($B$12)),((YEAR(B768)-YEAR(VLOOKUP(I768,$C$3:$L$6,8,0)))*12+MONTH(B768)-MONTH(VLOOKUP(I768,$C$3:$L$6,8,0))))*VLOOKUP(I768,$C$3:$L$6,7,0),0)),""),"")</f>
        <v/>
      </c>
      <c r="L768" s="29" t="str">
        <f t="shared" ca="1" si="69"/>
        <v/>
      </c>
      <c r="M768" s="10"/>
      <c r="N768" s="10"/>
    </row>
    <row r="769" spans="1:14" x14ac:dyDescent="0.25">
      <c r="A769" s="10"/>
      <c r="B769" s="14" t="str">
        <f t="shared" ca="1" si="70"/>
        <v/>
      </c>
      <c r="C769" s="14" t="str">
        <f ca="1">IF(I768&lt;&gt;Variables!$B$1,IF(H768&lt;&gt;0,C768,I768),"")</f>
        <v/>
      </c>
      <c r="D769" s="29" t="str">
        <f t="shared" ca="1" si="67"/>
        <v/>
      </c>
      <c r="E769" s="29" t="str">
        <f t="shared" ca="1" si="68"/>
        <v/>
      </c>
      <c r="F769" s="29" t="str">
        <f ca="1">IF(C769&lt;&gt;"",IF(OR(VLOOKUP(C769,$C$3:$L$6,5,0)=Variables!$B$5,B769&gt;VLOOKUP(C769,$C$3:$L$6,8,0)),-D769*VLOOKUP(C769,$C$3:$L$6,6,0)/12,0),"")</f>
        <v/>
      </c>
      <c r="G769" s="29" t="str">
        <f ca="1">IF(I769&lt;&gt;Variables!$B$1,IF(C769&lt;&gt;"",$I$9-E769-F769,""),-D769)</f>
        <v/>
      </c>
      <c r="H769" s="29" t="str">
        <f t="shared" ca="1" si="71"/>
        <v/>
      </c>
      <c r="I769" s="31" t="str">
        <f ca="1">IF(C769&lt;&gt;"",IF(D769+$I$9-E769-F769&gt;=0,IF(ISERROR(INDEX($C$3:$C$6,MATCH(C769,$C$3:$C$6,0)+1,0)),Variables!$B$1,INDEX($C$3:$C$6,MATCH(C769,$C$3:$C$6,0)+1,0)),""),"")</f>
        <v/>
      </c>
      <c r="J769" s="29" t="str">
        <f ca="1">IF(ISERROR(VLOOKUP(I769,$C$3:$L$6,5,0)),"",IF(OR(VLOOKUP(I769,$C$3:$L$6,5,0)=Variables!$B$5,B769&gt;VLOOKUP(I769,$C$3:$L$6,8,0)),IF(VLOOKUP(I769,$C$3:$L$6,5,0)=Variables!$B$5,((YEAR(B769)-YEAR($B$12))*12+MONTH(B769)-MONTH($B$12)),((YEAR(B769)-YEAR(VLOOKUP(I769,$C$3:$L$6,8,0)))*12+MONTH(B769)-MONTH(VLOOKUP(I769,$C$3:$L$6,8,0))))*(VLOOKUP(I769,$C$3:$L$6,10,0)*VLOOKUP(I769,$C$3:$L$6,6,0)/12),0))</f>
        <v/>
      </c>
      <c r="K769" s="29" t="str">
        <f ca="1">IF(C769&lt;&gt;"",IF(I769&lt;&gt;"",IF(ISERROR(VLOOKUP(I769,$C$3:$L$6,10,0)),"",VLOOKUP(I769,$C$3:$L$6,10,0)+J769+IF(OR(VLOOKUP(I769,$C$3:$L$6,5,0)=Variables!$B$5,B769&gt;VLOOKUP(I769,$C$3:$L$6,8,0)),IF(VLOOKUP(I769,$C$3:$L$6,5,0)=Variables!$B$5,((YEAR(B769)-YEAR($B$12))*12+MONTH(B769)-MONTH($B$12)),((YEAR(B769)-YEAR(VLOOKUP(I769,$C$3:$L$6,8,0)))*12+MONTH(B769)-MONTH(VLOOKUP(I769,$C$3:$L$6,8,0))))*VLOOKUP(I769,$C$3:$L$6,7,0),0)),""),"")</f>
        <v/>
      </c>
      <c r="L769" s="29" t="str">
        <f t="shared" ca="1" si="69"/>
        <v/>
      </c>
      <c r="M769" s="10"/>
      <c r="N769" s="10"/>
    </row>
    <row r="770" spans="1:14" x14ac:dyDescent="0.25">
      <c r="A770" s="10"/>
      <c r="B770" s="14" t="str">
        <f t="shared" ca="1" si="70"/>
        <v/>
      </c>
      <c r="C770" s="14" t="str">
        <f ca="1">IF(I769&lt;&gt;Variables!$B$1,IF(H769&lt;&gt;0,C769,I769),"")</f>
        <v/>
      </c>
      <c r="D770" s="29" t="str">
        <f t="shared" ca="1" si="67"/>
        <v/>
      </c>
      <c r="E770" s="29" t="str">
        <f t="shared" ca="1" si="68"/>
        <v/>
      </c>
      <c r="F770" s="29" t="str">
        <f ca="1">IF(C770&lt;&gt;"",IF(OR(VLOOKUP(C770,$C$3:$L$6,5,0)=Variables!$B$5,B770&gt;VLOOKUP(C770,$C$3:$L$6,8,0)),-D770*VLOOKUP(C770,$C$3:$L$6,6,0)/12,0),"")</f>
        <v/>
      </c>
      <c r="G770" s="29" t="str">
        <f ca="1">IF(I770&lt;&gt;Variables!$B$1,IF(C770&lt;&gt;"",$I$9-E770-F770,""),-D770)</f>
        <v/>
      </c>
      <c r="H770" s="29" t="str">
        <f t="shared" ca="1" si="71"/>
        <v/>
      </c>
      <c r="I770" s="31" t="str">
        <f ca="1">IF(C770&lt;&gt;"",IF(D770+$I$9-E770-F770&gt;=0,IF(ISERROR(INDEX($C$3:$C$6,MATCH(C770,$C$3:$C$6,0)+1,0)),Variables!$B$1,INDEX($C$3:$C$6,MATCH(C770,$C$3:$C$6,0)+1,0)),""),"")</f>
        <v/>
      </c>
      <c r="J770" s="29" t="str">
        <f ca="1">IF(ISERROR(VLOOKUP(I770,$C$3:$L$6,5,0)),"",IF(OR(VLOOKUP(I770,$C$3:$L$6,5,0)=Variables!$B$5,B770&gt;VLOOKUP(I770,$C$3:$L$6,8,0)),IF(VLOOKUP(I770,$C$3:$L$6,5,0)=Variables!$B$5,((YEAR(B770)-YEAR($B$12))*12+MONTH(B770)-MONTH($B$12)),((YEAR(B770)-YEAR(VLOOKUP(I770,$C$3:$L$6,8,0)))*12+MONTH(B770)-MONTH(VLOOKUP(I770,$C$3:$L$6,8,0))))*(VLOOKUP(I770,$C$3:$L$6,10,0)*VLOOKUP(I770,$C$3:$L$6,6,0)/12),0))</f>
        <v/>
      </c>
      <c r="K770" s="29" t="str">
        <f ca="1">IF(C770&lt;&gt;"",IF(I770&lt;&gt;"",IF(ISERROR(VLOOKUP(I770,$C$3:$L$6,10,0)),"",VLOOKUP(I770,$C$3:$L$6,10,0)+J770+IF(OR(VLOOKUP(I770,$C$3:$L$6,5,0)=Variables!$B$5,B770&gt;VLOOKUP(I770,$C$3:$L$6,8,0)),IF(VLOOKUP(I770,$C$3:$L$6,5,0)=Variables!$B$5,((YEAR(B770)-YEAR($B$12))*12+MONTH(B770)-MONTH($B$12)),((YEAR(B770)-YEAR(VLOOKUP(I770,$C$3:$L$6,8,0)))*12+MONTH(B770)-MONTH(VLOOKUP(I770,$C$3:$L$6,8,0))))*VLOOKUP(I770,$C$3:$L$6,7,0),0)),""),"")</f>
        <v/>
      </c>
      <c r="L770" s="29" t="str">
        <f t="shared" ca="1" si="69"/>
        <v/>
      </c>
      <c r="M770" s="10"/>
      <c r="N770" s="10"/>
    </row>
    <row r="771" spans="1:14" x14ac:dyDescent="0.25">
      <c r="A771" s="10"/>
      <c r="B771" s="14" t="str">
        <f t="shared" ca="1" si="70"/>
        <v/>
      </c>
      <c r="C771" s="14" t="str">
        <f ca="1">IF(I770&lt;&gt;Variables!$B$1,IF(H770&lt;&gt;0,C770,I770),"")</f>
        <v/>
      </c>
      <c r="D771" s="29" t="str">
        <f t="shared" ca="1" si="67"/>
        <v/>
      </c>
      <c r="E771" s="29" t="str">
        <f t="shared" ca="1" si="68"/>
        <v/>
      </c>
      <c r="F771" s="29" t="str">
        <f ca="1">IF(C771&lt;&gt;"",IF(OR(VLOOKUP(C771,$C$3:$L$6,5,0)=Variables!$B$5,B771&gt;VLOOKUP(C771,$C$3:$L$6,8,0)),-D771*VLOOKUP(C771,$C$3:$L$6,6,0)/12,0),"")</f>
        <v/>
      </c>
      <c r="G771" s="29" t="str">
        <f ca="1">IF(I771&lt;&gt;Variables!$B$1,IF(C771&lt;&gt;"",$I$9-E771-F771,""),-D771)</f>
        <v/>
      </c>
      <c r="H771" s="29" t="str">
        <f t="shared" ca="1" si="71"/>
        <v/>
      </c>
      <c r="I771" s="31" t="str">
        <f ca="1">IF(C771&lt;&gt;"",IF(D771+$I$9-E771-F771&gt;=0,IF(ISERROR(INDEX($C$3:$C$6,MATCH(C771,$C$3:$C$6,0)+1,0)),Variables!$B$1,INDEX($C$3:$C$6,MATCH(C771,$C$3:$C$6,0)+1,0)),""),"")</f>
        <v/>
      </c>
      <c r="J771" s="29" t="str">
        <f ca="1">IF(ISERROR(VLOOKUP(I771,$C$3:$L$6,5,0)),"",IF(OR(VLOOKUP(I771,$C$3:$L$6,5,0)=Variables!$B$5,B771&gt;VLOOKUP(I771,$C$3:$L$6,8,0)),IF(VLOOKUP(I771,$C$3:$L$6,5,0)=Variables!$B$5,((YEAR(B771)-YEAR($B$12))*12+MONTH(B771)-MONTH($B$12)),((YEAR(B771)-YEAR(VLOOKUP(I771,$C$3:$L$6,8,0)))*12+MONTH(B771)-MONTH(VLOOKUP(I771,$C$3:$L$6,8,0))))*(VLOOKUP(I771,$C$3:$L$6,10,0)*VLOOKUP(I771,$C$3:$L$6,6,0)/12),0))</f>
        <v/>
      </c>
      <c r="K771" s="29" t="str">
        <f ca="1">IF(C771&lt;&gt;"",IF(I771&lt;&gt;"",IF(ISERROR(VLOOKUP(I771,$C$3:$L$6,10,0)),"",VLOOKUP(I771,$C$3:$L$6,10,0)+J771+IF(OR(VLOOKUP(I771,$C$3:$L$6,5,0)=Variables!$B$5,B771&gt;VLOOKUP(I771,$C$3:$L$6,8,0)),IF(VLOOKUP(I771,$C$3:$L$6,5,0)=Variables!$B$5,((YEAR(B771)-YEAR($B$12))*12+MONTH(B771)-MONTH($B$12)),((YEAR(B771)-YEAR(VLOOKUP(I771,$C$3:$L$6,8,0)))*12+MONTH(B771)-MONTH(VLOOKUP(I771,$C$3:$L$6,8,0))))*VLOOKUP(I771,$C$3:$L$6,7,0),0)),""),"")</f>
        <v/>
      </c>
      <c r="L771" s="29" t="str">
        <f t="shared" ca="1" si="69"/>
        <v/>
      </c>
      <c r="M771" s="10"/>
      <c r="N771" s="10"/>
    </row>
    <row r="772" spans="1:14" x14ac:dyDescent="0.25">
      <c r="A772" s="10"/>
      <c r="B772" s="14" t="str">
        <f t="shared" ca="1" si="70"/>
        <v/>
      </c>
      <c r="C772" s="14" t="str">
        <f ca="1">IF(I771&lt;&gt;Variables!$B$1,IF(H771&lt;&gt;0,C771,I771),"")</f>
        <v/>
      </c>
      <c r="D772" s="29" t="str">
        <f t="shared" ca="1" si="67"/>
        <v/>
      </c>
      <c r="E772" s="29" t="str">
        <f t="shared" ca="1" si="68"/>
        <v/>
      </c>
      <c r="F772" s="29" t="str">
        <f ca="1">IF(C772&lt;&gt;"",IF(OR(VLOOKUP(C772,$C$3:$L$6,5,0)=Variables!$B$5,B772&gt;VLOOKUP(C772,$C$3:$L$6,8,0)),-D772*VLOOKUP(C772,$C$3:$L$6,6,0)/12,0),"")</f>
        <v/>
      </c>
      <c r="G772" s="29" t="str">
        <f ca="1">IF(I772&lt;&gt;Variables!$B$1,IF(C772&lt;&gt;"",$I$9-E772-F772,""),-D772)</f>
        <v/>
      </c>
      <c r="H772" s="29" t="str">
        <f t="shared" ca="1" si="71"/>
        <v/>
      </c>
      <c r="I772" s="31" t="str">
        <f ca="1">IF(C772&lt;&gt;"",IF(D772+$I$9-E772-F772&gt;=0,IF(ISERROR(INDEX($C$3:$C$6,MATCH(C772,$C$3:$C$6,0)+1,0)),Variables!$B$1,INDEX($C$3:$C$6,MATCH(C772,$C$3:$C$6,0)+1,0)),""),"")</f>
        <v/>
      </c>
      <c r="J772" s="29" t="str">
        <f ca="1">IF(ISERROR(VLOOKUP(I772,$C$3:$L$6,5,0)),"",IF(OR(VLOOKUP(I772,$C$3:$L$6,5,0)=Variables!$B$5,B772&gt;VLOOKUP(I772,$C$3:$L$6,8,0)),IF(VLOOKUP(I772,$C$3:$L$6,5,0)=Variables!$B$5,((YEAR(B772)-YEAR($B$12))*12+MONTH(B772)-MONTH($B$12)),((YEAR(B772)-YEAR(VLOOKUP(I772,$C$3:$L$6,8,0)))*12+MONTH(B772)-MONTH(VLOOKUP(I772,$C$3:$L$6,8,0))))*(VLOOKUP(I772,$C$3:$L$6,10,0)*VLOOKUP(I772,$C$3:$L$6,6,0)/12),0))</f>
        <v/>
      </c>
      <c r="K772" s="29" t="str">
        <f ca="1">IF(C772&lt;&gt;"",IF(I772&lt;&gt;"",IF(ISERROR(VLOOKUP(I772,$C$3:$L$6,10,0)),"",VLOOKUP(I772,$C$3:$L$6,10,0)+J772+IF(OR(VLOOKUP(I772,$C$3:$L$6,5,0)=Variables!$B$5,B772&gt;VLOOKUP(I772,$C$3:$L$6,8,0)),IF(VLOOKUP(I772,$C$3:$L$6,5,0)=Variables!$B$5,((YEAR(B772)-YEAR($B$12))*12+MONTH(B772)-MONTH($B$12)),((YEAR(B772)-YEAR(VLOOKUP(I772,$C$3:$L$6,8,0)))*12+MONTH(B772)-MONTH(VLOOKUP(I772,$C$3:$L$6,8,0))))*VLOOKUP(I772,$C$3:$L$6,7,0),0)),""),"")</f>
        <v/>
      </c>
      <c r="L772" s="29" t="str">
        <f t="shared" ca="1" si="69"/>
        <v/>
      </c>
      <c r="M772" s="10"/>
      <c r="N772" s="10"/>
    </row>
    <row r="773" spans="1:14" x14ac:dyDescent="0.25">
      <c r="A773" s="10"/>
      <c r="B773" s="14" t="str">
        <f t="shared" ca="1" si="70"/>
        <v/>
      </c>
      <c r="C773" s="14" t="str">
        <f ca="1">IF(I772&lt;&gt;Variables!$B$1,IF(H772&lt;&gt;0,C772,I772),"")</f>
        <v/>
      </c>
      <c r="D773" s="29" t="str">
        <f t="shared" ca="1" si="67"/>
        <v/>
      </c>
      <c r="E773" s="29" t="str">
        <f t="shared" ca="1" si="68"/>
        <v/>
      </c>
      <c r="F773" s="29" t="str">
        <f ca="1">IF(C773&lt;&gt;"",IF(OR(VLOOKUP(C773,$C$3:$L$6,5,0)=Variables!$B$5,B773&gt;VLOOKUP(C773,$C$3:$L$6,8,0)),-D773*VLOOKUP(C773,$C$3:$L$6,6,0)/12,0),"")</f>
        <v/>
      </c>
      <c r="G773" s="29" t="str">
        <f ca="1">IF(I773&lt;&gt;Variables!$B$1,IF(C773&lt;&gt;"",$I$9-E773-F773,""),-D773)</f>
        <v/>
      </c>
      <c r="H773" s="29" t="str">
        <f t="shared" ca="1" si="71"/>
        <v/>
      </c>
      <c r="I773" s="31" t="str">
        <f ca="1">IF(C773&lt;&gt;"",IF(D773+$I$9-E773-F773&gt;=0,IF(ISERROR(INDEX($C$3:$C$6,MATCH(C773,$C$3:$C$6,0)+1,0)),Variables!$B$1,INDEX($C$3:$C$6,MATCH(C773,$C$3:$C$6,0)+1,0)),""),"")</f>
        <v/>
      </c>
      <c r="J773" s="29" t="str">
        <f ca="1">IF(ISERROR(VLOOKUP(I773,$C$3:$L$6,5,0)),"",IF(OR(VLOOKUP(I773,$C$3:$L$6,5,0)=Variables!$B$5,B773&gt;VLOOKUP(I773,$C$3:$L$6,8,0)),IF(VLOOKUP(I773,$C$3:$L$6,5,0)=Variables!$B$5,((YEAR(B773)-YEAR($B$12))*12+MONTH(B773)-MONTH($B$12)),((YEAR(B773)-YEAR(VLOOKUP(I773,$C$3:$L$6,8,0)))*12+MONTH(B773)-MONTH(VLOOKUP(I773,$C$3:$L$6,8,0))))*(VLOOKUP(I773,$C$3:$L$6,10,0)*VLOOKUP(I773,$C$3:$L$6,6,0)/12),0))</f>
        <v/>
      </c>
      <c r="K773" s="29" t="str">
        <f ca="1">IF(C773&lt;&gt;"",IF(I773&lt;&gt;"",IF(ISERROR(VLOOKUP(I773,$C$3:$L$6,10,0)),"",VLOOKUP(I773,$C$3:$L$6,10,0)+J773+IF(OR(VLOOKUP(I773,$C$3:$L$6,5,0)=Variables!$B$5,B773&gt;VLOOKUP(I773,$C$3:$L$6,8,0)),IF(VLOOKUP(I773,$C$3:$L$6,5,0)=Variables!$B$5,((YEAR(B773)-YEAR($B$12))*12+MONTH(B773)-MONTH($B$12)),((YEAR(B773)-YEAR(VLOOKUP(I773,$C$3:$L$6,8,0)))*12+MONTH(B773)-MONTH(VLOOKUP(I773,$C$3:$L$6,8,0))))*VLOOKUP(I773,$C$3:$L$6,7,0),0)),""),"")</f>
        <v/>
      </c>
      <c r="L773" s="29" t="str">
        <f t="shared" ca="1" si="69"/>
        <v/>
      </c>
      <c r="M773" s="10"/>
      <c r="N773" s="10"/>
    </row>
    <row r="774" spans="1:14" x14ac:dyDescent="0.25">
      <c r="A774" s="10"/>
      <c r="B774" s="14" t="str">
        <f t="shared" ca="1" si="70"/>
        <v/>
      </c>
      <c r="C774" s="14" t="str">
        <f ca="1">IF(I773&lt;&gt;Variables!$B$1,IF(H773&lt;&gt;0,C773,I773),"")</f>
        <v/>
      </c>
      <c r="D774" s="29" t="str">
        <f t="shared" ca="1" si="67"/>
        <v/>
      </c>
      <c r="E774" s="29" t="str">
        <f t="shared" ca="1" si="68"/>
        <v/>
      </c>
      <c r="F774" s="29" t="str">
        <f ca="1">IF(C774&lt;&gt;"",IF(OR(VLOOKUP(C774,$C$3:$L$6,5,0)=Variables!$B$5,B774&gt;VLOOKUP(C774,$C$3:$L$6,8,0)),-D774*VLOOKUP(C774,$C$3:$L$6,6,0)/12,0),"")</f>
        <v/>
      </c>
      <c r="G774" s="29" t="str">
        <f ca="1">IF(I774&lt;&gt;Variables!$B$1,IF(C774&lt;&gt;"",$I$9-E774-F774,""),-D774)</f>
        <v/>
      </c>
      <c r="H774" s="29" t="str">
        <f t="shared" ca="1" si="71"/>
        <v/>
      </c>
      <c r="I774" s="31" t="str">
        <f ca="1">IF(C774&lt;&gt;"",IF(D774+$I$9-E774-F774&gt;=0,IF(ISERROR(INDEX($C$3:$C$6,MATCH(C774,$C$3:$C$6,0)+1,0)),Variables!$B$1,INDEX($C$3:$C$6,MATCH(C774,$C$3:$C$6,0)+1,0)),""),"")</f>
        <v/>
      </c>
      <c r="J774" s="29" t="str">
        <f ca="1">IF(ISERROR(VLOOKUP(I774,$C$3:$L$6,5,0)),"",IF(OR(VLOOKUP(I774,$C$3:$L$6,5,0)=Variables!$B$5,B774&gt;VLOOKUP(I774,$C$3:$L$6,8,0)),IF(VLOOKUP(I774,$C$3:$L$6,5,0)=Variables!$B$5,((YEAR(B774)-YEAR($B$12))*12+MONTH(B774)-MONTH($B$12)),((YEAR(B774)-YEAR(VLOOKUP(I774,$C$3:$L$6,8,0)))*12+MONTH(B774)-MONTH(VLOOKUP(I774,$C$3:$L$6,8,0))))*(VLOOKUP(I774,$C$3:$L$6,10,0)*VLOOKUP(I774,$C$3:$L$6,6,0)/12),0))</f>
        <v/>
      </c>
      <c r="K774" s="29" t="str">
        <f ca="1">IF(C774&lt;&gt;"",IF(I774&lt;&gt;"",IF(ISERROR(VLOOKUP(I774,$C$3:$L$6,10,0)),"",VLOOKUP(I774,$C$3:$L$6,10,0)+J774+IF(OR(VLOOKUP(I774,$C$3:$L$6,5,0)=Variables!$B$5,B774&gt;VLOOKUP(I774,$C$3:$L$6,8,0)),IF(VLOOKUP(I774,$C$3:$L$6,5,0)=Variables!$B$5,((YEAR(B774)-YEAR($B$12))*12+MONTH(B774)-MONTH($B$12)),((YEAR(B774)-YEAR(VLOOKUP(I774,$C$3:$L$6,8,0)))*12+MONTH(B774)-MONTH(VLOOKUP(I774,$C$3:$L$6,8,0))))*VLOOKUP(I774,$C$3:$L$6,7,0),0)),""),"")</f>
        <v/>
      </c>
      <c r="L774" s="29" t="str">
        <f t="shared" ca="1" si="69"/>
        <v/>
      </c>
      <c r="M774" s="10"/>
      <c r="N774" s="10"/>
    </row>
    <row r="775" spans="1:14" x14ac:dyDescent="0.25">
      <c r="A775" s="10"/>
      <c r="B775" s="14" t="str">
        <f t="shared" ca="1" si="70"/>
        <v/>
      </c>
      <c r="C775" s="14" t="str">
        <f ca="1">IF(I774&lt;&gt;Variables!$B$1,IF(H774&lt;&gt;0,C774,I774),"")</f>
        <v/>
      </c>
      <c r="D775" s="29" t="str">
        <f t="shared" ca="1" si="67"/>
        <v/>
      </c>
      <c r="E775" s="29" t="str">
        <f t="shared" ca="1" si="68"/>
        <v/>
      </c>
      <c r="F775" s="29" t="str">
        <f ca="1">IF(C775&lt;&gt;"",IF(OR(VLOOKUP(C775,$C$3:$L$6,5,0)=Variables!$B$5,B775&gt;VLOOKUP(C775,$C$3:$L$6,8,0)),-D775*VLOOKUP(C775,$C$3:$L$6,6,0)/12,0),"")</f>
        <v/>
      </c>
      <c r="G775" s="29" t="str">
        <f ca="1">IF(I775&lt;&gt;Variables!$B$1,IF(C775&lt;&gt;"",$I$9-E775-F775,""),-D775)</f>
        <v/>
      </c>
      <c r="H775" s="29" t="str">
        <f t="shared" ca="1" si="71"/>
        <v/>
      </c>
      <c r="I775" s="31" t="str">
        <f ca="1">IF(C775&lt;&gt;"",IF(D775+$I$9-E775-F775&gt;=0,IF(ISERROR(INDEX($C$3:$C$6,MATCH(C775,$C$3:$C$6,0)+1,0)),Variables!$B$1,INDEX($C$3:$C$6,MATCH(C775,$C$3:$C$6,0)+1,0)),""),"")</f>
        <v/>
      </c>
      <c r="J775" s="29" t="str">
        <f ca="1">IF(ISERROR(VLOOKUP(I775,$C$3:$L$6,5,0)),"",IF(OR(VLOOKUP(I775,$C$3:$L$6,5,0)=Variables!$B$5,B775&gt;VLOOKUP(I775,$C$3:$L$6,8,0)),IF(VLOOKUP(I775,$C$3:$L$6,5,0)=Variables!$B$5,((YEAR(B775)-YEAR($B$12))*12+MONTH(B775)-MONTH($B$12)),((YEAR(B775)-YEAR(VLOOKUP(I775,$C$3:$L$6,8,0)))*12+MONTH(B775)-MONTH(VLOOKUP(I775,$C$3:$L$6,8,0))))*(VLOOKUP(I775,$C$3:$L$6,10,0)*VLOOKUP(I775,$C$3:$L$6,6,0)/12),0))</f>
        <v/>
      </c>
      <c r="K775" s="29" t="str">
        <f ca="1">IF(C775&lt;&gt;"",IF(I775&lt;&gt;"",IF(ISERROR(VLOOKUP(I775,$C$3:$L$6,10,0)),"",VLOOKUP(I775,$C$3:$L$6,10,0)+J775+IF(OR(VLOOKUP(I775,$C$3:$L$6,5,0)=Variables!$B$5,B775&gt;VLOOKUP(I775,$C$3:$L$6,8,0)),IF(VLOOKUP(I775,$C$3:$L$6,5,0)=Variables!$B$5,((YEAR(B775)-YEAR($B$12))*12+MONTH(B775)-MONTH($B$12)),((YEAR(B775)-YEAR(VLOOKUP(I775,$C$3:$L$6,8,0)))*12+MONTH(B775)-MONTH(VLOOKUP(I775,$C$3:$L$6,8,0))))*VLOOKUP(I775,$C$3:$L$6,7,0),0)),""),"")</f>
        <v/>
      </c>
      <c r="L775" s="29" t="str">
        <f t="shared" ca="1" si="69"/>
        <v/>
      </c>
      <c r="M775" s="10"/>
      <c r="N775" s="10"/>
    </row>
    <row r="776" spans="1:14" x14ac:dyDescent="0.25">
      <c r="A776" s="10"/>
      <c r="B776" s="14" t="str">
        <f t="shared" ca="1" si="70"/>
        <v/>
      </c>
      <c r="C776" s="14" t="str">
        <f ca="1">IF(I775&lt;&gt;Variables!$B$1,IF(H775&lt;&gt;0,C775,I775),"")</f>
        <v/>
      </c>
      <c r="D776" s="29" t="str">
        <f t="shared" ca="1" si="67"/>
        <v/>
      </c>
      <c r="E776" s="29" t="str">
        <f t="shared" ca="1" si="68"/>
        <v/>
      </c>
      <c r="F776" s="29" t="str">
        <f ca="1">IF(C776&lt;&gt;"",IF(OR(VLOOKUP(C776,$C$3:$L$6,5,0)=Variables!$B$5,B776&gt;VLOOKUP(C776,$C$3:$L$6,8,0)),-D776*VLOOKUP(C776,$C$3:$L$6,6,0)/12,0),"")</f>
        <v/>
      </c>
      <c r="G776" s="29" t="str">
        <f ca="1">IF(I776&lt;&gt;Variables!$B$1,IF(C776&lt;&gt;"",$I$9-E776-F776,""),-D776)</f>
        <v/>
      </c>
      <c r="H776" s="29" t="str">
        <f t="shared" ca="1" si="71"/>
        <v/>
      </c>
      <c r="I776" s="31" t="str">
        <f ca="1">IF(C776&lt;&gt;"",IF(D776+$I$9-E776-F776&gt;=0,IF(ISERROR(INDEX($C$3:$C$6,MATCH(C776,$C$3:$C$6,0)+1,0)),Variables!$B$1,INDEX($C$3:$C$6,MATCH(C776,$C$3:$C$6,0)+1,0)),""),"")</f>
        <v/>
      </c>
      <c r="J776" s="29" t="str">
        <f ca="1">IF(ISERROR(VLOOKUP(I776,$C$3:$L$6,5,0)),"",IF(OR(VLOOKUP(I776,$C$3:$L$6,5,0)=Variables!$B$5,B776&gt;VLOOKUP(I776,$C$3:$L$6,8,0)),IF(VLOOKUP(I776,$C$3:$L$6,5,0)=Variables!$B$5,((YEAR(B776)-YEAR($B$12))*12+MONTH(B776)-MONTH($B$12)),((YEAR(B776)-YEAR(VLOOKUP(I776,$C$3:$L$6,8,0)))*12+MONTH(B776)-MONTH(VLOOKUP(I776,$C$3:$L$6,8,0))))*(VLOOKUP(I776,$C$3:$L$6,10,0)*VLOOKUP(I776,$C$3:$L$6,6,0)/12),0))</f>
        <v/>
      </c>
      <c r="K776" s="29" t="str">
        <f ca="1">IF(C776&lt;&gt;"",IF(I776&lt;&gt;"",IF(ISERROR(VLOOKUP(I776,$C$3:$L$6,10,0)),"",VLOOKUP(I776,$C$3:$L$6,10,0)+J776+IF(OR(VLOOKUP(I776,$C$3:$L$6,5,0)=Variables!$B$5,B776&gt;VLOOKUP(I776,$C$3:$L$6,8,0)),IF(VLOOKUP(I776,$C$3:$L$6,5,0)=Variables!$B$5,((YEAR(B776)-YEAR($B$12))*12+MONTH(B776)-MONTH($B$12)),((YEAR(B776)-YEAR(VLOOKUP(I776,$C$3:$L$6,8,0)))*12+MONTH(B776)-MONTH(VLOOKUP(I776,$C$3:$L$6,8,0))))*VLOOKUP(I776,$C$3:$L$6,7,0),0)),""),"")</f>
        <v/>
      </c>
      <c r="L776" s="29" t="str">
        <f t="shared" ca="1" si="69"/>
        <v/>
      </c>
      <c r="M776" s="10"/>
      <c r="N776" s="10"/>
    </row>
    <row r="777" spans="1:14" x14ac:dyDescent="0.25">
      <c r="A777" s="10"/>
      <c r="B777" s="14" t="str">
        <f t="shared" ca="1" si="70"/>
        <v/>
      </c>
      <c r="C777" s="14" t="str">
        <f ca="1">IF(I776&lt;&gt;Variables!$B$1,IF(H776&lt;&gt;0,C776,I776),"")</f>
        <v/>
      </c>
      <c r="D777" s="29" t="str">
        <f t="shared" ca="1" si="67"/>
        <v/>
      </c>
      <c r="E777" s="29" t="str">
        <f t="shared" ca="1" si="68"/>
        <v/>
      </c>
      <c r="F777" s="29" t="str">
        <f ca="1">IF(C777&lt;&gt;"",IF(OR(VLOOKUP(C777,$C$3:$L$6,5,0)=Variables!$B$5,B777&gt;VLOOKUP(C777,$C$3:$L$6,8,0)),-D777*VLOOKUP(C777,$C$3:$L$6,6,0)/12,0),"")</f>
        <v/>
      </c>
      <c r="G777" s="29" t="str">
        <f ca="1">IF(I777&lt;&gt;Variables!$B$1,IF(C777&lt;&gt;"",$I$9-E777-F777,""),-D777)</f>
        <v/>
      </c>
      <c r="H777" s="29" t="str">
        <f t="shared" ca="1" si="71"/>
        <v/>
      </c>
      <c r="I777" s="31" t="str">
        <f ca="1">IF(C777&lt;&gt;"",IF(D777+$I$9-E777-F777&gt;=0,IF(ISERROR(INDEX($C$3:$C$6,MATCH(C777,$C$3:$C$6,0)+1,0)),Variables!$B$1,INDEX($C$3:$C$6,MATCH(C777,$C$3:$C$6,0)+1,0)),""),"")</f>
        <v/>
      </c>
      <c r="J777" s="29" t="str">
        <f ca="1">IF(ISERROR(VLOOKUP(I777,$C$3:$L$6,5,0)),"",IF(OR(VLOOKUP(I777,$C$3:$L$6,5,0)=Variables!$B$5,B777&gt;VLOOKUP(I777,$C$3:$L$6,8,0)),IF(VLOOKUP(I777,$C$3:$L$6,5,0)=Variables!$B$5,((YEAR(B777)-YEAR($B$12))*12+MONTH(B777)-MONTH($B$12)),((YEAR(B777)-YEAR(VLOOKUP(I777,$C$3:$L$6,8,0)))*12+MONTH(B777)-MONTH(VLOOKUP(I777,$C$3:$L$6,8,0))))*(VLOOKUP(I777,$C$3:$L$6,10,0)*VLOOKUP(I777,$C$3:$L$6,6,0)/12),0))</f>
        <v/>
      </c>
      <c r="K777" s="29" t="str">
        <f ca="1">IF(C777&lt;&gt;"",IF(I777&lt;&gt;"",IF(ISERROR(VLOOKUP(I777,$C$3:$L$6,10,0)),"",VLOOKUP(I777,$C$3:$L$6,10,0)+J777+IF(OR(VLOOKUP(I777,$C$3:$L$6,5,0)=Variables!$B$5,B777&gt;VLOOKUP(I777,$C$3:$L$6,8,0)),IF(VLOOKUP(I777,$C$3:$L$6,5,0)=Variables!$B$5,((YEAR(B777)-YEAR($B$12))*12+MONTH(B777)-MONTH($B$12)),((YEAR(B777)-YEAR(VLOOKUP(I777,$C$3:$L$6,8,0)))*12+MONTH(B777)-MONTH(VLOOKUP(I777,$C$3:$L$6,8,0))))*VLOOKUP(I777,$C$3:$L$6,7,0),0)),""),"")</f>
        <v/>
      </c>
      <c r="L777" s="29" t="str">
        <f t="shared" ca="1" si="69"/>
        <v/>
      </c>
      <c r="M777" s="10"/>
      <c r="N777" s="10"/>
    </row>
    <row r="778" spans="1:14" x14ac:dyDescent="0.25">
      <c r="A778" s="10"/>
      <c r="B778" s="14" t="str">
        <f t="shared" ca="1" si="70"/>
        <v/>
      </c>
      <c r="C778" s="14" t="str">
        <f ca="1">IF(I777&lt;&gt;Variables!$B$1,IF(H777&lt;&gt;0,C777,I777),"")</f>
        <v/>
      </c>
      <c r="D778" s="29" t="str">
        <f t="shared" ca="1" si="67"/>
        <v/>
      </c>
      <c r="E778" s="29" t="str">
        <f t="shared" ca="1" si="68"/>
        <v/>
      </c>
      <c r="F778" s="29" t="str">
        <f ca="1">IF(C778&lt;&gt;"",IF(OR(VLOOKUP(C778,$C$3:$L$6,5,0)=Variables!$B$5,B778&gt;VLOOKUP(C778,$C$3:$L$6,8,0)),-D778*VLOOKUP(C778,$C$3:$L$6,6,0)/12,0),"")</f>
        <v/>
      </c>
      <c r="G778" s="29" t="str">
        <f ca="1">IF(I778&lt;&gt;Variables!$B$1,IF(C778&lt;&gt;"",$I$9-E778-F778,""),-D778)</f>
        <v/>
      </c>
      <c r="H778" s="29" t="str">
        <f t="shared" ca="1" si="71"/>
        <v/>
      </c>
      <c r="I778" s="31" t="str">
        <f ca="1">IF(C778&lt;&gt;"",IF(D778+$I$9-E778-F778&gt;=0,IF(ISERROR(INDEX($C$3:$C$6,MATCH(C778,$C$3:$C$6,0)+1,0)),Variables!$B$1,INDEX($C$3:$C$6,MATCH(C778,$C$3:$C$6,0)+1,0)),""),"")</f>
        <v/>
      </c>
      <c r="J778" s="29" t="str">
        <f ca="1">IF(ISERROR(VLOOKUP(I778,$C$3:$L$6,5,0)),"",IF(OR(VLOOKUP(I778,$C$3:$L$6,5,0)=Variables!$B$5,B778&gt;VLOOKUP(I778,$C$3:$L$6,8,0)),IF(VLOOKUP(I778,$C$3:$L$6,5,0)=Variables!$B$5,((YEAR(B778)-YEAR($B$12))*12+MONTH(B778)-MONTH($B$12)),((YEAR(B778)-YEAR(VLOOKUP(I778,$C$3:$L$6,8,0)))*12+MONTH(B778)-MONTH(VLOOKUP(I778,$C$3:$L$6,8,0))))*(VLOOKUP(I778,$C$3:$L$6,10,0)*VLOOKUP(I778,$C$3:$L$6,6,0)/12),0))</f>
        <v/>
      </c>
      <c r="K778" s="29" t="str">
        <f ca="1">IF(C778&lt;&gt;"",IF(I778&lt;&gt;"",IF(ISERROR(VLOOKUP(I778,$C$3:$L$6,10,0)),"",VLOOKUP(I778,$C$3:$L$6,10,0)+J778+IF(OR(VLOOKUP(I778,$C$3:$L$6,5,0)=Variables!$B$5,B778&gt;VLOOKUP(I778,$C$3:$L$6,8,0)),IF(VLOOKUP(I778,$C$3:$L$6,5,0)=Variables!$B$5,((YEAR(B778)-YEAR($B$12))*12+MONTH(B778)-MONTH($B$12)),((YEAR(B778)-YEAR(VLOOKUP(I778,$C$3:$L$6,8,0)))*12+MONTH(B778)-MONTH(VLOOKUP(I778,$C$3:$L$6,8,0))))*VLOOKUP(I778,$C$3:$L$6,7,0),0)),""),"")</f>
        <v/>
      </c>
      <c r="L778" s="29" t="str">
        <f t="shared" ca="1" si="69"/>
        <v/>
      </c>
      <c r="M778" s="10"/>
      <c r="N778" s="10"/>
    </row>
    <row r="779" spans="1:14" x14ac:dyDescent="0.25">
      <c r="A779" s="10"/>
      <c r="B779" s="14" t="str">
        <f t="shared" ca="1" si="70"/>
        <v/>
      </c>
      <c r="C779" s="14" t="str">
        <f ca="1">IF(I778&lt;&gt;Variables!$B$1,IF(H778&lt;&gt;0,C778,I778),"")</f>
        <v/>
      </c>
      <c r="D779" s="29" t="str">
        <f t="shared" ca="1" si="67"/>
        <v/>
      </c>
      <c r="E779" s="29" t="str">
        <f t="shared" ca="1" si="68"/>
        <v/>
      </c>
      <c r="F779" s="29" t="str">
        <f ca="1">IF(C779&lt;&gt;"",IF(OR(VLOOKUP(C779,$C$3:$L$6,5,0)=Variables!$B$5,B779&gt;VLOOKUP(C779,$C$3:$L$6,8,0)),-D779*VLOOKUP(C779,$C$3:$L$6,6,0)/12,0),"")</f>
        <v/>
      </c>
      <c r="G779" s="29" t="str">
        <f ca="1">IF(I779&lt;&gt;Variables!$B$1,IF(C779&lt;&gt;"",$I$9-E779-F779,""),-D779)</f>
        <v/>
      </c>
      <c r="H779" s="29" t="str">
        <f t="shared" ca="1" si="71"/>
        <v/>
      </c>
      <c r="I779" s="31" t="str">
        <f ca="1">IF(C779&lt;&gt;"",IF(D779+$I$9-E779-F779&gt;=0,IF(ISERROR(INDEX($C$3:$C$6,MATCH(C779,$C$3:$C$6,0)+1,0)),Variables!$B$1,INDEX($C$3:$C$6,MATCH(C779,$C$3:$C$6,0)+1,0)),""),"")</f>
        <v/>
      </c>
      <c r="J779" s="29" t="str">
        <f ca="1">IF(ISERROR(VLOOKUP(I779,$C$3:$L$6,5,0)),"",IF(OR(VLOOKUP(I779,$C$3:$L$6,5,0)=Variables!$B$5,B779&gt;VLOOKUP(I779,$C$3:$L$6,8,0)),IF(VLOOKUP(I779,$C$3:$L$6,5,0)=Variables!$B$5,((YEAR(B779)-YEAR($B$12))*12+MONTH(B779)-MONTH($B$12)),((YEAR(B779)-YEAR(VLOOKUP(I779,$C$3:$L$6,8,0)))*12+MONTH(B779)-MONTH(VLOOKUP(I779,$C$3:$L$6,8,0))))*(VLOOKUP(I779,$C$3:$L$6,10,0)*VLOOKUP(I779,$C$3:$L$6,6,0)/12),0))</f>
        <v/>
      </c>
      <c r="K779" s="29" t="str">
        <f ca="1">IF(C779&lt;&gt;"",IF(I779&lt;&gt;"",IF(ISERROR(VLOOKUP(I779,$C$3:$L$6,10,0)),"",VLOOKUP(I779,$C$3:$L$6,10,0)+J779+IF(OR(VLOOKUP(I779,$C$3:$L$6,5,0)=Variables!$B$5,B779&gt;VLOOKUP(I779,$C$3:$L$6,8,0)),IF(VLOOKUP(I779,$C$3:$L$6,5,0)=Variables!$B$5,((YEAR(B779)-YEAR($B$12))*12+MONTH(B779)-MONTH($B$12)),((YEAR(B779)-YEAR(VLOOKUP(I779,$C$3:$L$6,8,0)))*12+MONTH(B779)-MONTH(VLOOKUP(I779,$C$3:$L$6,8,0))))*VLOOKUP(I779,$C$3:$L$6,7,0),0)),""),"")</f>
        <v/>
      </c>
      <c r="L779" s="29" t="str">
        <f t="shared" ca="1" si="69"/>
        <v/>
      </c>
      <c r="M779" s="10"/>
      <c r="N779" s="10"/>
    </row>
    <row r="780" spans="1:14" x14ac:dyDescent="0.25">
      <c r="A780" s="10"/>
      <c r="B780" s="14" t="str">
        <f t="shared" ca="1" si="70"/>
        <v/>
      </c>
      <c r="C780" s="14" t="str">
        <f ca="1">IF(I779&lt;&gt;Variables!$B$1,IF(H779&lt;&gt;0,C779,I779),"")</f>
        <v/>
      </c>
      <c r="D780" s="29" t="str">
        <f t="shared" ca="1" si="67"/>
        <v/>
      </c>
      <c r="E780" s="29" t="str">
        <f t="shared" ca="1" si="68"/>
        <v/>
      </c>
      <c r="F780" s="29" t="str">
        <f ca="1">IF(C780&lt;&gt;"",IF(OR(VLOOKUP(C780,$C$3:$L$6,5,0)=Variables!$B$5,B780&gt;VLOOKUP(C780,$C$3:$L$6,8,0)),-D780*VLOOKUP(C780,$C$3:$L$6,6,0)/12,0),"")</f>
        <v/>
      </c>
      <c r="G780" s="29" t="str">
        <f ca="1">IF(I780&lt;&gt;Variables!$B$1,IF(C780&lt;&gt;"",$I$9-E780-F780,""),-D780)</f>
        <v/>
      </c>
      <c r="H780" s="29" t="str">
        <f t="shared" ca="1" si="71"/>
        <v/>
      </c>
      <c r="I780" s="31" t="str">
        <f ca="1">IF(C780&lt;&gt;"",IF(D780+$I$9-E780-F780&gt;=0,IF(ISERROR(INDEX($C$3:$C$6,MATCH(C780,$C$3:$C$6,0)+1,0)),Variables!$B$1,INDEX($C$3:$C$6,MATCH(C780,$C$3:$C$6,0)+1,0)),""),"")</f>
        <v/>
      </c>
      <c r="J780" s="29" t="str">
        <f ca="1">IF(ISERROR(VLOOKUP(I780,$C$3:$L$6,5,0)),"",IF(OR(VLOOKUP(I780,$C$3:$L$6,5,0)=Variables!$B$5,B780&gt;VLOOKUP(I780,$C$3:$L$6,8,0)),IF(VLOOKUP(I780,$C$3:$L$6,5,0)=Variables!$B$5,((YEAR(B780)-YEAR($B$12))*12+MONTH(B780)-MONTH($B$12)),((YEAR(B780)-YEAR(VLOOKUP(I780,$C$3:$L$6,8,0)))*12+MONTH(B780)-MONTH(VLOOKUP(I780,$C$3:$L$6,8,0))))*(VLOOKUP(I780,$C$3:$L$6,10,0)*VLOOKUP(I780,$C$3:$L$6,6,0)/12),0))</f>
        <v/>
      </c>
      <c r="K780" s="29" t="str">
        <f ca="1">IF(C780&lt;&gt;"",IF(I780&lt;&gt;"",IF(ISERROR(VLOOKUP(I780,$C$3:$L$6,10,0)),"",VLOOKUP(I780,$C$3:$L$6,10,0)+J780+IF(OR(VLOOKUP(I780,$C$3:$L$6,5,0)=Variables!$B$5,B780&gt;VLOOKUP(I780,$C$3:$L$6,8,0)),IF(VLOOKUP(I780,$C$3:$L$6,5,0)=Variables!$B$5,((YEAR(B780)-YEAR($B$12))*12+MONTH(B780)-MONTH($B$12)),((YEAR(B780)-YEAR(VLOOKUP(I780,$C$3:$L$6,8,0)))*12+MONTH(B780)-MONTH(VLOOKUP(I780,$C$3:$L$6,8,0))))*VLOOKUP(I780,$C$3:$L$6,7,0),0)),""),"")</f>
        <v/>
      </c>
      <c r="L780" s="29" t="str">
        <f t="shared" ca="1" si="69"/>
        <v/>
      </c>
      <c r="M780" s="10"/>
      <c r="N780" s="10"/>
    </row>
    <row r="781" spans="1:14" x14ac:dyDescent="0.25">
      <c r="A781" s="10"/>
      <c r="B781" s="14" t="str">
        <f t="shared" ca="1" si="70"/>
        <v/>
      </c>
      <c r="C781" s="14" t="str">
        <f ca="1">IF(I780&lt;&gt;Variables!$B$1,IF(H780&lt;&gt;0,C780,I780),"")</f>
        <v/>
      </c>
      <c r="D781" s="29" t="str">
        <f t="shared" ca="1" si="67"/>
        <v/>
      </c>
      <c r="E781" s="29" t="str">
        <f t="shared" ca="1" si="68"/>
        <v/>
      </c>
      <c r="F781" s="29" t="str">
        <f ca="1">IF(C781&lt;&gt;"",IF(OR(VLOOKUP(C781,$C$3:$L$6,5,0)=Variables!$B$5,B781&gt;VLOOKUP(C781,$C$3:$L$6,8,0)),-D781*VLOOKUP(C781,$C$3:$L$6,6,0)/12,0),"")</f>
        <v/>
      </c>
      <c r="G781" s="29" t="str">
        <f ca="1">IF(I781&lt;&gt;Variables!$B$1,IF(C781&lt;&gt;"",$I$9-E781-F781,""),-D781)</f>
        <v/>
      </c>
      <c r="H781" s="29" t="str">
        <f t="shared" ca="1" si="71"/>
        <v/>
      </c>
      <c r="I781" s="31" t="str">
        <f ca="1">IF(C781&lt;&gt;"",IF(D781+$I$9-E781-F781&gt;=0,IF(ISERROR(INDEX($C$3:$C$6,MATCH(C781,$C$3:$C$6,0)+1,0)),Variables!$B$1,INDEX($C$3:$C$6,MATCH(C781,$C$3:$C$6,0)+1,0)),""),"")</f>
        <v/>
      </c>
      <c r="J781" s="29" t="str">
        <f ca="1">IF(ISERROR(VLOOKUP(I781,$C$3:$L$6,5,0)),"",IF(OR(VLOOKUP(I781,$C$3:$L$6,5,0)=Variables!$B$5,B781&gt;VLOOKUP(I781,$C$3:$L$6,8,0)),IF(VLOOKUP(I781,$C$3:$L$6,5,0)=Variables!$B$5,((YEAR(B781)-YEAR($B$12))*12+MONTH(B781)-MONTH($B$12)),((YEAR(B781)-YEAR(VLOOKUP(I781,$C$3:$L$6,8,0)))*12+MONTH(B781)-MONTH(VLOOKUP(I781,$C$3:$L$6,8,0))))*(VLOOKUP(I781,$C$3:$L$6,10,0)*VLOOKUP(I781,$C$3:$L$6,6,0)/12),0))</f>
        <v/>
      </c>
      <c r="K781" s="29" t="str">
        <f ca="1">IF(C781&lt;&gt;"",IF(I781&lt;&gt;"",IF(ISERROR(VLOOKUP(I781,$C$3:$L$6,10,0)),"",VLOOKUP(I781,$C$3:$L$6,10,0)+J781+IF(OR(VLOOKUP(I781,$C$3:$L$6,5,0)=Variables!$B$5,B781&gt;VLOOKUP(I781,$C$3:$L$6,8,0)),IF(VLOOKUP(I781,$C$3:$L$6,5,0)=Variables!$B$5,((YEAR(B781)-YEAR($B$12))*12+MONTH(B781)-MONTH($B$12)),((YEAR(B781)-YEAR(VLOOKUP(I781,$C$3:$L$6,8,0)))*12+MONTH(B781)-MONTH(VLOOKUP(I781,$C$3:$L$6,8,0))))*VLOOKUP(I781,$C$3:$L$6,7,0),0)),""),"")</f>
        <v/>
      </c>
      <c r="L781" s="29" t="str">
        <f t="shared" ca="1" si="69"/>
        <v/>
      </c>
      <c r="M781" s="10"/>
      <c r="N781" s="10"/>
    </row>
    <row r="782" spans="1:14" x14ac:dyDescent="0.25">
      <c r="A782" s="10"/>
      <c r="B782" s="14" t="str">
        <f t="shared" ca="1" si="70"/>
        <v/>
      </c>
      <c r="C782" s="14" t="str">
        <f ca="1">IF(I781&lt;&gt;Variables!$B$1,IF(H781&lt;&gt;0,C781,I781),"")</f>
        <v/>
      </c>
      <c r="D782" s="29" t="str">
        <f t="shared" ca="1" si="67"/>
        <v/>
      </c>
      <c r="E782" s="29" t="str">
        <f t="shared" ca="1" si="68"/>
        <v/>
      </c>
      <c r="F782" s="29" t="str">
        <f ca="1">IF(C782&lt;&gt;"",IF(OR(VLOOKUP(C782,$C$3:$L$6,5,0)=Variables!$B$5,B782&gt;VLOOKUP(C782,$C$3:$L$6,8,0)),-D782*VLOOKUP(C782,$C$3:$L$6,6,0)/12,0),"")</f>
        <v/>
      </c>
      <c r="G782" s="29" t="str">
        <f ca="1">IF(I782&lt;&gt;Variables!$B$1,IF(C782&lt;&gt;"",$I$9-E782-F782,""),-D782)</f>
        <v/>
      </c>
      <c r="H782" s="29" t="str">
        <f t="shared" ca="1" si="71"/>
        <v/>
      </c>
      <c r="I782" s="31" t="str">
        <f ca="1">IF(C782&lt;&gt;"",IF(D782+$I$9-E782-F782&gt;=0,IF(ISERROR(INDEX($C$3:$C$6,MATCH(C782,$C$3:$C$6,0)+1,0)),Variables!$B$1,INDEX($C$3:$C$6,MATCH(C782,$C$3:$C$6,0)+1,0)),""),"")</f>
        <v/>
      </c>
      <c r="J782" s="29" t="str">
        <f ca="1">IF(ISERROR(VLOOKUP(I782,$C$3:$L$6,5,0)),"",IF(OR(VLOOKUP(I782,$C$3:$L$6,5,0)=Variables!$B$5,B782&gt;VLOOKUP(I782,$C$3:$L$6,8,0)),IF(VLOOKUP(I782,$C$3:$L$6,5,0)=Variables!$B$5,((YEAR(B782)-YEAR($B$12))*12+MONTH(B782)-MONTH($B$12)),((YEAR(B782)-YEAR(VLOOKUP(I782,$C$3:$L$6,8,0)))*12+MONTH(B782)-MONTH(VLOOKUP(I782,$C$3:$L$6,8,0))))*(VLOOKUP(I782,$C$3:$L$6,10,0)*VLOOKUP(I782,$C$3:$L$6,6,0)/12),0))</f>
        <v/>
      </c>
      <c r="K782" s="29" t="str">
        <f ca="1">IF(C782&lt;&gt;"",IF(I782&lt;&gt;"",IF(ISERROR(VLOOKUP(I782,$C$3:$L$6,10,0)),"",VLOOKUP(I782,$C$3:$L$6,10,0)+J782+IF(OR(VLOOKUP(I782,$C$3:$L$6,5,0)=Variables!$B$5,B782&gt;VLOOKUP(I782,$C$3:$L$6,8,0)),IF(VLOOKUP(I782,$C$3:$L$6,5,0)=Variables!$B$5,((YEAR(B782)-YEAR($B$12))*12+MONTH(B782)-MONTH($B$12)),((YEAR(B782)-YEAR(VLOOKUP(I782,$C$3:$L$6,8,0)))*12+MONTH(B782)-MONTH(VLOOKUP(I782,$C$3:$L$6,8,0))))*VLOOKUP(I782,$C$3:$L$6,7,0),0)),""),"")</f>
        <v/>
      </c>
      <c r="L782" s="29" t="str">
        <f t="shared" ca="1" si="69"/>
        <v/>
      </c>
      <c r="M782" s="10"/>
      <c r="N782" s="10"/>
    </row>
    <row r="783" spans="1:14" x14ac:dyDescent="0.25">
      <c r="A783" s="10"/>
      <c r="B783" s="14" t="str">
        <f t="shared" ca="1" si="70"/>
        <v/>
      </c>
      <c r="C783" s="14" t="str">
        <f ca="1">IF(I782&lt;&gt;Variables!$B$1,IF(H782&lt;&gt;0,C782,I782),"")</f>
        <v/>
      </c>
      <c r="D783" s="29" t="str">
        <f t="shared" ca="1" si="67"/>
        <v/>
      </c>
      <c r="E783" s="29" t="str">
        <f t="shared" ca="1" si="68"/>
        <v/>
      </c>
      <c r="F783" s="29" t="str">
        <f ca="1">IF(C783&lt;&gt;"",IF(OR(VLOOKUP(C783,$C$3:$L$6,5,0)=Variables!$B$5,B783&gt;VLOOKUP(C783,$C$3:$L$6,8,0)),-D783*VLOOKUP(C783,$C$3:$L$6,6,0)/12,0),"")</f>
        <v/>
      </c>
      <c r="G783" s="29" t="str">
        <f ca="1">IF(I783&lt;&gt;Variables!$B$1,IF(C783&lt;&gt;"",$I$9-E783-F783,""),-D783)</f>
        <v/>
      </c>
      <c r="H783" s="29" t="str">
        <f t="shared" ca="1" si="71"/>
        <v/>
      </c>
      <c r="I783" s="31" t="str">
        <f ca="1">IF(C783&lt;&gt;"",IF(D783+$I$9-E783-F783&gt;=0,IF(ISERROR(INDEX($C$3:$C$6,MATCH(C783,$C$3:$C$6,0)+1,0)),Variables!$B$1,INDEX($C$3:$C$6,MATCH(C783,$C$3:$C$6,0)+1,0)),""),"")</f>
        <v/>
      </c>
      <c r="J783" s="29" t="str">
        <f ca="1">IF(ISERROR(VLOOKUP(I783,$C$3:$L$6,5,0)),"",IF(OR(VLOOKUP(I783,$C$3:$L$6,5,0)=Variables!$B$5,B783&gt;VLOOKUP(I783,$C$3:$L$6,8,0)),IF(VLOOKUP(I783,$C$3:$L$6,5,0)=Variables!$B$5,((YEAR(B783)-YEAR($B$12))*12+MONTH(B783)-MONTH($B$12)),((YEAR(B783)-YEAR(VLOOKUP(I783,$C$3:$L$6,8,0)))*12+MONTH(B783)-MONTH(VLOOKUP(I783,$C$3:$L$6,8,0))))*(VLOOKUP(I783,$C$3:$L$6,10,0)*VLOOKUP(I783,$C$3:$L$6,6,0)/12),0))</f>
        <v/>
      </c>
      <c r="K783" s="29" t="str">
        <f ca="1">IF(C783&lt;&gt;"",IF(I783&lt;&gt;"",IF(ISERROR(VLOOKUP(I783,$C$3:$L$6,10,0)),"",VLOOKUP(I783,$C$3:$L$6,10,0)+J783+IF(OR(VLOOKUP(I783,$C$3:$L$6,5,0)=Variables!$B$5,B783&gt;VLOOKUP(I783,$C$3:$L$6,8,0)),IF(VLOOKUP(I783,$C$3:$L$6,5,0)=Variables!$B$5,((YEAR(B783)-YEAR($B$12))*12+MONTH(B783)-MONTH($B$12)),((YEAR(B783)-YEAR(VLOOKUP(I783,$C$3:$L$6,8,0)))*12+MONTH(B783)-MONTH(VLOOKUP(I783,$C$3:$L$6,8,0))))*VLOOKUP(I783,$C$3:$L$6,7,0),0)),""),"")</f>
        <v/>
      </c>
      <c r="L783" s="29" t="str">
        <f t="shared" ca="1" si="69"/>
        <v/>
      </c>
      <c r="M783" s="10"/>
      <c r="N783" s="10"/>
    </row>
    <row r="784" spans="1:14" x14ac:dyDescent="0.25">
      <c r="A784" s="10"/>
      <c r="B784" s="14" t="str">
        <f t="shared" ca="1" si="70"/>
        <v/>
      </c>
      <c r="C784" s="14" t="str">
        <f ca="1">IF(I783&lt;&gt;Variables!$B$1,IF(H783&lt;&gt;0,C783,I783),"")</f>
        <v/>
      </c>
      <c r="D784" s="29" t="str">
        <f t="shared" ca="1" si="67"/>
        <v/>
      </c>
      <c r="E784" s="29" t="str">
        <f t="shared" ca="1" si="68"/>
        <v/>
      </c>
      <c r="F784" s="29" t="str">
        <f ca="1">IF(C784&lt;&gt;"",IF(OR(VLOOKUP(C784,$C$3:$L$6,5,0)=Variables!$B$5,B784&gt;VLOOKUP(C784,$C$3:$L$6,8,0)),-D784*VLOOKUP(C784,$C$3:$L$6,6,0)/12,0),"")</f>
        <v/>
      </c>
      <c r="G784" s="29" t="str">
        <f ca="1">IF(I784&lt;&gt;Variables!$B$1,IF(C784&lt;&gt;"",$I$9-E784-F784,""),-D784)</f>
        <v/>
      </c>
      <c r="H784" s="29" t="str">
        <f t="shared" ca="1" si="71"/>
        <v/>
      </c>
      <c r="I784" s="31" t="str">
        <f ca="1">IF(C784&lt;&gt;"",IF(D784+$I$9-E784-F784&gt;=0,IF(ISERROR(INDEX($C$3:$C$6,MATCH(C784,$C$3:$C$6,0)+1,0)),Variables!$B$1,INDEX($C$3:$C$6,MATCH(C784,$C$3:$C$6,0)+1,0)),""),"")</f>
        <v/>
      </c>
      <c r="J784" s="29" t="str">
        <f ca="1">IF(ISERROR(VLOOKUP(I784,$C$3:$L$6,5,0)),"",IF(OR(VLOOKUP(I784,$C$3:$L$6,5,0)=Variables!$B$5,B784&gt;VLOOKUP(I784,$C$3:$L$6,8,0)),IF(VLOOKUP(I784,$C$3:$L$6,5,0)=Variables!$B$5,((YEAR(B784)-YEAR($B$12))*12+MONTH(B784)-MONTH($B$12)),((YEAR(B784)-YEAR(VLOOKUP(I784,$C$3:$L$6,8,0)))*12+MONTH(B784)-MONTH(VLOOKUP(I784,$C$3:$L$6,8,0))))*(VLOOKUP(I784,$C$3:$L$6,10,0)*VLOOKUP(I784,$C$3:$L$6,6,0)/12),0))</f>
        <v/>
      </c>
      <c r="K784" s="29" t="str">
        <f ca="1">IF(C784&lt;&gt;"",IF(I784&lt;&gt;"",IF(ISERROR(VLOOKUP(I784,$C$3:$L$6,10,0)),"",VLOOKUP(I784,$C$3:$L$6,10,0)+J784+IF(OR(VLOOKUP(I784,$C$3:$L$6,5,0)=Variables!$B$5,B784&gt;VLOOKUP(I784,$C$3:$L$6,8,0)),IF(VLOOKUP(I784,$C$3:$L$6,5,0)=Variables!$B$5,((YEAR(B784)-YEAR($B$12))*12+MONTH(B784)-MONTH($B$12)),((YEAR(B784)-YEAR(VLOOKUP(I784,$C$3:$L$6,8,0)))*12+MONTH(B784)-MONTH(VLOOKUP(I784,$C$3:$L$6,8,0))))*VLOOKUP(I784,$C$3:$L$6,7,0),0)),""),"")</f>
        <v/>
      </c>
      <c r="L784" s="29" t="str">
        <f t="shared" ca="1" si="69"/>
        <v/>
      </c>
      <c r="M784" s="10"/>
      <c r="N784" s="10"/>
    </row>
    <row r="785" spans="1:14" x14ac:dyDescent="0.25">
      <c r="A785" s="10"/>
      <c r="B785" s="14" t="str">
        <f t="shared" ca="1" si="70"/>
        <v/>
      </c>
      <c r="C785" s="14" t="str">
        <f ca="1">IF(I784&lt;&gt;Variables!$B$1,IF(H784&lt;&gt;0,C784,I784),"")</f>
        <v/>
      </c>
      <c r="D785" s="29" t="str">
        <f t="shared" ca="1" si="67"/>
        <v/>
      </c>
      <c r="E785" s="29" t="str">
        <f t="shared" ca="1" si="68"/>
        <v/>
      </c>
      <c r="F785" s="29" t="str">
        <f ca="1">IF(C785&lt;&gt;"",IF(OR(VLOOKUP(C785,$C$3:$L$6,5,0)=Variables!$B$5,B785&gt;VLOOKUP(C785,$C$3:$L$6,8,0)),-D785*VLOOKUP(C785,$C$3:$L$6,6,0)/12,0),"")</f>
        <v/>
      </c>
      <c r="G785" s="29" t="str">
        <f ca="1">IF(I785&lt;&gt;Variables!$B$1,IF(C785&lt;&gt;"",$I$9-E785-F785,""),-D785)</f>
        <v/>
      </c>
      <c r="H785" s="29" t="str">
        <f t="shared" ca="1" si="71"/>
        <v/>
      </c>
      <c r="I785" s="31" t="str">
        <f ca="1">IF(C785&lt;&gt;"",IF(D785+$I$9-E785-F785&gt;=0,IF(ISERROR(INDEX($C$3:$C$6,MATCH(C785,$C$3:$C$6,0)+1,0)),Variables!$B$1,INDEX($C$3:$C$6,MATCH(C785,$C$3:$C$6,0)+1,0)),""),"")</f>
        <v/>
      </c>
      <c r="J785" s="29" t="str">
        <f ca="1">IF(ISERROR(VLOOKUP(I785,$C$3:$L$6,5,0)),"",IF(OR(VLOOKUP(I785,$C$3:$L$6,5,0)=Variables!$B$5,B785&gt;VLOOKUP(I785,$C$3:$L$6,8,0)),IF(VLOOKUP(I785,$C$3:$L$6,5,0)=Variables!$B$5,((YEAR(B785)-YEAR($B$12))*12+MONTH(B785)-MONTH($B$12)),((YEAR(B785)-YEAR(VLOOKUP(I785,$C$3:$L$6,8,0)))*12+MONTH(B785)-MONTH(VLOOKUP(I785,$C$3:$L$6,8,0))))*(VLOOKUP(I785,$C$3:$L$6,10,0)*VLOOKUP(I785,$C$3:$L$6,6,0)/12),0))</f>
        <v/>
      </c>
      <c r="K785" s="29" t="str">
        <f ca="1">IF(C785&lt;&gt;"",IF(I785&lt;&gt;"",IF(ISERROR(VLOOKUP(I785,$C$3:$L$6,10,0)),"",VLOOKUP(I785,$C$3:$L$6,10,0)+J785+IF(OR(VLOOKUP(I785,$C$3:$L$6,5,0)=Variables!$B$5,B785&gt;VLOOKUP(I785,$C$3:$L$6,8,0)),IF(VLOOKUP(I785,$C$3:$L$6,5,0)=Variables!$B$5,((YEAR(B785)-YEAR($B$12))*12+MONTH(B785)-MONTH($B$12)),((YEAR(B785)-YEAR(VLOOKUP(I785,$C$3:$L$6,8,0)))*12+MONTH(B785)-MONTH(VLOOKUP(I785,$C$3:$L$6,8,0))))*VLOOKUP(I785,$C$3:$L$6,7,0),0)),""),"")</f>
        <v/>
      </c>
      <c r="L785" s="29" t="str">
        <f t="shared" ca="1" si="69"/>
        <v/>
      </c>
      <c r="M785" s="10"/>
      <c r="N785" s="10"/>
    </row>
    <row r="786" spans="1:14" x14ac:dyDescent="0.25">
      <c r="A786" s="10"/>
      <c r="B786" s="14" t="str">
        <f t="shared" ca="1" si="70"/>
        <v/>
      </c>
      <c r="C786" s="14" t="str">
        <f ca="1">IF(I785&lt;&gt;Variables!$B$1,IF(H785&lt;&gt;0,C785,I785),"")</f>
        <v/>
      </c>
      <c r="D786" s="29" t="str">
        <f t="shared" ca="1" si="67"/>
        <v/>
      </c>
      <c r="E786" s="29" t="str">
        <f t="shared" ca="1" si="68"/>
        <v/>
      </c>
      <c r="F786" s="29" t="str">
        <f ca="1">IF(C786&lt;&gt;"",IF(OR(VLOOKUP(C786,$C$3:$L$6,5,0)=Variables!$B$5,B786&gt;VLOOKUP(C786,$C$3:$L$6,8,0)),-D786*VLOOKUP(C786,$C$3:$L$6,6,0)/12,0),"")</f>
        <v/>
      </c>
      <c r="G786" s="29" t="str">
        <f ca="1">IF(I786&lt;&gt;Variables!$B$1,IF(C786&lt;&gt;"",$I$9-E786-F786,""),-D786)</f>
        <v/>
      </c>
      <c r="H786" s="29" t="str">
        <f t="shared" ca="1" si="71"/>
        <v/>
      </c>
      <c r="I786" s="31" t="str">
        <f ca="1">IF(C786&lt;&gt;"",IF(D786+$I$9-E786-F786&gt;=0,IF(ISERROR(INDEX($C$3:$C$6,MATCH(C786,$C$3:$C$6,0)+1,0)),Variables!$B$1,INDEX($C$3:$C$6,MATCH(C786,$C$3:$C$6,0)+1,0)),""),"")</f>
        <v/>
      </c>
      <c r="J786" s="29" t="str">
        <f ca="1">IF(ISERROR(VLOOKUP(I786,$C$3:$L$6,5,0)),"",IF(OR(VLOOKUP(I786,$C$3:$L$6,5,0)=Variables!$B$5,B786&gt;VLOOKUP(I786,$C$3:$L$6,8,0)),IF(VLOOKUP(I786,$C$3:$L$6,5,0)=Variables!$B$5,((YEAR(B786)-YEAR($B$12))*12+MONTH(B786)-MONTH($B$12)),((YEAR(B786)-YEAR(VLOOKUP(I786,$C$3:$L$6,8,0)))*12+MONTH(B786)-MONTH(VLOOKUP(I786,$C$3:$L$6,8,0))))*(VLOOKUP(I786,$C$3:$L$6,10,0)*VLOOKUP(I786,$C$3:$L$6,6,0)/12),0))</f>
        <v/>
      </c>
      <c r="K786" s="29" t="str">
        <f ca="1">IF(C786&lt;&gt;"",IF(I786&lt;&gt;"",IF(ISERROR(VLOOKUP(I786,$C$3:$L$6,10,0)),"",VLOOKUP(I786,$C$3:$L$6,10,0)+J786+IF(OR(VLOOKUP(I786,$C$3:$L$6,5,0)=Variables!$B$5,B786&gt;VLOOKUP(I786,$C$3:$L$6,8,0)),IF(VLOOKUP(I786,$C$3:$L$6,5,0)=Variables!$B$5,((YEAR(B786)-YEAR($B$12))*12+MONTH(B786)-MONTH($B$12)),((YEAR(B786)-YEAR(VLOOKUP(I786,$C$3:$L$6,8,0)))*12+MONTH(B786)-MONTH(VLOOKUP(I786,$C$3:$L$6,8,0))))*VLOOKUP(I786,$C$3:$L$6,7,0),0)),""),"")</f>
        <v/>
      </c>
      <c r="L786" s="29" t="str">
        <f t="shared" ca="1" si="69"/>
        <v/>
      </c>
      <c r="M786" s="10"/>
      <c r="N786" s="10"/>
    </row>
    <row r="787" spans="1:14" x14ac:dyDescent="0.25">
      <c r="A787" s="10"/>
      <c r="B787" s="14" t="str">
        <f t="shared" ca="1" si="70"/>
        <v/>
      </c>
      <c r="C787" s="14" t="str">
        <f ca="1">IF(I786&lt;&gt;Variables!$B$1,IF(H786&lt;&gt;0,C786,I786),"")</f>
        <v/>
      </c>
      <c r="D787" s="29" t="str">
        <f t="shared" ca="1" si="67"/>
        <v/>
      </c>
      <c r="E787" s="29" t="str">
        <f t="shared" ca="1" si="68"/>
        <v/>
      </c>
      <c r="F787" s="29" t="str">
        <f ca="1">IF(C787&lt;&gt;"",IF(OR(VLOOKUP(C787,$C$3:$L$6,5,0)=Variables!$B$5,B787&gt;VLOOKUP(C787,$C$3:$L$6,8,0)),-D787*VLOOKUP(C787,$C$3:$L$6,6,0)/12,0),"")</f>
        <v/>
      </c>
      <c r="G787" s="29" t="str">
        <f ca="1">IF(I787&lt;&gt;Variables!$B$1,IF(C787&lt;&gt;"",$I$9-E787-F787,""),-D787)</f>
        <v/>
      </c>
      <c r="H787" s="29" t="str">
        <f t="shared" ca="1" si="71"/>
        <v/>
      </c>
      <c r="I787" s="31" t="str">
        <f ca="1">IF(C787&lt;&gt;"",IF(D787+$I$9-E787-F787&gt;=0,IF(ISERROR(INDEX($C$3:$C$6,MATCH(C787,$C$3:$C$6,0)+1,0)),Variables!$B$1,INDEX($C$3:$C$6,MATCH(C787,$C$3:$C$6,0)+1,0)),""),"")</f>
        <v/>
      </c>
      <c r="J787" s="29" t="str">
        <f ca="1">IF(ISERROR(VLOOKUP(I787,$C$3:$L$6,5,0)),"",IF(OR(VLOOKUP(I787,$C$3:$L$6,5,0)=Variables!$B$5,B787&gt;VLOOKUP(I787,$C$3:$L$6,8,0)),IF(VLOOKUP(I787,$C$3:$L$6,5,0)=Variables!$B$5,((YEAR(B787)-YEAR($B$12))*12+MONTH(B787)-MONTH($B$12)),((YEAR(B787)-YEAR(VLOOKUP(I787,$C$3:$L$6,8,0)))*12+MONTH(B787)-MONTH(VLOOKUP(I787,$C$3:$L$6,8,0))))*(VLOOKUP(I787,$C$3:$L$6,10,0)*VLOOKUP(I787,$C$3:$L$6,6,0)/12),0))</f>
        <v/>
      </c>
      <c r="K787" s="29" t="str">
        <f ca="1">IF(C787&lt;&gt;"",IF(I787&lt;&gt;"",IF(ISERROR(VLOOKUP(I787,$C$3:$L$6,10,0)),"",VLOOKUP(I787,$C$3:$L$6,10,0)+J787+IF(OR(VLOOKUP(I787,$C$3:$L$6,5,0)=Variables!$B$5,B787&gt;VLOOKUP(I787,$C$3:$L$6,8,0)),IF(VLOOKUP(I787,$C$3:$L$6,5,0)=Variables!$B$5,((YEAR(B787)-YEAR($B$12))*12+MONTH(B787)-MONTH($B$12)),((YEAR(B787)-YEAR(VLOOKUP(I787,$C$3:$L$6,8,0)))*12+MONTH(B787)-MONTH(VLOOKUP(I787,$C$3:$L$6,8,0))))*VLOOKUP(I787,$C$3:$L$6,7,0),0)),""),"")</f>
        <v/>
      </c>
      <c r="L787" s="29" t="str">
        <f t="shared" ca="1" si="69"/>
        <v/>
      </c>
      <c r="M787" s="10"/>
      <c r="N787" s="10"/>
    </row>
    <row r="788" spans="1:14" x14ac:dyDescent="0.25">
      <c r="A788" s="10"/>
      <c r="B788" s="14" t="str">
        <f t="shared" ca="1" si="70"/>
        <v/>
      </c>
      <c r="C788" s="14" t="str">
        <f ca="1">IF(I787&lt;&gt;Variables!$B$1,IF(H787&lt;&gt;0,C787,I787),"")</f>
        <v/>
      </c>
      <c r="D788" s="29" t="str">
        <f t="shared" ca="1" si="67"/>
        <v/>
      </c>
      <c r="E788" s="29" t="str">
        <f t="shared" ca="1" si="68"/>
        <v/>
      </c>
      <c r="F788" s="29" t="str">
        <f ca="1">IF(C788&lt;&gt;"",IF(OR(VLOOKUP(C788,$C$3:$L$6,5,0)=Variables!$B$5,B788&gt;VLOOKUP(C788,$C$3:$L$6,8,0)),-D788*VLOOKUP(C788,$C$3:$L$6,6,0)/12,0),"")</f>
        <v/>
      </c>
      <c r="G788" s="29" t="str">
        <f ca="1">IF(I788&lt;&gt;Variables!$B$1,IF(C788&lt;&gt;"",$I$9-E788-F788,""),-D788)</f>
        <v/>
      </c>
      <c r="H788" s="29" t="str">
        <f t="shared" ca="1" si="71"/>
        <v/>
      </c>
      <c r="I788" s="31" t="str">
        <f ca="1">IF(C788&lt;&gt;"",IF(D788+$I$9-E788-F788&gt;=0,IF(ISERROR(INDEX($C$3:$C$6,MATCH(C788,$C$3:$C$6,0)+1,0)),Variables!$B$1,INDEX($C$3:$C$6,MATCH(C788,$C$3:$C$6,0)+1,0)),""),"")</f>
        <v/>
      </c>
      <c r="J788" s="29" t="str">
        <f ca="1">IF(ISERROR(VLOOKUP(I788,$C$3:$L$6,5,0)),"",IF(OR(VLOOKUP(I788,$C$3:$L$6,5,0)=Variables!$B$5,B788&gt;VLOOKUP(I788,$C$3:$L$6,8,0)),IF(VLOOKUP(I788,$C$3:$L$6,5,0)=Variables!$B$5,((YEAR(B788)-YEAR($B$12))*12+MONTH(B788)-MONTH($B$12)),((YEAR(B788)-YEAR(VLOOKUP(I788,$C$3:$L$6,8,0)))*12+MONTH(B788)-MONTH(VLOOKUP(I788,$C$3:$L$6,8,0))))*(VLOOKUP(I788,$C$3:$L$6,10,0)*VLOOKUP(I788,$C$3:$L$6,6,0)/12),0))</f>
        <v/>
      </c>
      <c r="K788" s="29" t="str">
        <f ca="1">IF(C788&lt;&gt;"",IF(I788&lt;&gt;"",IF(ISERROR(VLOOKUP(I788,$C$3:$L$6,10,0)),"",VLOOKUP(I788,$C$3:$L$6,10,0)+J788+IF(OR(VLOOKUP(I788,$C$3:$L$6,5,0)=Variables!$B$5,B788&gt;VLOOKUP(I788,$C$3:$L$6,8,0)),IF(VLOOKUP(I788,$C$3:$L$6,5,0)=Variables!$B$5,((YEAR(B788)-YEAR($B$12))*12+MONTH(B788)-MONTH($B$12)),((YEAR(B788)-YEAR(VLOOKUP(I788,$C$3:$L$6,8,0)))*12+MONTH(B788)-MONTH(VLOOKUP(I788,$C$3:$L$6,8,0))))*VLOOKUP(I788,$C$3:$L$6,7,0),0)),""),"")</f>
        <v/>
      </c>
      <c r="L788" s="29" t="str">
        <f t="shared" ca="1" si="69"/>
        <v/>
      </c>
      <c r="M788" s="10"/>
      <c r="N788" s="10"/>
    </row>
    <row r="789" spans="1:14" x14ac:dyDescent="0.25">
      <c r="A789" s="10"/>
      <c r="B789" s="14" t="str">
        <f t="shared" ca="1" si="70"/>
        <v/>
      </c>
      <c r="C789" s="14" t="str">
        <f ca="1">IF(I788&lt;&gt;Variables!$B$1,IF(H788&lt;&gt;0,C788,I788),"")</f>
        <v/>
      </c>
      <c r="D789" s="29" t="str">
        <f t="shared" ca="1" si="67"/>
        <v/>
      </c>
      <c r="E789" s="29" t="str">
        <f t="shared" ca="1" si="68"/>
        <v/>
      </c>
      <c r="F789" s="29" t="str">
        <f ca="1">IF(C789&lt;&gt;"",IF(OR(VLOOKUP(C789,$C$3:$L$6,5,0)=Variables!$B$5,B789&gt;VLOOKUP(C789,$C$3:$L$6,8,0)),-D789*VLOOKUP(C789,$C$3:$L$6,6,0)/12,0),"")</f>
        <v/>
      </c>
      <c r="G789" s="29" t="str">
        <f ca="1">IF(I789&lt;&gt;Variables!$B$1,IF(C789&lt;&gt;"",$I$9-E789-F789,""),-D789)</f>
        <v/>
      </c>
      <c r="H789" s="29" t="str">
        <f t="shared" ca="1" si="71"/>
        <v/>
      </c>
      <c r="I789" s="31" t="str">
        <f ca="1">IF(C789&lt;&gt;"",IF(D789+$I$9-E789-F789&gt;=0,IF(ISERROR(INDEX($C$3:$C$6,MATCH(C789,$C$3:$C$6,0)+1,0)),Variables!$B$1,INDEX($C$3:$C$6,MATCH(C789,$C$3:$C$6,0)+1,0)),""),"")</f>
        <v/>
      </c>
      <c r="J789" s="29" t="str">
        <f ca="1">IF(ISERROR(VLOOKUP(I789,$C$3:$L$6,5,0)),"",IF(OR(VLOOKUP(I789,$C$3:$L$6,5,0)=Variables!$B$5,B789&gt;VLOOKUP(I789,$C$3:$L$6,8,0)),IF(VLOOKUP(I789,$C$3:$L$6,5,0)=Variables!$B$5,((YEAR(B789)-YEAR($B$12))*12+MONTH(B789)-MONTH($B$12)),((YEAR(B789)-YEAR(VLOOKUP(I789,$C$3:$L$6,8,0)))*12+MONTH(B789)-MONTH(VLOOKUP(I789,$C$3:$L$6,8,0))))*(VLOOKUP(I789,$C$3:$L$6,10,0)*VLOOKUP(I789,$C$3:$L$6,6,0)/12),0))</f>
        <v/>
      </c>
      <c r="K789" s="29" t="str">
        <f ca="1">IF(C789&lt;&gt;"",IF(I789&lt;&gt;"",IF(ISERROR(VLOOKUP(I789,$C$3:$L$6,10,0)),"",VLOOKUP(I789,$C$3:$L$6,10,0)+J789+IF(OR(VLOOKUP(I789,$C$3:$L$6,5,0)=Variables!$B$5,B789&gt;VLOOKUP(I789,$C$3:$L$6,8,0)),IF(VLOOKUP(I789,$C$3:$L$6,5,0)=Variables!$B$5,((YEAR(B789)-YEAR($B$12))*12+MONTH(B789)-MONTH($B$12)),((YEAR(B789)-YEAR(VLOOKUP(I789,$C$3:$L$6,8,0)))*12+MONTH(B789)-MONTH(VLOOKUP(I789,$C$3:$L$6,8,0))))*VLOOKUP(I789,$C$3:$L$6,7,0),0)),""),"")</f>
        <v/>
      </c>
      <c r="L789" s="29" t="str">
        <f t="shared" ca="1" si="69"/>
        <v/>
      </c>
      <c r="M789" s="10"/>
      <c r="N789" s="10"/>
    </row>
    <row r="790" spans="1:14" x14ac:dyDescent="0.25">
      <c r="A790" s="10"/>
      <c r="B790" s="14" t="str">
        <f t="shared" ca="1" si="70"/>
        <v/>
      </c>
      <c r="C790" s="14" t="str">
        <f ca="1">IF(I789&lt;&gt;Variables!$B$1,IF(H789&lt;&gt;0,C789,I789),"")</f>
        <v/>
      </c>
      <c r="D790" s="29" t="str">
        <f t="shared" ca="1" si="67"/>
        <v/>
      </c>
      <c r="E790" s="29" t="str">
        <f t="shared" ca="1" si="68"/>
        <v/>
      </c>
      <c r="F790" s="29" t="str">
        <f ca="1">IF(C790&lt;&gt;"",IF(OR(VLOOKUP(C790,$C$3:$L$6,5,0)=Variables!$B$5,B790&gt;VLOOKUP(C790,$C$3:$L$6,8,0)),-D790*VLOOKUP(C790,$C$3:$L$6,6,0)/12,0),"")</f>
        <v/>
      </c>
      <c r="G790" s="29" t="str">
        <f ca="1">IF(I790&lt;&gt;Variables!$B$1,IF(C790&lt;&gt;"",$I$9-E790-F790,""),-D790)</f>
        <v/>
      </c>
      <c r="H790" s="29" t="str">
        <f t="shared" ca="1" si="71"/>
        <v/>
      </c>
      <c r="I790" s="31" t="str">
        <f ca="1">IF(C790&lt;&gt;"",IF(D790+$I$9-E790-F790&gt;=0,IF(ISERROR(INDEX($C$3:$C$6,MATCH(C790,$C$3:$C$6,0)+1,0)),Variables!$B$1,INDEX($C$3:$C$6,MATCH(C790,$C$3:$C$6,0)+1,0)),""),"")</f>
        <v/>
      </c>
      <c r="J790" s="29" t="str">
        <f ca="1">IF(ISERROR(VLOOKUP(I790,$C$3:$L$6,5,0)),"",IF(OR(VLOOKUP(I790,$C$3:$L$6,5,0)=Variables!$B$5,B790&gt;VLOOKUP(I790,$C$3:$L$6,8,0)),IF(VLOOKUP(I790,$C$3:$L$6,5,0)=Variables!$B$5,((YEAR(B790)-YEAR($B$12))*12+MONTH(B790)-MONTH($B$12)),((YEAR(B790)-YEAR(VLOOKUP(I790,$C$3:$L$6,8,0)))*12+MONTH(B790)-MONTH(VLOOKUP(I790,$C$3:$L$6,8,0))))*(VLOOKUP(I790,$C$3:$L$6,10,0)*VLOOKUP(I790,$C$3:$L$6,6,0)/12),0))</f>
        <v/>
      </c>
      <c r="K790" s="29" t="str">
        <f ca="1">IF(C790&lt;&gt;"",IF(I790&lt;&gt;"",IF(ISERROR(VLOOKUP(I790,$C$3:$L$6,10,0)),"",VLOOKUP(I790,$C$3:$L$6,10,0)+J790+IF(OR(VLOOKUP(I790,$C$3:$L$6,5,0)=Variables!$B$5,B790&gt;VLOOKUP(I790,$C$3:$L$6,8,0)),IF(VLOOKUP(I790,$C$3:$L$6,5,0)=Variables!$B$5,((YEAR(B790)-YEAR($B$12))*12+MONTH(B790)-MONTH($B$12)),((YEAR(B790)-YEAR(VLOOKUP(I790,$C$3:$L$6,8,0)))*12+MONTH(B790)-MONTH(VLOOKUP(I790,$C$3:$L$6,8,0))))*VLOOKUP(I790,$C$3:$L$6,7,0),0)),""),"")</f>
        <v/>
      </c>
      <c r="L790" s="29" t="str">
        <f t="shared" ca="1" si="69"/>
        <v/>
      </c>
      <c r="M790" s="10"/>
      <c r="N790" s="10"/>
    </row>
    <row r="791" spans="1:14" x14ac:dyDescent="0.25">
      <c r="A791" s="10"/>
      <c r="B791" s="14" t="str">
        <f t="shared" ca="1" si="70"/>
        <v/>
      </c>
      <c r="C791" s="14" t="str">
        <f ca="1">IF(I790&lt;&gt;Variables!$B$1,IF(H790&lt;&gt;0,C790,I790),"")</f>
        <v/>
      </c>
      <c r="D791" s="29" t="str">
        <f t="shared" ca="1" si="67"/>
        <v/>
      </c>
      <c r="E791" s="29" t="str">
        <f t="shared" ca="1" si="68"/>
        <v/>
      </c>
      <c r="F791" s="29" t="str">
        <f ca="1">IF(C791&lt;&gt;"",IF(OR(VLOOKUP(C791,$C$3:$L$6,5,0)=Variables!$B$5,B791&gt;VLOOKUP(C791,$C$3:$L$6,8,0)),-D791*VLOOKUP(C791,$C$3:$L$6,6,0)/12,0),"")</f>
        <v/>
      </c>
      <c r="G791" s="29" t="str">
        <f ca="1">IF(I791&lt;&gt;Variables!$B$1,IF(C791&lt;&gt;"",$I$9-E791-F791,""),-D791)</f>
        <v/>
      </c>
      <c r="H791" s="29" t="str">
        <f t="shared" ca="1" si="71"/>
        <v/>
      </c>
      <c r="I791" s="31" t="str">
        <f ca="1">IF(C791&lt;&gt;"",IF(D791+$I$9-E791-F791&gt;=0,IF(ISERROR(INDEX($C$3:$C$6,MATCH(C791,$C$3:$C$6,0)+1,0)),Variables!$B$1,INDEX($C$3:$C$6,MATCH(C791,$C$3:$C$6,0)+1,0)),""),"")</f>
        <v/>
      </c>
      <c r="J791" s="29" t="str">
        <f ca="1">IF(ISERROR(VLOOKUP(I791,$C$3:$L$6,5,0)),"",IF(OR(VLOOKUP(I791,$C$3:$L$6,5,0)=Variables!$B$5,B791&gt;VLOOKUP(I791,$C$3:$L$6,8,0)),IF(VLOOKUP(I791,$C$3:$L$6,5,0)=Variables!$B$5,((YEAR(B791)-YEAR($B$12))*12+MONTH(B791)-MONTH($B$12)),((YEAR(B791)-YEAR(VLOOKUP(I791,$C$3:$L$6,8,0)))*12+MONTH(B791)-MONTH(VLOOKUP(I791,$C$3:$L$6,8,0))))*(VLOOKUP(I791,$C$3:$L$6,10,0)*VLOOKUP(I791,$C$3:$L$6,6,0)/12),0))</f>
        <v/>
      </c>
      <c r="K791" s="29" t="str">
        <f ca="1">IF(C791&lt;&gt;"",IF(I791&lt;&gt;"",IF(ISERROR(VLOOKUP(I791,$C$3:$L$6,10,0)),"",VLOOKUP(I791,$C$3:$L$6,10,0)+J791+IF(OR(VLOOKUP(I791,$C$3:$L$6,5,0)=Variables!$B$5,B791&gt;VLOOKUP(I791,$C$3:$L$6,8,0)),IF(VLOOKUP(I791,$C$3:$L$6,5,0)=Variables!$B$5,((YEAR(B791)-YEAR($B$12))*12+MONTH(B791)-MONTH($B$12)),((YEAR(B791)-YEAR(VLOOKUP(I791,$C$3:$L$6,8,0)))*12+MONTH(B791)-MONTH(VLOOKUP(I791,$C$3:$L$6,8,0))))*VLOOKUP(I791,$C$3:$L$6,7,0),0)),""),"")</f>
        <v/>
      </c>
      <c r="L791" s="29" t="str">
        <f t="shared" ca="1" si="69"/>
        <v/>
      </c>
      <c r="M791" s="10"/>
      <c r="N791" s="10"/>
    </row>
    <row r="792" spans="1:14" x14ac:dyDescent="0.25">
      <c r="A792" s="10"/>
      <c r="B792" s="14" t="str">
        <f t="shared" ca="1" si="70"/>
        <v/>
      </c>
      <c r="C792" s="14" t="str">
        <f ca="1">IF(I791&lt;&gt;Variables!$B$1,IF(H791&lt;&gt;0,C791,I791),"")</f>
        <v/>
      </c>
      <c r="D792" s="29" t="str">
        <f t="shared" ca="1" si="67"/>
        <v/>
      </c>
      <c r="E792" s="29" t="str">
        <f t="shared" ca="1" si="68"/>
        <v/>
      </c>
      <c r="F792" s="29" t="str">
        <f ca="1">IF(C792&lt;&gt;"",IF(OR(VLOOKUP(C792,$C$3:$L$6,5,0)=Variables!$B$5,B792&gt;VLOOKUP(C792,$C$3:$L$6,8,0)),-D792*VLOOKUP(C792,$C$3:$L$6,6,0)/12,0),"")</f>
        <v/>
      </c>
      <c r="G792" s="29" t="str">
        <f ca="1">IF(I792&lt;&gt;Variables!$B$1,IF(C792&lt;&gt;"",$I$9-E792-F792,""),-D792)</f>
        <v/>
      </c>
      <c r="H792" s="29" t="str">
        <f t="shared" ca="1" si="71"/>
        <v/>
      </c>
      <c r="I792" s="31" t="str">
        <f ca="1">IF(C792&lt;&gt;"",IF(D792+$I$9-E792-F792&gt;=0,IF(ISERROR(INDEX($C$3:$C$6,MATCH(C792,$C$3:$C$6,0)+1,0)),Variables!$B$1,INDEX($C$3:$C$6,MATCH(C792,$C$3:$C$6,0)+1,0)),""),"")</f>
        <v/>
      </c>
      <c r="J792" s="29" t="str">
        <f ca="1">IF(ISERROR(VLOOKUP(I792,$C$3:$L$6,5,0)),"",IF(OR(VLOOKUP(I792,$C$3:$L$6,5,0)=Variables!$B$5,B792&gt;VLOOKUP(I792,$C$3:$L$6,8,0)),IF(VLOOKUP(I792,$C$3:$L$6,5,0)=Variables!$B$5,((YEAR(B792)-YEAR($B$12))*12+MONTH(B792)-MONTH($B$12)),((YEAR(B792)-YEAR(VLOOKUP(I792,$C$3:$L$6,8,0)))*12+MONTH(B792)-MONTH(VLOOKUP(I792,$C$3:$L$6,8,0))))*(VLOOKUP(I792,$C$3:$L$6,10,0)*VLOOKUP(I792,$C$3:$L$6,6,0)/12),0))</f>
        <v/>
      </c>
      <c r="K792" s="29" t="str">
        <f ca="1">IF(C792&lt;&gt;"",IF(I792&lt;&gt;"",IF(ISERROR(VLOOKUP(I792,$C$3:$L$6,10,0)),"",VLOOKUP(I792,$C$3:$L$6,10,0)+J792+IF(OR(VLOOKUP(I792,$C$3:$L$6,5,0)=Variables!$B$5,B792&gt;VLOOKUP(I792,$C$3:$L$6,8,0)),IF(VLOOKUP(I792,$C$3:$L$6,5,0)=Variables!$B$5,((YEAR(B792)-YEAR($B$12))*12+MONTH(B792)-MONTH($B$12)),((YEAR(B792)-YEAR(VLOOKUP(I792,$C$3:$L$6,8,0)))*12+MONTH(B792)-MONTH(VLOOKUP(I792,$C$3:$L$6,8,0))))*VLOOKUP(I792,$C$3:$L$6,7,0),0)),""),"")</f>
        <v/>
      </c>
      <c r="L792" s="29" t="str">
        <f t="shared" ca="1" si="69"/>
        <v/>
      </c>
      <c r="M792" s="10"/>
      <c r="N792" s="10"/>
    </row>
    <row r="793" spans="1:14" x14ac:dyDescent="0.25">
      <c r="A793" s="10"/>
      <c r="B793" s="14" t="str">
        <f t="shared" ca="1" si="70"/>
        <v/>
      </c>
      <c r="C793" s="14" t="str">
        <f ca="1">IF(I792&lt;&gt;Variables!$B$1,IF(H792&lt;&gt;0,C792,I792),"")</f>
        <v/>
      </c>
      <c r="D793" s="29" t="str">
        <f t="shared" ca="1" si="67"/>
        <v/>
      </c>
      <c r="E793" s="29" t="str">
        <f t="shared" ca="1" si="68"/>
        <v/>
      </c>
      <c r="F793" s="29" t="str">
        <f ca="1">IF(C793&lt;&gt;"",IF(OR(VLOOKUP(C793,$C$3:$L$6,5,0)=Variables!$B$5,B793&gt;VLOOKUP(C793,$C$3:$L$6,8,0)),-D793*VLOOKUP(C793,$C$3:$L$6,6,0)/12,0),"")</f>
        <v/>
      </c>
      <c r="G793" s="29" t="str">
        <f ca="1">IF(I793&lt;&gt;Variables!$B$1,IF(C793&lt;&gt;"",$I$9-E793-F793,""),-D793)</f>
        <v/>
      </c>
      <c r="H793" s="29" t="str">
        <f t="shared" ca="1" si="71"/>
        <v/>
      </c>
      <c r="I793" s="31" t="str">
        <f ca="1">IF(C793&lt;&gt;"",IF(D793+$I$9-E793-F793&gt;=0,IF(ISERROR(INDEX($C$3:$C$6,MATCH(C793,$C$3:$C$6,0)+1,0)),Variables!$B$1,INDEX($C$3:$C$6,MATCH(C793,$C$3:$C$6,0)+1,0)),""),"")</f>
        <v/>
      </c>
      <c r="J793" s="29" t="str">
        <f ca="1">IF(ISERROR(VLOOKUP(I793,$C$3:$L$6,5,0)),"",IF(OR(VLOOKUP(I793,$C$3:$L$6,5,0)=Variables!$B$5,B793&gt;VLOOKUP(I793,$C$3:$L$6,8,0)),IF(VLOOKUP(I793,$C$3:$L$6,5,0)=Variables!$B$5,((YEAR(B793)-YEAR($B$12))*12+MONTH(B793)-MONTH($B$12)),((YEAR(B793)-YEAR(VLOOKUP(I793,$C$3:$L$6,8,0)))*12+MONTH(B793)-MONTH(VLOOKUP(I793,$C$3:$L$6,8,0))))*(VLOOKUP(I793,$C$3:$L$6,10,0)*VLOOKUP(I793,$C$3:$L$6,6,0)/12),0))</f>
        <v/>
      </c>
      <c r="K793" s="29" t="str">
        <f ca="1">IF(C793&lt;&gt;"",IF(I793&lt;&gt;"",IF(ISERROR(VLOOKUP(I793,$C$3:$L$6,10,0)),"",VLOOKUP(I793,$C$3:$L$6,10,0)+J793+IF(OR(VLOOKUP(I793,$C$3:$L$6,5,0)=Variables!$B$5,B793&gt;VLOOKUP(I793,$C$3:$L$6,8,0)),IF(VLOOKUP(I793,$C$3:$L$6,5,0)=Variables!$B$5,((YEAR(B793)-YEAR($B$12))*12+MONTH(B793)-MONTH($B$12)),((YEAR(B793)-YEAR(VLOOKUP(I793,$C$3:$L$6,8,0)))*12+MONTH(B793)-MONTH(VLOOKUP(I793,$C$3:$L$6,8,0))))*VLOOKUP(I793,$C$3:$L$6,7,0),0)),""),"")</f>
        <v/>
      </c>
      <c r="L793" s="29" t="str">
        <f t="shared" ca="1" si="69"/>
        <v/>
      </c>
      <c r="M793" s="10"/>
      <c r="N793" s="10"/>
    </row>
    <row r="794" spans="1:14" x14ac:dyDescent="0.25">
      <c r="A794" s="10"/>
      <c r="B794" s="14" t="str">
        <f t="shared" ca="1" si="70"/>
        <v/>
      </c>
      <c r="C794" s="14" t="str">
        <f ca="1">IF(I793&lt;&gt;Variables!$B$1,IF(H793&lt;&gt;0,C793,I793),"")</f>
        <v/>
      </c>
      <c r="D794" s="29" t="str">
        <f t="shared" ca="1" si="67"/>
        <v/>
      </c>
      <c r="E794" s="29" t="str">
        <f t="shared" ca="1" si="68"/>
        <v/>
      </c>
      <c r="F794" s="29" t="str">
        <f ca="1">IF(C794&lt;&gt;"",IF(OR(VLOOKUP(C794,$C$3:$L$6,5,0)=Variables!$B$5,B794&gt;VLOOKUP(C794,$C$3:$L$6,8,0)),-D794*VLOOKUP(C794,$C$3:$L$6,6,0)/12,0),"")</f>
        <v/>
      </c>
      <c r="G794" s="29" t="str">
        <f ca="1">IF(I794&lt;&gt;Variables!$B$1,IF(C794&lt;&gt;"",$I$9-E794-F794,""),-D794)</f>
        <v/>
      </c>
      <c r="H794" s="29" t="str">
        <f t="shared" ca="1" si="71"/>
        <v/>
      </c>
      <c r="I794" s="31" t="str">
        <f ca="1">IF(C794&lt;&gt;"",IF(D794+$I$9-E794-F794&gt;=0,IF(ISERROR(INDEX($C$3:$C$6,MATCH(C794,$C$3:$C$6,0)+1,0)),Variables!$B$1,INDEX($C$3:$C$6,MATCH(C794,$C$3:$C$6,0)+1,0)),""),"")</f>
        <v/>
      </c>
      <c r="J794" s="29" t="str">
        <f ca="1">IF(ISERROR(VLOOKUP(I794,$C$3:$L$6,5,0)),"",IF(OR(VLOOKUP(I794,$C$3:$L$6,5,0)=Variables!$B$5,B794&gt;VLOOKUP(I794,$C$3:$L$6,8,0)),IF(VLOOKUP(I794,$C$3:$L$6,5,0)=Variables!$B$5,((YEAR(B794)-YEAR($B$12))*12+MONTH(B794)-MONTH($B$12)),((YEAR(B794)-YEAR(VLOOKUP(I794,$C$3:$L$6,8,0)))*12+MONTH(B794)-MONTH(VLOOKUP(I794,$C$3:$L$6,8,0))))*(VLOOKUP(I794,$C$3:$L$6,10,0)*VLOOKUP(I794,$C$3:$L$6,6,0)/12),0))</f>
        <v/>
      </c>
      <c r="K794" s="29" t="str">
        <f ca="1">IF(C794&lt;&gt;"",IF(I794&lt;&gt;"",IF(ISERROR(VLOOKUP(I794,$C$3:$L$6,10,0)),"",VLOOKUP(I794,$C$3:$L$6,10,0)+J794+IF(OR(VLOOKUP(I794,$C$3:$L$6,5,0)=Variables!$B$5,B794&gt;VLOOKUP(I794,$C$3:$L$6,8,0)),IF(VLOOKUP(I794,$C$3:$L$6,5,0)=Variables!$B$5,((YEAR(B794)-YEAR($B$12))*12+MONTH(B794)-MONTH($B$12)),((YEAR(B794)-YEAR(VLOOKUP(I794,$C$3:$L$6,8,0)))*12+MONTH(B794)-MONTH(VLOOKUP(I794,$C$3:$L$6,8,0))))*VLOOKUP(I794,$C$3:$L$6,7,0),0)),""),"")</f>
        <v/>
      </c>
      <c r="L794" s="29" t="str">
        <f t="shared" ca="1" si="69"/>
        <v/>
      </c>
      <c r="M794" s="10"/>
      <c r="N794" s="10"/>
    </row>
    <row r="795" spans="1:14" x14ac:dyDescent="0.25">
      <c r="A795" s="10"/>
      <c r="B795" s="14" t="str">
        <f t="shared" ca="1" si="70"/>
        <v/>
      </c>
      <c r="C795" s="14" t="str">
        <f ca="1">IF(I794&lt;&gt;Variables!$B$1,IF(H794&lt;&gt;0,C794,I794),"")</f>
        <v/>
      </c>
      <c r="D795" s="29" t="str">
        <f t="shared" ca="1" si="67"/>
        <v/>
      </c>
      <c r="E795" s="29" t="str">
        <f t="shared" ca="1" si="68"/>
        <v/>
      </c>
      <c r="F795" s="29" t="str">
        <f ca="1">IF(C795&lt;&gt;"",IF(OR(VLOOKUP(C795,$C$3:$L$6,5,0)=Variables!$B$5,B795&gt;VLOOKUP(C795,$C$3:$L$6,8,0)),-D795*VLOOKUP(C795,$C$3:$L$6,6,0)/12,0),"")</f>
        <v/>
      </c>
      <c r="G795" s="29" t="str">
        <f ca="1">IF(I795&lt;&gt;Variables!$B$1,IF(C795&lt;&gt;"",$I$9-E795-F795,""),-D795)</f>
        <v/>
      </c>
      <c r="H795" s="29" t="str">
        <f t="shared" ca="1" si="71"/>
        <v/>
      </c>
      <c r="I795" s="31" t="str">
        <f ca="1">IF(C795&lt;&gt;"",IF(D795+$I$9-E795-F795&gt;=0,IF(ISERROR(INDEX($C$3:$C$6,MATCH(C795,$C$3:$C$6,0)+1,0)),Variables!$B$1,INDEX($C$3:$C$6,MATCH(C795,$C$3:$C$6,0)+1,0)),""),"")</f>
        <v/>
      </c>
      <c r="J795" s="29" t="str">
        <f ca="1">IF(ISERROR(VLOOKUP(I795,$C$3:$L$6,5,0)),"",IF(OR(VLOOKUP(I795,$C$3:$L$6,5,0)=Variables!$B$5,B795&gt;VLOOKUP(I795,$C$3:$L$6,8,0)),IF(VLOOKUP(I795,$C$3:$L$6,5,0)=Variables!$B$5,((YEAR(B795)-YEAR($B$12))*12+MONTH(B795)-MONTH($B$12)),((YEAR(B795)-YEAR(VLOOKUP(I795,$C$3:$L$6,8,0)))*12+MONTH(B795)-MONTH(VLOOKUP(I795,$C$3:$L$6,8,0))))*(VLOOKUP(I795,$C$3:$L$6,10,0)*VLOOKUP(I795,$C$3:$L$6,6,0)/12),0))</f>
        <v/>
      </c>
      <c r="K795" s="29" t="str">
        <f ca="1">IF(C795&lt;&gt;"",IF(I795&lt;&gt;"",IF(ISERROR(VLOOKUP(I795,$C$3:$L$6,10,0)),"",VLOOKUP(I795,$C$3:$L$6,10,0)+J795+IF(OR(VLOOKUP(I795,$C$3:$L$6,5,0)=Variables!$B$5,B795&gt;VLOOKUP(I795,$C$3:$L$6,8,0)),IF(VLOOKUP(I795,$C$3:$L$6,5,0)=Variables!$B$5,((YEAR(B795)-YEAR($B$12))*12+MONTH(B795)-MONTH($B$12)),((YEAR(B795)-YEAR(VLOOKUP(I795,$C$3:$L$6,8,0)))*12+MONTH(B795)-MONTH(VLOOKUP(I795,$C$3:$L$6,8,0))))*VLOOKUP(I795,$C$3:$L$6,7,0),0)),""),"")</f>
        <v/>
      </c>
      <c r="L795" s="29" t="str">
        <f t="shared" ca="1" si="69"/>
        <v/>
      </c>
      <c r="M795" s="10"/>
      <c r="N795" s="10"/>
    </row>
    <row r="796" spans="1:14" x14ac:dyDescent="0.25">
      <c r="A796" s="10"/>
      <c r="B796" s="14" t="str">
        <f t="shared" ca="1" si="70"/>
        <v/>
      </c>
      <c r="C796" s="14" t="str">
        <f ca="1">IF(I795&lt;&gt;Variables!$B$1,IF(H795&lt;&gt;0,C795,I795),"")</f>
        <v/>
      </c>
      <c r="D796" s="29" t="str">
        <f t="shared" ref="D796:D859" ca="1" si="72">IF(C796&lt;&gt;"",IF(H795&lt;&gt;0,H795,L795),"")</f>
        <v/>
      </c>
      <c r="E796" s="29" t="str">
        <f t="shared" ref="E796:E859" ca="1" si="73">IF(C796&lt;&gt;"",MINPAYMENT(C796,ROW(B796),COLUMN(B796)),"")</f>
        <v/>
      </c>
      <c r="F796" s="29" t="str">
        <f ca="1">IF(C796&lt;&gt;"",IF(OR(VLOOKUP(C796,$C$3:$L$6,5,0)=Variables!$B$5,B796&gt;VLOOKUP(C796,$C$3:$L$6,8,0)),-D796*VLOOKUP(C796,$C$3:$L$6,6,0)/12,0),"")</f>
        <v/>
      </c>
      <c r="G796" s="29" t="str">
        <f ca="1">IF(I796&lt;&gt;Variables!$B$1,IF(C796&lt;&gt;"",$I$9-E796-F796,""),-D796)</f>
        <v/>
      </c>
      <c r="H796" s="29" t="str">
        <f t="shared" ca="1" si="71"/>
        <v/>
      </c>
      <c r="I796" s="31" t="str">
        <f ca="1">IF(C796&lt;&gt;"",IF(D796+$I$9-E796-F796&gt;=0,IF(ISERROR(INDEX($C$3:$C$6,MATCH(C796,$C$3:$C$6,0)+1,0)),Variables!$B$1,INDEX($C$3:$C$6,MATCH(C796,$C$3:$C$6,0)+1,0)),""),"")</f>
        <v/>
      </c>
      <c r="J796" s="29" t="str">
        <f ca="1">IF(ISERROR(VLOOKUP(I796,$C$3:$L$6,5,0)),"",IF(OR(VLOOKUP(I796,$C$3:$L$6,5,0)=Variables!$B$5,B796&gt;VLOOKUP(I796,$C$3:$L$6,8,0)),IF(VLOOKUP(I796,$C$3:$L$6,5,0)=Variables!$B$5,((YEAR(B796)-YEAR($B$12))*12+MONTH(B796)-MONTH($B$12)),((YEAR(B796)-YEAR(VLOOKUP(I796,$C$3:$L$6,8,0)))*12+MONTH(B796)-MONTH(VLOOKUP(I796,$C$3:$L$6,8,0))))*(VLOOKUP(I796,$C$3:$L$6,10,0)*VLOOKUP(I796,$C$3:$L$6,6,0)/12),0))</f>
        <v/>
      </c>
      <c r="K796" s="29" t="str">
        <f ca="1">IF(C796&lt;&gt;"",IF(I796&lt;&gt;"",IF(ISERROR(VLOOKUP(I796,$C$3:$L$6,10,0)),"",VLOOKUP(I796,$C$3:$L$6,10,0)+J796+IF(OR(VLOOKUP(I796,$C$3:$L$6,5,0)=Variables!$B$5,B796&gt;VLOOKUP(I796,$C$3:$L$6,8,0)),IF(VLOOKUP(I796,$C$3:$L$6,5,0)=Variables!$B$5,((YEAR(B796)-YEAR($B$12))*12+MONTH(B796)-MONTH($B$12)),((YEAR(B796)-YEAR(VLOOKUP(I796,$C$3:$L$6,8,0)))*12+MONTH(B796)-MONTH(VLOOKUP(I796,$C$3:$L$6,8,0))))*VLOOKUP(I796,$C$3:$L$6,7,0),0)),""),"")</f>
        <v/>
      </c>
      <c r="L796" s="29" t="str">
        <f t="shared" ref="L796:L859" ca="1" si="74">IF(C796&lt;&gt;"",IF(ISERROR(IF(D796+G796&gt;=0,K796+D796+G796,"")),"",IF(D796+G796&gt;=0,K796+D796+G796,"")),"")</f>
        <v/>
      </c>
      <c r="M796" s="10"/>
      <c r="N796" s="10"/>
    </row>
    <row r="797" spans="1:14" x14ac:dyDescent="0.25">
      <c r="A797" s="10"/>
      <c r="B797" s="14" t="str">
        <f t="shared" ref="B797:B860" ca="1" si="75">IF(C797&lt;&gt;"",DATE(YEAR(B796),MONTH(B796)+1,DAY(B796)),"")</f>
        <v/>
      </c>
      <c r="C797" s="14" t="str">
        <f ca="1">IF(I796&lt;&gt;Variables!$B$1,IF(H796&lt;&gt;0,C796,I796),"")</f>
        <v/>
      </c>
      <c r="D797" s="29" t="str">
        <f t="shared" ca="1" si="72"/>
        <v/>
      </c>
      <c r="E797" s="29" t="str">
        <f t="shared" ca="1" si="73"/>
        <v/>
      </c>
      <c r="F797" s="29" t="str">
        <f ca="1">IF(C797&lt;&gt;"",IF(OR(VLOOKUP(C797,$C$3:$L$6,5,0)=Variables!$B$5,B797&gt;VLOOKUP(C797,$C$3:$L$6,8,0)),-D797*VLOOKUP(C797,$C$3:$L$6,6,0)/12,0),"")</f>
        <v/>
      </c>
      <c r="G797" s="29" t="str">
        <f ca="1">IF(I797&lt;&gt;Variables!$B$1,IF(C797&lt;&gt;"",$I$9-E797-F797,""),-D797)</f>
        <v/>
      </c>
      <c r="H797" s="29" t="str">
        <f t="shared" ref="H797:H860" ca="1" si="76">IF(C797&lt;&gt;"",IF(D797+G797&lt;0,D797+G797,0),"")</f>
        <v/>
      </c>
      <c r="I797" s="31" t="str">
        <f ca="1">IF(C797&lt;&gt;"",IF(D797+$I$9-E797-F797&gt;=0,IF(ISERROR(INDEX($C$3:$C$6,MATCH(C797,$C$3:$C$6,0)+1,0)),Variables!$B$1,INDEX($C$3:$C$6,MATCH(C797,$C$3:$C$6,0)+1,0)),""),"")</f>
        <v/>
      </c>
      <c r="J797" s="29" t="str">
        <f ca="1">IF(ISERROR(VLOOKUP(I797,$C$3:$L$6,5,0)),"",IF(OR(VLOOKUP(I797,$C$3:$L$6,5,0)=Variables!$B$5,B797&gt;VLOOKUP(I797,$C$3:$L$6,8,0)),IF(VLOOKUP(I797,$C$3:$L$6,5,0)=Variables!$B$5,((YEAR(B797)-YEAR($B$12))*12+MONTH(B797)-MONTH($B$12)),((YEAR(B797)-YEAR(VLOOKUP(I797,$C$3:$L$6,8,0)))*12+MONTH(B797)-MONTH(VLOOKUP(I797,$C$3:$L$6,8,0))))*(VLOOKUP(I797,$C$3:$L$6,10,0)*VLOOKUP(I797,$C$3:$L$6,6,0)/12),0))</f>
        <v/>
      </c>
      <c r="K797" s="29" t="str">
        <f ca="1">IF(C797&lt;&gt;"",IF(I797&lt;&gt;"",IF(ISERROR(VLOOKUP(I797,$C$3:$L$6,10,0)),"",VLOOKUP(I797,$C$3:$L$6,10,0)+J797+IF(OR(VLOOKUP(I797,$C$3:$L$6,5,0)=Variables!$B$5,B797&gt;VLOOKUP(I797,$C$3:$L$6,8,0)),IF(VLOOKUP(I797,$C$3:$L$6,5,0)=Variables!$B$5,((YEAR(B797)-YEAR($B$12))*12+MONTH(B797)-MONTH($B$12)),((YEAR(B797)-YEAR(VLOOKUP(I797,$C$3:$L$6,8,0)))*12+MONTH(B797)-MONTH(VLOOKUP(I797,$C$3:$L$6,8,0))))*VLOOKUP(I797,$C$3:$L$6,7,0),0)),""),"")</f>
        <v/>
      </c>
      <c r="L797" s="29" t="str">
        <f t="shared" ca="1" si="74"/>
        <v/>
      </c>
      <c r="M797" s="10"/>
      <c r="N797" s="10"/>
    </row>
    <row r="798" spans="1:14" x14ac:dyDescent="0.25">
      <c r="A798" s="10"/>
      <c r="B798" s="14" t="str">
        <f t="shared" ca="1" si="75"/>
        <v/>
      </c>
      <c r="C798" s="14" t="str">
        <f ca="1">IF(I797&lt;&gt;Variables!$B$1,IF(H797&lt;&gt;0,C797,I797),"")</f>
        <v/>
      </c>
      <c r="D798" s="29" t="str">
        <f t="shared" ca="1" si="72"/>
        <v/>
      </c>
      <c r="E798" s="29" t="str">
        <f t="shared" ca="1" si="73"/>
        <v/>
      </c>
      <c r="F798" s="29" t="str">
        <f ca="1">IF(C798&lt;&gt;"",IF(OR(VLOOKUP(C798,$C$3:$L$6,5,0)=Variables!$B$5,B798&gt;VLOOKUP(C798,$C$3:$L$6,8,0)),-D798*VLOOKUP(C798,$C$3:$L$6,6,0)/12,0),"")</f>
        <v/>
      </c>
      <c r="G798" s="29" t="str">
        <f ca="1">IF(I798&lt;&gt;Variables!$B$1,IF(C798&lt;&gt;"",$I$9-E798-F798,""),-D798)</f>
        <v/>
      </c>
      <c r="H798" s="29" t="str">
        <f t="shared" ca="1" si="76"/>
        <v/>
      </c>
      <c r="I798" s="31" t="str">
        <f ca="1">IF(C798&lt;&gt;"",IF(D798+$I$9-E798-F798&gt;=0,IF(ISERROR(INDEX($C$3:$C$6,MATCH(C798,$C$3:$C$6,0)+1,0)),Variables!$B$1,INDEX($C$3:$C$6,MATCH(C798,$C$3:$C$6,0)+1,0)),""),"")</f>
        <v/>
      </c>
      <c r="J798" s="29" t="str">
        <f ca="1">IF(ISERROR(VLOOKUP(I798,$C$3:$L$6,5,0)),"",IF(OR(VLOOKUP(I798,$C$3:$L$6,5,0)=Variables!$B$5,B798&gt;VLOOKUP(I798,$C$3:$L$6,8,0)),IF(VLOOKUP(I798,$C$3:$L$6,5,0)=Variables!$B$5,((YEAR(B798)-YEAR($B$12))*12+MONTH(B798)-MONTH($B$12)),((YEAR(B798)-YEAR(VLOOKUP(I798,$C$3:$L$6,8,0)))*12+MONTH(B798)-MONTH(VLOOKUP(I798,$C$3:$L$6,8,0))))*(VLOOKUP(I798,$C$3:$L$6,10,0)*VLOOKUP(I798,$C$3:$L$6,6,0)/12),0))</f>
        <v/>
      </c>
      <c r="K798" s="29" t="str">
        <f ca="1">IF(C798&lt;&gt;"",IF(I798&lt;&gt;"",IF(ISERROR(VLOOKUP(I798,$C$3:$L$6,10,0)),"",VLOOKUP(I798,$C$3:$L$6,10,0)+J798+IF(OR(VLOOKUP(I798,$C$3:$L$6,5,0)=Variables!$B$5,B798&gt;VLOOKUP(I798,$C$3:$L$6,8,0)),IF(VLOOKUP(I798,$C$3:$L$6,5,0)=Variables!$B$5,((YEAR(B798)-YEAR($B$12))*12+MONTH(B798)-MONTH($B$12)),((YEAR(B798)-YEAR(VLOOKUP(I798,$C$3:$L$6,8,0)))*12+MONTH(B798)-MONTH(VLOOKUP(I798,$C$3:$L$6,8,0))))*VLOOKUP(I798,$C$3:$L$6,7,0),0)),""),"")</f>
        <v/>
      </c>
      <c r="L798" s="29" t="str">
        <f t="shared" ca="1" si="74"/>
        <v/>
      </c>
      <c r="M798" s="10"/>
      <c r="N798" s="10"/>
    </row>
    <row r="799" spans="1:14" x14ac:dyDescent="0.25">
      <c r="A799" s="10"/>
      <c r="B799" s="14" t="str">
        <f t="shared" ca="1" si="75"/>
        <v/>
      </c>
      <c r="C799" s="14" t="str">
        <f ca="1">IF(I798&lt;&gt;Variables!$B$1,IF(H798&lt;&gt;0,C798,I798),"")</f>
        <v/>
      </c>
      <c r="D799" s="29" t="str">
        <f t="shared" ca="1" si="72"/>
        <v/>
      </c>
      <c r="E799" s="29" t="str">
        <f t="shared" ca="1" si="73"/>
        <v/>
      </c>
      <c r="F799" s="29" t="str">
        <f ca="1">IF(C799&lt;&gt;"",IF(OR(VLOOKUP(C799,$C$3:$L$6,5,0)=Variables!$B$5,B799&gt;VLOOKUP(C799,$C$3:$L$6,8,0)),-D799*VLOOKUP(C799,$C$3:$L$6,6,0)/12,0),"")</f>
        <v/>
      </c>
      <c r="G799" s="29" t="str">
        <f ca="1">IF(I799&lt;&gt;Variables!$B$1,IF(C799&lt;&gt;"",$I$9-E799-F799,""),-D799)</f>
        <v/>
      </c>
      <c r="H799" s="29" t="str">
        <f t="shared" ca="1" si="76"/>
        <v/>
      </c>
      <c r="I799" s="31" t="str">
        <f ca="1">IF(C799&lt;&gt;"",IF(D799+$I$9-E799-F799&gt;=0,IF(ISERROR(INDEX($C$3:$C$6,MATCH(C799,$C$3:$C$6,0)+1,0)),Variables!$B$1,INDEX($C$3:$C$6,MATCH(C799,$C$3:$C$6,0)+1,0)),""),"")</f>
        <v/>
      </c>
      <c r="J799" s="29" t="str">
        <f ca="1">IF(ISERROR(VLOOKUP(I799,$C$3:$L$6,5,0)),"",IF(OR(VLOOKUP(I799,$C$3:$L$6,5,0)=Variables!$B$5,B799&gt;VLOOKUP(I799,$C$3:$L$6,8,0)),IF(VLOOKUP(I799,$C$3:$L$6,5,0)=Variables!$B$5,((YEAR(B799)-YEAR($B$12))*12+MONTH(B799)-MONTH($B$12)),((YEAR(B799)-YEAR(VLOOKUP(I799,$C$3:$L$6,8,0)))*12+MONTH(B799)-MONTH(VLOOKUP(I799,$C$3:$L$6,8,0))))*(VLOOKUP(I799,$C$3:$L$6,10,0)*VLOOKUP(I799,$C$3:$L$6,6,0)/12),0))</f>
        <v/>
      </c>
      <c r="K799" s="29" t="str">
        <f ca="1">IF(C799&lt;&gt;"",IF(I799&lt;&gt;"",IF(ISERROR(VLOOKUP(I799,$C$3:$L$6,10,0)),"",VLOOKUP(I799,$C$3:$L$6,10,0)+J799+IF(OR(VLOOKUP(I799,$C$3:$L$6,5,0)=Variables!$B$5,B799&gt;VLOOKUP(I799,$C$3:$L$6,8,0)),IF(VLOOKUP(I799,$C$3:$L$6,5,0)=Variables!$B$5,((YEAR(B799)-YEAR($B$12))*12+MONTH(B799)-MONTH($B$12)),((YEAR(B799)-YEAR(VLOOKUP(I799,$C$3:$L$6,8,0)))*12+MONTH(B799)-MONTH(VLOOKUP(I799,$C$3:$L$6,8,0))))*VLOOKUP(I799,$C$3:$L$6,7,0),0)),""),"")</f>
        <v/>
      </c>
      <c r="L799" s="29" t="str">
        <f t="shared" ca="1" si="74"/>
        <v/>
      </c>
      <c r="M799" s="10"/>
      <c r="N799" s="10"/>
    </row>
    <row r="800" spans="1:14" x14ac:dyDescent="0.25">
      <c r="A800" s="10"/>
      <c r="B800" s="14" t="str">
        <f t="shared" ca="1" si="75"/>
        <v/>
      </c>
      <c r="C800" s="14" t="str">
        <f ca="1">IF(I799&lt;&gt;Variables!$B$1,IF(H799&lt;&gt;0,C799,I799),"")</f>
        <v/>
      </c>
      <c r="D800" s="29" t="str">
        <f t="shared" ca="1" si="72"/>
        <v/>
      </c>
      <c r="E800" s="29" t="str">
        <f t="shared" ca="1" si="73"/>
        <v/>
      </c>
      <c r="F800" s="29" t="str">
        <f ca="1">IF(C800&lt;&gt;"",IF(OR(VLOOKUP(C800,$C$3:$L$6,5,0)=Variables!$B$5,B800&gt;VLOOKUP(C800,$C$3:$L$6,8,0)),-D800*VLOOKUP(C800,$C$3:$L$6,6,0)/12,0),"")</f>
        <v/>
      </c>
      <c r="G800" s="29" t="str">
        <f ca="1">IF(I800&lt;&gt;Variables!$B$1,IF(C800&lt;&gt;"",$I$9-E800-F800,""),-D800)</f>
        <v/>
      </c>
      <c r="H800" s="29" t="str">
        <f t="shared" ca="1" si="76"/>
        <v/>
      </c>
      <c r="I800" s="31" t="str">
        <f ca="1">IF(C800&lt;&gt;"",IF(D800+$I$9-E800-F800&gt;=0,IF(ISERROR(INDEX($C$3:$C$6,MATCH(C800,$C$3:$C$6,0)+1,0)),Variables!$B$1,INDEX($C$3:$C$6,MATCH(C800,$C$3:$C$6,0)+1,0)),""),"")</f>
        <v/>
      </c>
      <c r="J800" s="29" t="str">
        <f ca="1">IF(ISERROR(VLOOKUP(I800,$C$3:$L$6,5,0)),"",IF(OR(VLOOKUP(I800,$C$3:$L$6,5,0)=Variables!$B$5,B800&gt;VLOOKUP(I800,$C$3:$L$6,8,0)),IF(VLOOKUP(I800,$C$3:$L$6,5,0)=Variables!$B$5,((YEAR(B800)-YEAR($B$12))*12+MONTH(B800)-MONTH($B$12)),((YEAR(B800)-YEAR(VLOOKUP(I800,$C$3:$L$6,8,0)))*12+MONTH(B800)-MONTH(VLOOKUP(I800,$C$3:$L$6,8,0))))*(VLOOKUP(I800,$C$3:$L$6,10,0)*VLOOKUP(I800,$C$3:$L$6,6,0)/12),0))</f>
        <v/>
      </c>
      <c r="K800" s="29" t="str">
        <f ca="1">IF(C800&lt;&gt;"",IF(I800&lt;&gt;"",IF(ISERROR(VLOOKUP(I800,$C$3:$L$6,10,0)),"",VLOOKUP(I800,$C$3:$L$6,10,0)+J800+IF(OR(VLOOKUP(I800,$C$3:$L$6,5,0)=Variables!$B$5,B800&gt;VLOOKUP(I800,$C$3:$L$6,8,0)),IF(VLOOKUP(I800,$C$3:$L$6,5,0)=Variables!$B$5,((YEAR(B800)-YEAR($B$12))*12+MONTH(B800)-MONTH($B$12)),((YEAR(B800)-YEAR(VLOOKUP(I800,$C$3:$L$6,8,0)))*12+MONTH(B800)-MONTH(VLOOKUP(I800,$C$3:$L$6,8,0))))*VLOOKUP(I800,$C$3:$L$6,7,0),0)),""),"")</f>
        <v/>
      </c>
      <c r="L800" s="29" t="str">
        <f t="shared" ca="1" si="74"/>
        <v/>
      </c>
      <c r="M800" s="10"/>
      <c r="N800" s="10"/>
    </row>
    <row r="801" spans="1:14" x14ac:dyDescent="0.25">
      <c r="A801" s="10"/>
      <c r="B801" s="14" t="str">
        <f t="shared" ca="1" si="75"/>
        <v/>
      </c>
      <c r="C801" s="14" t="str">
        <f ca="1">IF(I800&lt;&gt;Variables!$B$1,IF(H800&lt;&gt;0,C800,I800),"")</f>
        <v/>
      </c>
      <c r="D801" s="29" t="str">
        <f t="shared" ca="1" si="72"/>
        <v/>
      </c>
      <c r="E801" s="29" t="str">
        <f t="shared" ca="1" si="73"/>
        <v/>
      </c>
      <c r="F801" s="29" t="str">
        <f ca="1">IF(C801&lt;&gt;"",IF(OR(VLOOKUP(C801,$C$3:$L$6,5,0)=Variables!$B$5,B801&gt;VLOOKUP(C801,$C$3:$L$6,8,0)),-D801*VLOOKUP(C801,$C$3:$L$6,6,0)/12,0),"")</f>
        <v/>
      </c>
      <c r="G801" s="29" t="str">
        <f ca="1">IF(I801&lt;&gt;Variables!$B$1,IF(C801&lt;&gt;"",$I$9-E801-F801,""),-D801)</f>
        <v/>
      </c>
      <c r="H801" s="29" t="str">
        <f t="shared" ca="1" si="76"/>
        <v/>
      </c>
      <c r="I801" s="31" t="str">
        <f ca="1">IF(C801&lt;&gt;"",IF(D801+$I$9-E801-F801&gt;=0,IF(ISERROR(INDEX($C$3:$C$6,MATCH(C801,$C$3:$C$6,0)+1,0)),Variables!$B$1,INDEX($C$3:$C$6,MATCH(C801,$C$3:$C$6,0)+1,0)),""),"")</f>
        <v/>
      </c>
      <c r="J801" s="29" t="str">
        <f ca="1">IF(ISERROR(VLOOKUP(I801,$C$3:$L$6,5,0)),"",IF(OR(VLOOKUP(I801,$C$3:$L$6,5,0)=Variables!$B$5,B801&gt;VLOOKUP(I801,$C$3:$L$6,8,0)),IF(VLOOKUP(I801,$C$3:$L$6,5,0)=Variables!$B$5,((YEAR(B801)-YEAR($B$12))*12+MONTH(B801)-MONTH($B$12)),((YEAR(B801)-YEAR(VLOOKUP(I801,$C$3:$L$6,8,0)))*12+MONTH(B801)-MONTH(VLOOKUP(I801,$C$3:$L$6,8,0))))*(VLOOKUP(I801,$C$3:$L$6,10,0)*VLOOKUP(I801,$C$3:$L$6,6,0)/12),0))</f>
        <v/>
      </c>
      <c r="K801" s="29" t="str">
        <f ca="1">IF(C801&lt;&gt;"",IF(I801&lt;&gt;"",IF(ISERROR(VLOOKUP(I801,$C$3:$L$6,10,0)),"",VLOOKUP(I801,$C$3:$L$6,10,0)+J801+IF(OR(VLOOKUP(I801,$C$3:$L$6,5,0)=Variables!$B$5,B801&gt;VLOOKUP(I801,$C$3:$L$6,8,0)),IF(VLOOKUP(I801,$C$3:$L$6,5,0)=Variables!$B$5,((YEAR(B801)-YEAR($B$12))*12+MONTH(B801)-MONTH($B$12)),((YEAR(B801)-YEAR(VLOOKUP(I801,$C$3:$L$6,8,0)))*12+MONTH(B801)-MONTH(VLOOKUP(I801,$C$3:$L$6,8,0))))*VLOOKUP(I801,$C$3:$L$6,7,0),0)),""),"")</f>
        <v/>
      </c>
      <c r="L801" s="29" t="str">
        <f t="shared" ca="1" si="74"/>
        <v/>
      </c>
      <c r="M801" s="10"/>
      <c r="N801" s="10"/>
    </row>
    <row r="802" spans="1:14" x14ac:dyDescent="0.25">
      <c r="A802" s="10"/>
      <c r="B802" s="14" t="str">
        <f t="shared" ca="1" si="75"/>
        <v/>
      </c>
      <c r="C802" s="14" t="str">
        <f ca="1">IF(I801&lt;&gt;Variables!$B$1,IF(H801&lt;&gt;0,C801,I801),"")</f>
        <v/>
      </c>
      <c r="D802" s="29" t="str">
        <f t="shared" ca="1" si="72"/>
        <v/>
      </c>
      <c r="E802" s="29" t="str">
        <f t="shared" ca="1" si="73"/>
        <v/>
      </c>
      <c r="F802" s="29" t="str">
        <f ca="1">IF(C802&lt;&gt;"",IF(OR(VLOOKUP(C802,$C$3:$L$6,5,0)=Variables!$B$5,B802&gt;VLOOKUP(C802,$C$3:$L$6,8,0)),-D802*VLOOKUP(C802,$C$3:$L$6,6,0)/12,0),"")</f>
        <v/>
      </c>
      <c r="G802" s="29" t="str">
        <f ca="1">IF(I802&lt;&gt;Variables!$B$1,IF(C802&lt;&gt;"",$I$9-E802-F802,""),-D802)</f>
        <v/>
      </c>
      <c r="H802" s="29" t="str">
        <f t="shared" ca="1" si="76"/>
        <v/>
      </c>
      <c r="I802" s="31" t="str">
        <f ca="1">IF(C802&lt;&gt;"",IF(D802+$I$9-E802-F802&gt;=0,IF(ISERROR(INDEX($C$3:$C$6,MATCH(C802,$C$3:$C$6,0)+1,0)),Variables!$B$1,INDEX($C$3:$C$6,MATCH(C802,$C$3:$C$6,0)+1,0)),""),"")</f>
        <v/>
      </c>
      <c r="J802" s="29" t="str">
        <f ca="1">IF(ISERROR(VLOOKUP(I802,$C$3:$L$6,5,0)),"",IF(OR(VLOOKUP(I802,$C$3:$L$6,5,0)=Variables!$B$5,B802&gt;VLOOKUP(I802,$C$3:$L$6,8,0)),IF(VLOOKUP(I802,$C$3:$L$6,5,0)=Variables!$B$5,((YEAR(B802)-YEAR($B$12))*12+MONTH(B802)-MONTH($B$12)),((YEAR(B802)-YEAR(VLOOKUP(I802,$C$3:$L$6,8,0)))*12+MONTH(B802)-MONTH(VLOOKUP(I802,$C$3:$L$6,8,0))))*(VLOOKUP(I802,$C$3:$L$6,10,0)*VLOOKUP(I802,$C$3:$L$6,6,0)/12),0))</f>
        <v/>
      </c>
      <c r="K802" s="29" t="str">
        <f ca="1">IF(C802&lt;&gt;"",IF(I802&lt;&gt;"",IF(ISERROR(VLOOKUP(I802,$C$3:$L$6,10,0)),"",VLOOKUP(I802,$C$3:$L$6,10,0)+J802+IF(OR(VLOOKUP(I802,$C$3:$L$6,5,0)=Variables!$B$5,B802&gt;VLOOKUP(I802,$C$3:$L$6,8,0)),IF(VLOOKUP(I802,$C$3:$L$6,5,0)=Variables!$B$5,((YEAR(B802)-YEAR($B$12))*12+MONTH(B802)-MONTH($B$12)),((YEAR(B802)-YEAR(VLOOKUP(I802,$C$3:$L$6,8,0)))*12+MONTH(B802)-MONTH(VLOOKUP(I802,$C$3:$L$6,8,0))))*VLOOKUP(I802,$C$3:$L$6,7,0),0)),""),"")</f>
        <v/>
      </c>
      <c r="L802" s="29" t="str">
        <f t="shared" ca="1" si="74"/>
        <v/>
      </c>
      <c r="M802" s="10"/>
      <c r="N802" s="10"/>
    </row>
    <row r="803" spans="1:14" x14ac:dyDescent="0.25">
      <c r="A803" s="10"/>
      <c r="B803" s="14" t="str">
        <f t="shared" ca="1" si="75"/>
        <v/>
      </c>
      <c r="C803" s="14" t="str">
        <f ca="1">IF(I802&lt;&gt;Variables!$B$1,IF(H802&lt;&gt;0,C802,I802),"")</f>
        <v/>
      </c>
      <c r="D803" s="29" t="str">
        <f t="shared" ca="1" si="72"/>
        <v/>
      </c>
      <c r="E803" s="29" t="str">
        <f t="shared" ca="1" si="73"/>
        <v/>
      </c>
      <c r="F803" s="29" t="str">
        <f ca="1">IF(C803&lt;&gt;"",IF(OR(VLOOKUP(C803,$C$3:$L$6,5,0)=Variables!$B$5,B803&gt;VLOOKUP(C803,$C$3:$L$6,8,0)),-D803*VLOOKUP(C803,$C$3:$L$6,6,0)/12,0),"")</f>
        <v/>
      </c>
      <c r="G803" s="29" t="str">
        <f ca="1">IF(I803&lt;&gt;Variables!$B$1,IF(C803&lt;&gt;"",$I$9-E803-F803,""),-D803)</f>
        <v/>
      </c>
      <c r="H803" s="29" t="str">
        <f t="shared" ca="1" si="76"/>
        <v/>
      </c>
      <c r="I803" s="31" t="str">
        <f ca="1">IF(C803&lt;&gt;"",IF(D803+$I$9-E803-F803&gt;=0,IF(ISERROR(INDEX($C$3:$C$6,MATCH(C803,$C$3:$C$6,0)+1,0)),Variables!$B$1,INDEX($C$3:$C$6,MATCH(C803,$C$3:$C$6,0)+1,0)),""),"")</f>
        <v/>
      </c>
      <c r="J803" s="29" t="str">
        <f ca="1">IF(ISERROR(VLOOKUP(I803,$C$3:$L$6,5,0)),"",IF(OR(VLOOKUP(I803,$C$3:$L$6,5,0)=Variables!$B$5,B803&gt;VLOOKUP(I803,$C$3:$L$6,8,0)),IF(VLOOKUP(I803,$C$3:$L$6,5,0)=Variables!$B$5,((YEAR(B803)-YEAR($B$12))*12+MONTH(B803)-MONTH($B$12)),((YEAR(B803)-YEAR(VLOOKUP(I803,$C$3:$L$6,8,0)))*12+MONTH(B803)-MONTH(VLOOKUP(I803,$C$3:$L$6,8,0))))*(VLOOKUP(I803,$C$3:$L$6,10,0)*VLOOKUP(I803,$C$3:$L$6,6,0)/12),0))</f>
        <v/>
      </c>
      <c r="K803" s="29" t="str">
        <f ca="1">IF(C803&lt;&gt;"",IF(I803&lt;&gt;"",IF(ISERROR(VLOOKUP(I803,$C$3:$L$6,10,0)),"",VLOOKUP(I803,$C$3:$L$6,10,0)+J803+IF(OR(VLOOKUP(I803,$C$3:$L$6,5,0)=Variables!$B$5,B803&gt;VLOOKUP(I803,$C$3:$L$6,8,0)),IF(VLOOKUP(I803,$C$3:$L$6,5,0)=Variables!$B$5,((YEAR(B803)-YEAR($B$12))*12+MONTH(B803)-MONTH($B$12)),((YEAR(B803)-YEAR(VLOOKUP(I803,$C$3:$L$6,8,0)))*12+MONTH(B803)-MONTH(VLOOKUP(I803,$C$3:$L$6,8,0))))*VLOOKUP(I803,$C$3:$L$6,7,0),0)),""),"")</f>
        <v/>
      </c>
      <c r="L803" s="29" t="str">
        <f t="shared" ca="1" si="74"/>
        <v/>
      </c>
      <c r="M803" s="10"/>
      <c r="N803" s="10"/>
    </row>
    <row r="804" spans="1:14" x14ac:dyDescent="0.25">
      <c r="A804" s="10"/>
      <c r="B804" s="14" t="str">
        <f t="shared" ca="1" si="75"/>
        <v/>
      </c>
      <c r="C804" s="14" t="str">
        <f ca="1">IF(I803&lt;&gt;Variables!$B$1,IF(H803&lt;&gt;0,C803,I803),"")</f>
        <v/>
      </c>
      <c r="D804" s="29" t="str">
        <f t="shared" ca="1" si="72"/>
        <v/>
      </c>
      <c r="E804" s="29" t="str">
        <f t="shared" ca="1" si="73"/>
        <v/>
      </c>
      <c r="F804" s="29" t="str">
        <f ca="1">IF(C804&lt;&gt;"",IF(OR(VLOOKUP(C804,$C$3:$L$6,5,0)=Variables!$B$5,B804&gt;VLOOKUP(C804,$C$3:$L$6,8,0)),-D804*VLOOKUP(C804,$C$3:$L$6,6,0)/12,0),"")</f>
        <v/>
      </c>
      <c r="G804" s="29" t="str">
        <f ca="1">IF(I804&lt;&gt;Variables!$B$1,IF(C804&lt;&gt;"",$I$9-E804-F804,""),-D804)</f>
        <v/>
      </c>
      <c r="H804" s="29" t="str">
        <f t="shared" ca="1" si="76"/>
        <v/>
      </c>
      <c r="I804" s="31" t="str">
        <f ca="1">IF(C804&lt;&gt;"",IF(D804+$I$9-E804-F804&gt;=0,IF(ISERROR(INDEX($C$3:$C$6,MATCH(C804,$C$3:$C$6,0)+1,0)),Variables!$B$1,INDEX($C$3:$C$6,MATCH(C804,$C$3:$C$6,0)+1,0)),""),"")</f>
        <v/>
      </c>
      <c r="J804" s="29" t="str">
        <f ca="1">IF(ISERROR(VLOOKUP(I804,$C$3:$L$6,5,0)),"",IF(OR(VLOOKUP(I804,$C$3:$L$6,5,0)=Variables!$B$5,B804&gt;VLOOKUP(I804,$C$3:$L$6,8,0)),IF(VLOOKUP(I804,$C$3:$L$6,5,0)=Variables!$B$5,((YEAR(B804)-YEAR($B$12))*12+MONTH(B804)-MONTH($B$12)),((YEAR(B804)-YEAR(VLOOKUP(I804,$C$3:$L$6,8,0)))*12+MONTH(B804)-MONTH(VLOOKUP(I804,$C$3:$L$6,8,0))))*(VLOOKUP(I804,$C$3:$L$6,10,0)*VLOOKUP(I804,$C$3:$L$6,6,0)/12),0))</f>
        <v/>
      </c>
      <c r="K804" s="29" t="str">
        <f ca="1">IF(C804&lt;&gt;"",IF(I804&lt;&gt;"",IF(ISERROR(VLOOKUP(I804,$C$3:$L$6,10,0)),"",VLOOKUP(I804,$C$3:$L$6,10,0)+J804+IF(OR(VLOOKUP(I804,$C$3:$L$6,5,0)=Variables!$B$5,B804&gt;VLOOKUP(I804,$C$3:$L$6,8,0)),IF(VLOOKUP(I804,$C$3:$L$6,5,0)=Variables!$B$5,((YEAR(B804)-YEAR($B$12))*12+MONTH(B804)-MONTH($B$12)),((YEAR(B804)-YEAR(VLOOKUP(I804,$C$3:$L$6,8,0)))*12+MONTH(B804)-MONTH(VLOOKUP(I804,$C$3:$L$6,8,0))))*VLOOKUP(I804,$C$3:$L$6,7,0),0)),""),"")</f>
        <v/>
      </c>
      <c r="L804" s="29" t="str">
        <f t="shared" ca="1" si="74"/>
        <v/>
      </c>
      <c r="M804" s="10"/>
      <c r="N804" s="10"/>
    </row>
    <row r="805" spans="1:14" x14ac:dyDescent="0.25">
      <c r="A805" s="10"/>
      <c r="B805" s="14" t="str">
        <f t="shared" ca="1" si="75"/>
        <v/>
      </c>
      <c r="C805" s="14" t="str">
        <f ca="1">IF(I804&lt;&gt;Variables!$B$1,IF(H804&lt;&gt;0,C804,I804),"")</f>
        <v/>
      </c>
      <c r="D805" s="29" t="str">
        <f t="shared" ca="1" si="72"/>
        <v/>
      </c>
      <c r="E805" s="29" t="str">
        <f t="shared" ca="1" si="73"/>
        <v/>
      </c>
      <c r="F805" s="29" t="str">
        <f ca="1">IF(C805&lt;&gt;"",IF(OR(VLOOKUP(C805,$C$3:$L$6,5,0)=Variables!$B$5,B805&gt;VLOOKUP(C805,$C$3:$L$6,8,0)),-D805*VLOOKUP(C805,$C$3:$L$6,6,0)/12,0),"")</f>
        <v/>
      </c>
      <c r="G805" s="29" t="str">
        <f ca="1">IF(I805&lt;&gt;Variables!$B$1,IF(C805&lt;&gt;"",$I$9-E805-F805,""),-D805)</f>
        <v/>
      </c>
      <c r="H805" s="29" t="str">
        <f t="shared" ca="1" si="76"/>
        <v/>
      </c>
      <c r="I805" s="31" t="str">
        <f ca="1">IF(C805&lt;&gt;"",IF(D805+$I$9-E805-F805&gt;=0,IF(ISERROR(INDEX($C$3:$C$6,MATCH(C805,$C$3:$C$6,0)+1,0)),Variables!$B$1,INDEX($C$3:$C$6,MATCH(C805,$C$3:$C$6,0)+1,0)),""),"")</f>
        <v/>
      </c>
      <c r="J805" s="29" t="str">
        <f ca="1">IF(ISERROR(VLOOKUP(I805,$C$3:$L$6,5,0)),"",IF(OR(VLOOKUP(I805,$C$3:$L$6,5,0)=Variables!$B$5,B805&gt;VLOOKUP(I805,$C$3:$L$6,8,0)),IF(VLOOKUP(I805,$C$3:$L$6,5,0)=Variables!$B$5,((YEAR(B805)-YEAR($B$12))*12+MONTH(B805)-MONTH($B$12)),((YEAR(B805)-YEAR(VLOOKUP(I805,$C$3:$L$6,8,0)))*12+MONTH(B805)-MONTH(VLOOKUP(I805,$C$3:$L$6,8,0))))*(VLOOKUP(I805,$C$3:$L$6,10,0)*VLOOKUP(I805,$C$3:$L$6,6,0)/12),0))</f>
        <v/>
      </c>
      <c r="K805" s="29" t="str">
        <f ca="1">IF(C805&lt;&gt;"",IF(I805&lt;&gt;"",IF(ISERROR(VLOOKUP(I805,$C$3:$L$6,10,0)),"",VLOOKUP(I805,$C$3:$L$6,10,0)+J805+IF(OR(VLOOKUP(I805,$C$3:$L$6,5,0)=Variables!$B$5,B805&gt;VLOOKUP(I805,$C$3:$L$6,8,0)),IF(VLOOKUP(I805,$C$3:$L$6,5,0)=Variables!$B$5,((YEAR(B805)-YEAR($B$12))*12+MONTH(B805)-MONTH($B$12)),((YEAR(B805)-YEAR(VLOOKUP(I805,$C$3:$L$6,8,0)))*12+MONTH(B805)-MONTH(VLOOKUP(I805,$C$3:$L$6,8,0))))*VLOOKUP(I805,$C$3:$L$6,7,0),0)),""),"")</f>
        <v/>
      </c>
      <c r="L805" s="29" t="str">
        <f t="shared" ca="1" si="74"/>
        <v/>
      </c>
      <c r="M805" s="10"/>
      <c r="N805" s="10"/>
    </row>
    <row r="806" spans="1:14" x14ac:dyDescent="0.25">
      <c r="A806" s="10"/>
      <c r="B806" s="14" t="str">
        <f t="shared" ca="1" si="75"/>
        <v/>
      </c>
      <c r="C806" s="14" t="str">
        <f ca="1">IF(I805&lt;&gt;Variables!$B$1,IF(H805&lt;&gt;0,C805,I805),"")</f>
        <v/>
      </c>
      <c r="D806" s="29" t="str">
        <f t="shared" ca="1" si="72"/>
        <v/>
      </c>
      <c r="E806" s="29" t="str">
        <f t="shared" ca="1" si="73"/>
        <v/>
      </c>
      <c r="F806" s="29" t="str">
        <f ca="1">IF(C806&lt;&gt;"",IF(OR(VLOOKUP(C806,$C$3:$L$6,5,0)=Variables!$B$5,B806&gt;VLOOKUP(C806,$C$3:$L$6,8,0)),-D806*VLOOKUP(C806,$C$3:$L$6,6,0)/12,0),"")</f>
        <v/>
      </c>
      <c r="G806" s="29" t="str">
        <f ca="1">IF(I806&lt;&gt;Variables!$B$1,IF(C806&lt;&gt;"",$I$9-E806-F806,""),-D806)</f>
        <v/>
      </c>
      <c r="H806" s="29" t="str">
        <f t="shared" ca="1" si="76"/>
        <v/>
      </c>
      <c r="I806" s="31" t="str">
        <f ca="1">IF(C806&lt;&gt;"",IF(D806+$I$9-E806-F806&gt;=0,IF(ISERROR(INDEX($C$3:$C$6,MATCH(C806,$C$3:$C$6,0)+1,0)),Variables!$B$1,INDEX($C$3:$C$6,MATCH(C806,$C$3:$C$6,0)+1,0)),""),"")</f>
        <v/>
      </c>
      <c r="J806" s="29" t="str">
        <f ca="1">IF(ISERROR(VLOOKUP(I806,$C$3:$L$6,5,0)),"",IF(OR(VLOOKUP(I806,$C$3:$L$6,5,0)=Variables!$B$5,B806&gt;VLOOKUP(I806,$C$3:$L$6,8,0)),IF(VLOOKUP(I806,$C$3:$L$6,5,0)=Variables!$B$5,((YEAR(B806)-YEAR($B$12))*12+MONTH(B806)-MONTH($B$12)),((YEAR(B806)-YEAR(VLOOKUP(I806,$C$3:$L$6,8,0)))*12+MONTH(B806)-MONTH(VLOOKUP(I806,$C$3:$L$6,8,0))))*(VLOOKUP(I806,$C$3:$L$6,10,0)*VLOOKUP(I806,$C$3:$L$6,6,0)/12),0))</f>
        <v/>
      </c>
      <c r="K806" s="29" t="str">
        <f ca="1">IF(C806&lt;&gt;"",IF(I806&lt;&gt;"",IF(ISERROR(VLOOKUP(I806,$C$3:$L$6,10,0)),"",VLOOKUP(I806,$C$3:$L$6,10,0)+J806+IF(OR(VLOOKUP(I806,$C$3:$L$6,5,0)=Variables!$B$5,B806&gt;VLOOKUP(I806,$C$3:$L$6,8,0)),IF(VLOOKUP(I806,$C$3:$L$6,5,0)=Variables!$B$5,((YEAR(B806)-YEAR($B$12))*12+MONTH(B806)-MONTH($B$12)),((YEAR(B806)-YEAR(VLOOKUP(I806,$C$3:$L$6,8,0)))*12+MONTH(B806)-MONTH(VLOOKUP(I806,$C$3:$L$6,8,0))))*VLOOKUP(I806,$C$3:$L$6,7,0),0)),""),"")</f>
        <v/>
      </c>
      <c r="L806" s="29" t="str">
        <f t="shared" ca="1" si="74"/>
        <v/>
      </c>
      <c r="M806" s="10"/>
      <c r="N806" s="10"/>
    </row>
    <row r="807" spans="1:14" x14ac:dyDescent="0.25">
      <c r="A807" s="10"/>
      <c r="B807" s="14" t="str">
        <f t="shared" ca="1" si="75"/>
        <v/>
      </c>
      <c r="C807" s="14" t="str">
        <f ca="1">IF(I806&lt;&gt;Variables!$B$1,IF(H806&lt;&gt;0,C806,I806),"")</f>
        <v/>
      </c>
      <c r="D807" s="29" t="str">
        <f t="shared" ca="1" si="72"/>
        <v/>
      </c>
      <c r="E807" s="29" t="str">
        <f t="shared" ca="1" si="73"/>
        <v/>
      </c>
      <c r="F807" s="29" t="str">
        <f ca="1">IF(C807&lt;&gt;"",IF(OR(VLOOKUP(C807,$C$3:$L$6,5,0)=Variables!$B$5,B807&gt;VLOOKUP(C807,$C$3:$L$6,8,0)),-D807*VLOOKUP(C807,$C$3:$L$6,6,0)/12,0),"")</f>
        <v/>
      </c>
      <c r="G807" s="29" t="str">
        <f ca="1">IF(I807&lt;&gt;Variables!$B$1,IF(C807&lt;&gt;"",$I$9-E807-F807,""),-D807)</f>
        <v/>
      </c>
      <c r="H807" s="29" t="str">
        <f t="shared" ca="1" si="76"/>
        <v/>
      </c>
      <c r="I807" s="31" t="str">
        <f ca="1">IF(C807&lt;&gt;"",IF(D807+$I$9-E807-F807&gt;=0,IF(ISERROR(INDEX($C$3:$C$6,MATCH(C807,$C$3:$C$6,0)+1,0)),Variables!$B$1,INDEX($C$3:$C$6,MATCH(C807,$C$3:$C$6,0)+1,0)),""),"")</f>
        <v/>
      </c>
      <c r="J807" s="29" t="str">
        <f ca="1">IF(ISERROR(VLOOKUP(I807,$C$3:$L$6,5,0)),"",IF(OR(VLOOKUP(I807,$C$3:$L$6,5,0)=Variables!$B$5,B807&gt;VLOOKUP(I807,$C$3:$L$6,8,0)),IF(VLOOKUP(I807,$C$3:$L$6,5,0)=Variables!$B$5,((YEAR(B807)-YEAR($B$12))*12+MONTH(B807)-MONTH($B$12)),((YEAR(B807)-YEAR(VLOOKUP(I807,$C$3:$L$6,8,0)))*12+MONTH(B807)-MONTH(VLOOKUP(I807,$C$3:$L$6,8,0))))*(VLOOKUP(I807,$C$3:$L$6,10,0)*VLOOKUP(I807,$C$3:$L$6,6,0)/12),0))</f>
        <v/>
      </c>
      <c r="K807" s="29" t="str">
        <f ca="1">IF(C807&lt;&gt;"",IF(I807&lt;&gt;"",IF(ISERROR(VLOOKUP(I807,$C$3:$L$6,10,0)),"",VLOOKUP(I807,$C$3:$L$6,10,0)+J807+IF(OR(VLOOKUP(I807,$C$3:$L$6,5,0)=Variables!$B$5,B807&gt;VLOOKUP(I807,$C$3:$L$6,8,0)),IF(VLOOKUP(I807,$C$3:$L$6,5,0)=Variables!$B$5,((YEAR(B807)-YEAR($B$12))*12+MONTH(B807)-MONTH($B$12)),((YEAR(B807)-YEAR(VLOOKUP(I807,$C$3:$L$6,8,0)))*12+MONTH(B807)-MONTH(VLOOKUP(I807,$C$3:$L$6,8,0))))*VLOOKUP(I807,$C$3:$L$6,7,0),0)),""),"")</f>
        <v/>
      </c>
      <c r="L807" s="29" t="str">
        <f t="shared" ca="1" si="74"/>
        <v/>
      </c>
      <c r="M807" s="10"/>
      <c r="N807" s="10"/>
    </row>
    <row r="808" spans="1:14" x14ac:dyDescent="0.25">
      <c r="A808" s="10"/>
      <c r="B808" s="14" t="str">
        <f t="shared" ca="1" si="75"/>
        <v/>
      </c>
      <c r="C808" s="14" t="str">
        <f ca="1">IF(I807&lt;&gt;Variables!$B$1,IF(H807&lt;&gt;0,C807,I807),"")</f>
        <v/>
      </c>
      <c r="D808" s="29" t="str">
        <f t="shared" ca="1" si="72"/>
        <v/>
      </c>
      <c r="E808" s="29" t="str">
        <f t="shared" ca="1" si="73"/>
        <v/>
      </c>
      <c r="F808" s="29" t="str">
        <f ca="1">IF(C808&lt;&gt;"",IF(OR(VLOOKUP(C808,$C$3:$L$6,5,0)=Variables!$B$5,B808&gt;VLOOKUP(C808,$C$3:$L$6,8,0)),-D808*VLOOKUP(C808,$C$3:$L$6,6,0)/12,0),"")</f>
        <v/>
      </c>
      <c r="G808" s="29" t="str">
        <f ca="1">IF(I808&lt;&gt;Variables!$B$1,IF(C808&lt;&gt;"",$I$9-E808-F808,""),-D808)</f>
        <v/>
      </c>
      <c r="H808" s="29" t="str">
        <f t="shared" ca="1" si="76"/>
        <v/>
      </c>
      <c r="I808" s="31" t="str">
        <f ca="1">IF(C808&lt;&gt;"",IF(D808+$I$9-E808-F808&gt;=0,IF(ISERROR(INDEX($C$3:$C$6,MATCH(C808,$C$3:$C$6,0)+1,0)),Variables!$B$1,INDEX($C$3:$C$6,MATCH(C808,$C$3:$C$6,0)+1,0)),""),"")</f>
        <v/>
      </c>
      <c r="J808" s="29" t="str">
        <f ca="1">IF(ISERROR(VLOOKUP(I808,$C$3:$L$6,5,0)),"",IF(OR(VLOOKUP(I808,$C$3:$L$6,5,0)=Variables!$B$5,B808&gt;VLOOKUP(I808,$C$3:$L$6,8,0)),IF(VLOOKUP(I808,$C$3:$L$6,5,0)=Variables!$B$5,((YEAR(B808)-YEAR($B$12))*12+MONTH(B808)-MONTH($B$12)),((YEAR(B808)-YEAR(VLOOKUP(I808,$C$3:$L$6,8,0)))*12+MONTH(B808)-MONTH(VLOOKUP(I808,$C$3:$L$6,8,0))))*(VLOOKUP(I808,$C$3:$L$6,10,0)*VLOOKUP(I808,$C$3:$L$6,6,0)/12),0))</f>
        <v/>
      </c>
      <c r="K808" s="29" t="str">
        <f ca="1">IF(C808&lt;&gt;"",IF(I808&lt;&gt;"",IF(ISERROR(VLOOKUP(I808,$C$3:$L$6,10,0)),"",VLOOKUP(I808,$C$3:$L$6,10,0)+J808+IF(OR(VLOOKUP(I808,$C$3:$L$6,5,0)=Variables!$B$5,B808&gt;VLOOKUP(I808,$C$3:$L$6,8,0)),IF(VLOOKUP(I808,$C$3:$L$6,5,0)=Variables!$B$5,((YEAR(B808)-YEAR($B$12))*12+MONTH(B808)-MONTH($B$12)),((YEAR(B808)-YEAR(VLOOKUP(I808,$C$3:$L$6,8,0)))*12+MONTH(B808)-MONTH(VLOOKUP(I808,$C$3:$L$6,8,0))))*VLOOKUP(I808,$C$3:$L$6,7,0),0)),""),"")</f>
        <v/>
      </c>
      <c r="L808" s="29" t="str">
        <f t="shared" ca="1" si="74"/>
        <v/>
      </c>
      <c r="M808" s="10"/>
      <c r="N808" s="10"/>
    </row>
    <row r="809" spans="1:14" x14ac:dyDescent="0.25">
      <c r="A809" s="10"/>
      <c r="B809" s="14" t="str">
        <f t="shared" ca="1" si="75"/>
        <v/>
      </c>
      <c r="C809" s="14" t="str">
        <f ca="1">IF(I808&lt;&gt;Variables!$B$1,IF(H808&lt;&gt;0,C808,I808),"")</f>
        <v/>
      </c>
      <c r="D809" s="29" t="str">
        <f t="shared" ca="1" si="72"/>
        <v/>
      </c>
      <c r="E809" s="29" t="str">
        <f t="shared" ca="1" si="73"/>
        <v/>
      </c>
      <c r="F809" s="29" t="str">
        <f ca="1">IF(C809&lt;&gt;"",IF(OR(VLOOKUP(C809,$C$3:$L$6,5,0)=Variables!$B$5,B809&gt;VLOOKUP(C809,$C$3:$L$6,8,0)),-D809*VLOOKUP(C809,$C$3:$L$6,6,0)/12,0),"")</f>
        <v/>
      </c>
      <c r="G809" s="29" t="str">
        <f ca="1">IF(I809&lt;&gt;Variables!$B$1,IF(C809&lt;&gt;"",$I$9-E809-F809,""),-D809)</f>
        <v/>
      </c>
      <c r="H809" s="29" t="str">
        <f t="shared" ca="1" si="76"/>
        <v/>
      </c>
      <c r="I809" s="31" t="str">
        <f ca="1">IF(C809&lt;&gt;"",IF(D809+$I$9-E809-F809&gt;=0,IF(ISERROR(INDEX($C$3:$C$6,MATCH(C809,$C$3:$C$6,0)+1,0)),Variables!$B$1,INDEX($C$3:$C$6,MATCH(C809,$C$3:$C$6,0)+1,0)),""),"")</f>
        <v/>
      </c>
      <c r="J809" s="29" t="str">
        <f ca="1">IF(ISERROR(VLOOKUP(I809,$C$3:$L$6,5,0)),"",IF(OR(VLOOKUP(I809,$C$3:$L$6,5,0)=Variables!$B$5,B809&gt;VLOOKUP(I809,$C$3:$L$6,8,0)),IF(VLOOKUP(I809,$C$3:$L$6,5,0)=Variables!$B$5,((YEAR(B809)-YEAR($B$12))*12+MONTH(B809)-MONTH($B$12)),((YEAR(B809)-YEAR(VLOOKUP(I809,$C$3:$L$6,8,0)))*12+MONTH(B809)-MONTH(VLOOKUP(I809,$C$3:$L$6,8,0))))*(VLOOKUP(I809,$C$3:$L$6,10,0)*VLOOKUP(I809,$C$3:$L$6,6,0)/12),0))</f>
        <v/>
      </c>
      <c r="K809" s="29" t="str">
        <f ca="1">IF(C809&lt;&gt;"",IF(I809&lt;&gt;"",IF(ISERROR(VLOOKUP(I809,$C$3:$L$6,10,0)),"",VLOOKUP(I809,$C$3:$L$6,10,0)+J809+IF(OR(VLOOKUP(I809,$C$3:$L$6,5,0)=Variables!$B$5,B809&gt;VLOOKUP(I809,$C$3:$L$6,8,0)),IF(VLOOKUP(I809,$C$3:$L$6,5,0)=Variables!$B$5,((YEAR(B809)-YEAR($B$12))*12+MONTH(B809)-MONTH($B$12)),((YEAR(B809)-YEAR(VLOOKUP(I809,$C$3:$L$6,8,0)))*12+MONTH(B809)-MONTH(VLOOKUP(I809,$C$3:$L$6,8,0))))*VLOOKUP(I809,$C$3:$L$6,7,0),0)),""),"")</f>
        <v/>
      </c>
      <c r="L809" s="29" t="str">
        <f t="shared" ca="1" si="74"/>
        <v/>
      </c>
      <c r="M809" s="10"/>
      <c r="N809" s="10"/>
    </row>
    <row r="810" spans="1:14" x14ac:dyDescent="0.25">
      <c r="A810" s="10"/>
      <c r="B810" s="14" t="str">
        <f t="shared" ca="1" si="75"/>
        <v/>
      </c>
      <c r="C810" s="14" t="str">
        <f ca="1">IF(I809&lt;&gt;Variables!$B$1,IF(H809&lt;&gt;0,C809,I809),"")</f>
        <v/>
      </c>
      <c r="D810" s="29" t="str">
        <f t="shared" ca="1" si="72"/>
        <v/>
      </c>
      <c r="E810" s="29" t="str">
        <f t="shared" ca="1" si="73"/>
        <v/>
      </c>
      <c r="F810" s="29" t="str">
        <f ca="1">IF(C810&lt;&gt;"",IF(OR(VLOOKUP(C810,$C$3:$L$6,5,0)=Variables!$B$5,B810&gt;VLOOKUP(C810,$C$3:$L$6,8,0)),-D810*VLOOKUP(C810,$C$3:$L$6,6,0)/12,0),"")</f>
        <v/>
      </c>
      <c r="G810" s="29" t="str">
        <f ca="1">IF(I810&lt;&gt;Variables!$B$1,IF(C810&lt;&gt;"",$I$9-E810-F810,""),-D810)</f>
        <v/>
      </c>
      <c r="H810" s="29" t="str">
        <f t="shared" ca="1" si="76"/>
        <v/>
      </c>
      <c r="I810" s="31" t="str">
        <f ca="1">IF(C810&lt;&gt;"",IF(D810+$I$9-E810-F810&gt;=0,IF(ISERROR(INDEX($C$3:$C$6,MATCH(C810,$C$3:$C$6,0)+1,0)),Variables!$B$1,INDEX($C$3:$C$6,MATCH(C810,$C$3:$C$6,0)+1,0)),""),"")</f>
        <v/>
      </c>
      <c r="J810" s="29" t="str">
        <f ca="1">IF(ISERROR(VLOOKUP(I810,$C$3:$L$6,5,0)),"",IF(OR(VLOOKUP(I810,$C$3:$L$6,5,0)=Variables!$B$5,B810&gt;VLOOKUP(I810,$C$3:$L$6,8,0)),IF(VLOOKUP(I810,$C$3:$L$6,5,0)=Variables!$B$5,((YEAR(B810)-YEAR($B$12))*12+MONTH(B810)-MONTH($B$12)),((YEAR(B810)-YEAR(VLOOKUP(I810,$C$3:$L$6,8,0)))*12+MONTH(B810)-MONTH(VLOOKUP(I810,$C$3:$L$6,8,0))))*(VLOOKUP(I810,$C$3:$L$6,10,0)*VLOOKUP(I810,$C$3:$L$6,6,0)/12),0))</f>
        <v/>
      </c>
      <c r="K810" s="29" t="str">
        <f ca="1">IF(C810&lt;&gt;"",IF(I810&lt;&gt;"",IF(ISERROR(VLOOKUP(I810,$C$3:$L$6,10,0)),"",VLOOKUP(I810,$C$3:$L$6,10,0)+J810+IF(OR(VLOOKUP(I810,$C$3:$L$6,5,0)=Variables!$B$5,B810&gt;VLOOKUP(I810,$C$3:$L$6,8,0)),IF(VLOOKUP(I810,$C$3:$L$6,5,0)=Variables!$B$5,((YEAR(B810)-YEAR($B$12))*12+MONTH(B810)-MONTH($B$12)),((YEAR(B810)-YEAR(VLOOKUP(I810,$C$3:$L$6,8,0)))*12+MONTH(B810)-MONTH(VLOOKUP(I810,$C$3:$L$6,8,0))))*VLOOKUP(I810,$C$3:$L$6,7,0),0)),""),"")</f>
        <v/>
      </c>
      <c r="L810" s="29" t="str">
        <f t="shared" ca="1" si="74"/>
        <v/>
      </c>
      <c r="M810" s="10"/>
      <c r="N810" s="10"/>
    </row>
    <row r="811" spans="1:14" x14ac:dyDescent="0.25">
      <c r="A811" s="10"/>
      <c r="B811" s="14" t="str">
        <f t="shared" ca="1" si="75"/>
        <v/>
      </c>
      <c r="C811" s="14" t="str">
        <f ca="1">IF(I810&lt;&gt;Variables!$B$1,IF(H810&lt;&gt;0,C810,I810),"")</f>
        <v/>
      </c>
      <c r="D811" s="29" t="str">
        <f t="shared" ca="1" si="72"/>
        <v/>
      </c>
      <c r="E811" s="29" t="str">
        <f t="shared" ca="1" si="73"/>
        <v/>
      </c>
      <c r="F811" s="29" t="str">
        <f ca="1">IF(C811&lt;&gt;"",IF(OR(VLOOKUP(C811,$C$3:$L$6,5,0)=Variables!$B$5,B811&gt;VLOOKUP(C811,$C$3:$L$6,8,0)),-D811*VLOOKUP(C811,$C$3:$L$6,6,0)/12,0),"")</f>
        <v/>
      </c>
      <c r="G811" s="29" t="str">
        <f ca="1">IF(I811&lt;&gt;Variables!$B$1,IF(C811&lt;&gt;"",$I$9-E811-F811,""),-D811)</f>
        <v/>
      </c>
      <c r="H811" s="29" t="str">
        <f t="shared" ca="1" si="76"/>
        <v/>
      </c>
      <c r="I811" s="31" t="str">
        <f ca="1">IF(C811&lt;&gt;"",IF(D811+$I$9-E811-F811&gt;=0,IF(ISERROR(INDEX($C$3:$C$6,MATCH(C811,$C$3:$C$6,0)+1,0)),Variables!$B$1,INDEX($C$3:$C$6,MATCH(C811,$C$3:$C$6,0)+1,0)),""),"")</f>
        <v/>
      </c>
      <c r="J811" s="29" t="str">
        <f ca="1">IF(ISERROR(VLOOKUP(I811,$C$3:$L$6,5,0)),"",IF(OR(VLOOKUP(I811,$C$3:$L$6,5,0)=Variables!$B$5,B811&gt;VLOOKUP(I811,$C$3:$L$6,8,0)),IF(VLOOKUP(I811,$C$3:$L$6,5,0)=Variables!$B$5,((YEAR(B811)-YEAR($B$12))*12+MONTH(B811)-MONTH($B$12)),((YEAR(B811)-YEAR(VLOOKUP(I811,$C$3:$L$6,8,0)))*12+MONTH(B811)-MONTH(VLOOKUP(I811,$C$3:$L$6,8,0))))*(VLOOKUP(I811,$C$3:$L$6,10,0)*VLOOKUP(I811,$C$3:$L$6,6,0)/12),0))</f>
        <v/>
      </c>
      <c r="K811" s="29" t="str">
        <f ca="1">IF(C811&lt;&gt;"",IF(I811&lt;&gt;"",IF(ISERROR(VLOOKUP(I811,$C$3:$L$6,10,0)),"",VLOOKUP(I811,$C$3:$L$6,10,0)+J811+IF(OR(VLOOKUP(I811,$C$3:$L$6,5,0)=Variables!$B$5,B811&gt;VLOOKUP(I811,$C$3:$L$6,8,0)),IF(VLOOKUP(I811,$C$3:$L$6,5,0)=Variables!$B$5,((YEAR(B811)-YEAR($B$12))*12+MONTH(B811)-MONTH($B$12)),((YEAR(B811)-YEAR(VLOOKUP(I811,$C$3:$L$6,8,0)))*12+MONTH(B811)-MONTH(VLOOKUP(I811,$C$3:$L$6,8,0))))*VLOOKUP(I811,$C$3:$L$6,7,0),0)),""),"")</f>
        <v/>
      </c>
      <c r="L811" s="29" t="str">
        <f t="shared" ca="1" si="74"/>
        <v/>
      </c>
      <c r="M811" s="10"/>
      <c r="N811" s="10"/>
    </row>
    <row r="812" spans="1:14" x14ac:dyDescent="0.25">
      <c r="A812" s="10"/>
      <c r="B812" s="14" t="str">
        <f t="shared" ca="1" si="75"/>
        <v/>
      </c>
      <c r="C812" s="14" t="str">
        <f ca="1">IF(I811&lt;&gt;Variables!$B$1,IF(H811&lt;&gt;0,C811,I811),"")</f>
        <v/>
      </c>
      <c r="D812" s="29" t="str">
        <f t="shared" ca="1" si="72"/>
        <v/>
      </c>
      <c r="E812" s="29" t="str">
        <f t="shared" ca="1" si="73"/>
        <v/>
      </c>
      <c r="F812" s="29" t="str">
        <f ca="1">IF(C812&lt;&gt;"",IF(OR(VLOOKUP(C812,$C$3:$L$6,5,0)=Variables!$B$5,B812&gt;VLOOKUP(C812,$C$3:$L$6,8,0)),-D812*VLOOKUP(C812,$C$3:$L$6,6,0)/12,0),"")</f>
        <v/>
      </c>
      <c r="G812" s="29" t="str">
        <f ca="1">IF(I812&lt;&gt;Variables!$B$1,IF(C812&lt;&gt;"",$I$9-E812-F812,""),-D812)</f>
        <v/>
      </c>
      <c r="H812" s="29" t="str">
        <f t="shared" ca="1" si="76"/>
        <v/>
      </c>
      <c r="I812" s="31" t="str">
        <f ca="1">IF(C812&lt;&gt;"",IF(D812+$I$9-E812-F812&gt;=0,IF(ISERROR(INDEX($C$3:$C$6,MATCH(C812,$C$3:$C$6,0)+1,0)),Variables!$B$1,INDEX($C$3:$C$6,MATCH(C812,$C$3:$C$6,0)+1,0)),""),"")</f>
        <v/>
      </c>
      <c r="J812" s="29" t="str">
        <f ca="1">IF(ISERROR(VLOOKUP(I812,$C$3:$L$6,5,0)),"",IF(OR(VLOOKUP(I812,$C$3:$L$6,5,0)=Variables!$B$5,B812&gt;VLOOKUP(I812,$C$3:$L$6,8,0)),IF(VLOOKUP(I812,$C$3:$L$6,5,0)=Variables!$B$5,((YEAR(B812)-YEAR($B$12))*12+MONTH(B812)-MONTH($B$12)),((YEAR(B812)-YEAR(VLOOKUP(I812,$C$3:$L$6,8,0)))*12+MONTH(B812)-MONTH(VLOOKUP(I812,$C$3:$L$6,8,0))))*(VLOOKUP(I812,$C$3:$L$6,10,0)*VLOOKUP(I812,$C$3:$L$6,6,0)/12),0))</f>
        <v/>
      </c>
      <c r="K812" s="29" t="str">
        <f ca="1">IF(C812&lt;&gt;"",IF(I812&lt;&gt;"",IF(ISERROR(VLOOKUP(I812,$C$3:$L$6,10,0)),"",VLOOKUP(I812,$C$3:$L$6,10,0)+J812+IF(OR(VLOOKUP(I812,$C$3:$L$6,5,0)=Variables!$B$5,B812&gt;VLOOKUP(I812,$C$3:$L$6,8,0)),IF(VLOOKUP(I812,$C$3:$L$6,5,0)=Variables!$B$5,((YEAR(B812)-YEAR($B$12))*12+MONTH(B812)-MONTH($B$12)),((YEAR(B812)-YEAR(VLOOKUP(I812,$C$3:$L$6,8,0)))*12+MONTH(B812)-MONTH(VLOOKUP(I812,$C$3:$L$6,8,0))))*VLOOKUP(I812,$C$3:$L$6,7,0),0)),""),"")</f>
        <v/>
      </c>
      <c r="L812" s="29" t="str">
        <f t="shared" ca="1" si="74"/>
        <v/>
      </c>
      <c r="M812" s="10"/>
      <c r="N812" s="10"/>
    </row>
    <row r="813" spans="1:14" x14ac:dyDescent="0.25">
      <c r="A813" s="10"/>
      <c r="B813" s="14" t="str">
        <f t="shared" ca="1" si="75"/>
        <v/>
      </c>
      <c r="C813" s="14" t="str">
        <f ca="1">IF(I812&lt;&gt;Variables!$B$1,IF(H812&lt;&gt;0,C812,I812),"")</f>
        <v/>
      </c>
      <c r="D813" s="29" t="str">
        <f t="shared" ca="1" si="72"/>
        <v/>
      </c>
      <c r="E813" s="29" t="str">
        <f t="shared" ca="1" si="73"/>
        <v/>
      </c>
      <c r="F813" s="29" t="str">
        <f ca="1">IF(C813&lt;&gt;"",IF(OR(VLOOKUP(C813,$C$3:$L$6,5,0)=Variables!$B$5,B813&gt;VLOOKUP(C813,$C$3:$L$6,8,0)),-D813*VLOOKUP(C813,$C$3:$L$6,6,0)/12,0),"")</f>
        <v/>
      </c>
      <c r="G813" s="29" t="str">
        <f ca="1">IF(I813&lt;&gt;Variables!$B$1,IF(C813&lt;&gt;"",$I$9-E813-F813,""),-D813)</f>
        <v/>
      </c>
      <c r="H813" s="29" t="str">
        <f t="shared" ca="1" si="76"/>
        <v/>
      </c>
      <c r="I813" s="31" t="str">
        <f ca="1">IF(C813&lt;&gt;"",IF(D813+$I$9-E813-F813&gt;=0,IF(ISERROR(INDEX($C$3:$C$6,MATCH(C813,$C$3:$C$6,0)+1,0)),Variables!$B$1,INDEX($C$3:$C$6,MATCH(C813,$C$3:$C$6,0)+1,0)),""),"")</f>
        <v/>
      </c>
      <c r="J813" s="29" t="str">
        <f ca="1">IF(ISERROR(VLOOKUP(I813,$C$3:$L$6,5,0)),"",IF(OR(VLOOKUP(I813,$C$3:$L$6,5,0)=Variables!$B$5,B813&gt;VLOOKUP(I813,$C$3:$L$6,8,0)),IF(VLOOKUP(I813,$C$3:$L$6,5,0)=Variables!$B$5,((YEAR(B813)-YEAR($B$12))*12+MONTH(B813)-MONTH($B$12)),((YEAR(B813)-YEAR(VLOOKUP(I813,$C$3:$L$6,8,0)))*12+MONTH(B813)-MONTH(VLOOKUP(I813,$C$3:$L$6,8,0))))*(VLOOKUP(I813,$C$3:$L$6,10,0)*VLOOKUP(I813,$C$3:$L$6,6,0)/12),0))</f>
        <v/>
      </c>
      <c r="K813" s="29" t="str">
        <f ca="1">IF(C813&lt;&gt;"",IF(I813&lt;&gt;"",IF(ISERROR(VLOOKUP(I813,$C$3:$L$6,10,0)),"",VLOOKUP(I813,$C$3:$L$6,10,0)+J813+IF(OR(VLOOKUP(I813,$C$3:$L$6,5,0)=Variables!$B$5,B813&gt;VLOOKUP(I813,$C$3:$L$6,8,0)),IF(VLOOKUP(I813,$C$3:$L$6,5,0)=Variables!$B$5,((YEAR(B813)-YEAR($B$12))*12+MONTH(B813)-MONTH($B$12)),((YEAR(B813)-YEAR(VLOOKUP(I813,$C$3:$L$6,8,0)))*12+MONTH(B813)-MONTH(VLOOKUP(I813,$C$3:$L$6,8,0))))*VLOOKUP(I813,$C$3:$L$6,7,0),0)),""),"")</f>
        <v/>
      </c>
      <c r="L813" s="29" t="str">
        <f t="shared" ca="1" si="74"/>
        <v/>
      </c>
      <c r="M813" s="10"/>
      <c r="N813" s="10"/>
    </row>
    <row r="814" spans="1:14" x14ac:dyDescent="0.25">
      <c r="A814" s="10"/>
      <c r="B814" s="14" t="str">
        <f t="shared" ca="1" si="75"/>
        <v/>
      </c>
      <c r="C814" s="14" t="str">
        <f ca="1">IF(I813&lt;&gt;Variables!$B$1,IF(H813&lt;&gt;0,C813,I813),"")</f>
        <v/>
      </c>
      <c r="D814" s="29" t="str">
        <f t="shared" ca="1" si="72"/>
        <v/>
      </c>
      <c r="E814" s="29" t="str">
        <f t="shared" ca="1" si="73"/>
        <v/>
      </c>
      <c r="F814" s="29" t="str">
        <f ca="1">IF(C814&lt;&gt;"",IF(OR(VLOOKUP(C814,$C$3:$L$6,5,0)=Variables!$B$5,B814&gt;VLOOKUP(C814,$C$3:$L$6,8,0)),-D814*VLOOKUP(C814,$C$3:$L$6,6,0)/12,0),"")</f>
        <v/>
      </c>
      <c r="G814" s="29" t="str">
        <f ca="1">IF(I814&lt;&gt;Variables!$B$1,IF(C814&lt;&gt;"",$I$9-E814-F814,""),-D814)</f>
        <v/>
      </c>
      <c r="H814" s="29" t="str">
        <f t="shared" ca="1" si="76"/>
        <v/>
      </c>
      <c r="I814" s="31" t="str">
        <f ca="1">IF(C814&lt;&gt;"",IF(D814+$I$9-E814-F814&gt;=0,IF(ISERROR(INDEX($C$3:$C$6,MATCH(C814,$C$3:$C$6,0)+1,0)),Variables!$B$1,INDEX($C$3:$C$6,MATCH(C814,$C$3:$C$6,0)+1,0)),""),"")</f>
        <v/>
      </c>
      <c r="J814" s="29" t="str">
        <f ca="1">IF(ISERROR(VLOOKUP(I814,$C$3:$L$6,5,0)),"",IF(OR(VLOOKUP(I814,$C$3:$L$6,5,0)=Variables!$B$5,B814&gt;VLOOKUP(I814,$C$3:$L$6,8,0)),IF(VLOOKUP(I814,$C$3:$L$6,5,0)=Variables!$B$5,((YEAR(B814)-YEAR($B$12))*12+MONTH(B814)-MONTH($B$12)),((YEAR(B814)-YEAR(VLOOKUP(I814,$C$3:$L$6,8,0)))*12+MONTH(B814)-MONTH(VLOOKUP(I814,$C$3:$L$6,8,0))))*(VLOOKUP(I814,$C$3:$L$6,10,0)*VLOOKUP(I814,$C$3:$L$6,6,0)/12),0))</f>
        <v/>
      </c>
      <c r="K814" s="29" t="str">
        <f ca="1">IF(C814&lt;&gt;"",IF(I814&lt;&gt;"",IF(ISERROR(VLOOKUP(I814,$C$3:$L$6,10,0)),"",VLOOKUP(I814,$C$3:$L$6,10,0)+J814+IF(OR(VLOOKUP(I814,$C$3:$L$6,5,0)=Variables!$B$5,B814&gt;VLOOKUP(I814,$C$3:$L$6,8,0)),IF(VLOOKUP(I814,$C$3:$L$6,5,0)=Variables!$B$5,((YEAR(B814)-YEAR($B$12))*12+MONTH(B814)-MONTH($B$12)),((YEAR(B814)-YEAR(VLOOKUP(I814,$C$3:$L$6,8,0)))*12+MONTH(B814)-MONTH(VLOOKUP(I814,$C$3:$L$6,8,0))))*VLOOKUP(I814,$C$3:$L$6,7,0),0)),""),"")</f>
        <v/>
      </c>
      <c r="L814" s="29" t="str">
        <f t="shared" ca="1" si="74"/>
        <v/>
      </c>
      <c r="M814" s="10"/>
      <c r="N814" s="10"/>
    </row>
    <row r="815" spans="1:14" x14ac:dyDescent="0.25">
      <c r="A815" s="10"/>
      <c r="B815" s="14" t="str">
        <f t="shared" ca="1" si="75"/>
        <v/>
      </c>
      <c r="C815" s="14" t="str">
        <f ca="1">IF(I814&lt;&gt;Variables!$B$1,IF(H814&lt;&gt;0,C814,I814),"")</f>
        <v/>
      </c>
      <c r="D815" s="29" t="str">
        <f t="shared" ca="1" si="72"/>
        <v/>
      </c>
      <c r="E815" s="29" t="str">
        <f t="shared" ca="1" si="73"/>
        <v/>
      </c>
      <c r="F815" s="29" t="str">
        <f ca="1">IF(C815&lt;&gt;"",IF(OR(VLOOKUP(C815,$C$3:$L$6,5,0)=Variables!$B$5,B815&gt;VLOOKUP(C815,$C$3:$L$6,8,0)),-D815*VLOOKUP(C815,$C$3:$L$6,6,0)/12,0),"")</f>
        <v/>
      </c>
      <c r="G815" s="29" t="str">
        <f ca="1">IF(I815&lt;&gt;Variables!$B$1,IF(C815&lt;&gt;"",$I$9-E815-F815,""),-D815)</f>
        <v/>
      </c>
      <c r="H815" s="29" t="str">
        <f t="shared" ca="1" si="76"/>
        <v/>
      </c>
      <c r="I815" s="31" t="str">
        <f ca="1">IF(C815&lt;&gt;"",IF(D815+$I$9-E815-F815&gt;=0,IF(ISERROR(INDEX($C$3:$C$6,MATCH(C815,$C$3:$C$6,0)+1,0)),Variables!$B$1,INDEX($C$3:$C$6,MATCH(C815,$C$3:$C$6,0)+1,0)),""),"")</f>
        <v/>
      </c>
      <c r="J815" s="29" t="str">
        <f ca="1">IF(ISERROR(VLOOKUP(I815,$C$3:$L$6,5,0)),"",IF(OR(VLOOKUP(I815,$C$3:$L$6,5,0)=Variables!$B$5,B815&gt;VLOOKUP(I815,$C$3:$L$6,8,0)),IF(VLOOKUP(I815,$C$3:$L$6,5,0)=Variables!$B$5,((YEAR(B815)-YEAR($B$12))*12+MONTH(B815)-MONTH($B$12)),((YEAR(B815)-YEAR(VLOOKUP(I815,$C$3:$L$6,8,0)))*12+MONTH(B815)-MONTH(VLOOKUP(I815,$C$3:$L$6,8,0))))*(VLOOKUP(I815,$C$3:$L$6,10,0)*VLOOKUP(I815,$C$3:$L$6,6,0)/12),0))</f>
        <v/>
      </c>
      <c r="K815" s="29" t="str">
        <f ca="1">IF(C815&lt;&gt;"",IF(I815&lt;&gt;"",IF(ISERROR(VLOOKUP(I815,$C$3:$L$6,10,0)),"",VLOOKUP(I815,$C$3:$L$6,10,0)+J815+IF(OR(VLOOKUP(I815,$C$3:$L$6,5,0)=Variables!$B$5,B815&gt;VLOOKUP(I815,$C$3:$L$6,8,0)),IF(VLOOKUP(I815,$C$3:$L$6,5,0)=Variables!$B$5,((YEAR(B815)-YEAR($B$12))*12+MONTH(B815)-MONTH($B$12)),((YEAR(B815)-YEAR(VLOOKUP(I815,$C$3:$L$6,8,0)))*12+MONTH(B815)-MONTH(VLOOKUP(I815,$C$3:$L$6,8,0))))*VLOOKUP(I815,$C$3:$L$6,7,0),0)),""),"")</f>
        <v/>
      </c>
      <c r="L815" s="29" t="str">
        <f t="shared" ca="1" si="74"/>
        <v/>
      </c>
      <c r="M815" s="10"/>
      <c r="N815" s="10"/>
    </row>
    <row r="816" spans="1:14" x14ac:dyDescent="0.25">
      <c r="A816" s="10"/>
      <c r="B816" s="14" t="str">
        <f t="shared" ca="1" si="75"/>
        <v/>
      </c>
      <c r="C816" s="14" t="str">
        <f ca="1">IF(I815&lt;&gt;Variables!$B$1,IF(H815&lt;&gt;0,C815,I815),"")</f>
        <v/>
      </c>
      <c r="D816" s="29" t="str">
        <f t="shared" ca="1" si="72"/>
        <v/>
      </c>
      <c r="E816" s="29" t="str">
        <f t="shared" ca="1" si="73"/>
        <v/>
      </c>
      <c r="F816" s="29" t="str">
        <f ca="1">IF(C816&lt;&gt;"",IF(OR(VLOOKUP(C816,$C$3:$L$6,5,0)=Variables!$B$5,B816&gt;VLOOKUP(C816,$C$3:$L$6,8,0)),-D816*VLOOKUP(C816,$C$3:$L$6,6,0)/12,0),"")</f>
        <v/>
      </c>
      <c r="G816" s="29" t="str">
        <f ca="1">IF(I816&lt;&gt;Variables!$B$1,IF(C816&lt;&gt;"",$I$9-E816-F816,""),-D816)</f>
        <v/>
      </c>
      <c r="H816" s="29" t="str">
        <f t="shared" ca="1" si="76"/>
        <v/>
      </c>
      <c r="I816" s="31" t="str">
        <f ca="1">IF(C816&lt;&gt;"",IF(D816+$I$9-E816-F816&gt;=0,IF(ISERROR(INDEX($C$3:$C$6,MATCH(C816,$C$3:$C$6,0)+1,0)),Variables!$B$1,INDEX($C$3:$C$6,MATCH(C816,$C$3:$C$6,0)+1,0)),""),"")</f>
        <v/>
      </c>
      <c r="J816" s="29" t="str">
        <f ca="1">IF(ISERROR(VLOOKUP(I816,$C$3:$L$6,5,0)),"",IF(OR(VLOOKUP(I816,$C$3:$L$6,5,0)=Variables!$B$5,B816&gt;VLOOKUP(I816,$C$3:$L$6,8,0)),IF(VLOOKUP(I816,$C$3:$L$6,5,0)=Variables!$B$5,((YEAR(B816)-YEAR($B$12))*12+MONTH(B816)-MONTH($B$12)),((YEAR(B816)-YEAR(VLOOKUP(I816,$C$3:$L$6,8,0)))*12+MONTH(B816)-MONTH(VLOOKUP(I816,$C$3:$L$6,8,0))))*(VLOOKUP(I816,$C$3:$L$6,10,0)*VLOOKUP(I816,$C$3:$L$6,6,0)/12),0))</f>
        <v/>
      </c>
      <c r="K816" s="29" t="str">
        <f ca="1">IF(C816&lt;&gt;"",IF(I816&lt;&gt;"",IF(ISERROR(VLOOKUP(I816,$C$3:$L$6,10,0)),"",VLOOKUP(I816,$C$3:$L$6,10,0)+J816+IF(OR(VLOOKUP(I816,$C$3:$L$6,5,0)=Variables!$B$5,B816&gt;VLOOKUP(I816,$C$3:$L$6,8,0)),IF(VLOOKUP(I816,$C$3:$L$6,5,0)=Variables!$B$5,((YEAR(B816)-YEAR($B$12))*12+MONTH(B816)-MONTH($B$12)),((YEAR(B816)-YEAR(VLOOKUP(I816,$C$3:$L$6,8,0)))*12+MONTH(B816)-MONTH(VLOOKUP(I816,$C$3:$L$6,8,0))))*VLOOKUP(I816,$C$3:$L$6,7,0),0)),""),"")</f>
        <v/>
      </c>
      <c r="L816" s="29" t="str">
        <f t="shared" ca="1" si="74"/>
        <v/>
      </c>
      <c r="M816" s="10"/>
      <c r="N816" s="10"/>
    </row>
    <row r="817" spans="1:14" x14ac:dyDescent="0.25">
      <c r="A817" s="10"/>
      <c r="B817" s="14" t="str">
        <f t="shared" ca="1" si="75"/>
        <v/>
      </c>
      <c r="C817" s="14" t="str">
        <f ca="1">IF(I816&lt;&gt;Variables!$B$1,IF(H816&lt;&gt;0,C816,I816),"")</f>
        <v/>
      </c>
      <c r="D817" s="29" t="str">
        <f t="shared" ca="1" si="72"/>
        <v/>
      </c>
      <c r="E817" s="29" t="str">
        <f t="shared" ca="1" si="73"/>
        <v/>
      </c>
      <c r="F817" s="29" t="str">
        <f ca="1">IF(C817&lt;&gt;"",IF(OR(VLOOKUP(C817,$C$3:$L$6,5,0)=Variables!$B$5,B817&gt;VLOOKUP(C817,$C$3:$L$6,8,0)),-D817*VLOOKUP(C817,$C$3:$L$6,6,0)/12,0),"")</f>
        <v/>
      </c>
      <c r="G817" s="29" t="str">
        <f ca="1">IF(I817&lt;&gt;Variables!$B$1,IF(C817&lt;&gt;"",$I$9-E817-F817,""),-D817)</f>
        <v/>
      </c>
      <c r="H817" s="29" t="str">
        <f t="shared" ca="1" si="76"/>
        <v/>
      </c>
      <c r="I817" s="31" t="str">
        <f ca="1">IF(C817&lt;&gt;"",IF(D817+$I$9-E817-F817&gt;=0,IF(ISERROR(INDEX($C$3:$C$6,MATCH(C817,$C$3:$C$6,0)+1,0)),Variables!$B$1,INDEX($C$3:$C$6,MATCH(C817,$C$3:$C$6,0)+1,0)),""),"")</f>
        <v/>
      </c>
      <c r="J817" s="29" t="str">
        <f ca="1">IF(ISERROR(VLOOKUP(I817,$C$3:$L$6,5,0)),"",IF(OR(VLOOKUP(I817,$C$3:$L$6,5,0)=Variables!$B$5,B817&gt;VLOOKUP(I817,$C$3:$L$6,8,0)),IF(VLOOKUP(I817,$C$3:$L$6,5,0)=Variables!$B$5,((YEAR(B817)-YEAR($B$12))*12+MONTH(B817)-MONTH($B$12)),((YEAR(B817)-YEAR(VLOOKUP(I817,$C$3:$L$6,8,0)))*12+MONTH(B817)-MONTH(VLOOKUP(I817,$C$3:$L$6,8,0))))*(VLOOKUP(I817,$C$3:$L$6,10,0)*VLOOKUP(I817,$C$3:$L$6,6,0)/12),0))</f>
        <v/>
      </c>
      <c r="K817" s="29" t="str">
        <f ca="1">IF(C817&lt;&gt;"",IF(I817&lt;&gt;"",IF(ISERROR(VLOOKUP(I817,$C$3:$L$6,10,0)),"",VLOOKUP(I817,$C$3:$L$6,10,0)+J817+IF(OR(VLOOKUP(I817,$C$3:$L$6,5,0)=Variables!$B$5,B817&gt;VLOOKUP(I817,$C$3:$L$6,8,0)),IF(VLOOKUP(I817,$C$3:$L$6,5,0)=Variables!$B$5,((YEAR(B817)-YEAR($B$12))*12+MONTH(B817)-MONTH($B$12)),((YEAR(B817)-YEAR(VLOOKUP(I817,$C$3:$L$6,8,0)))*12+MONTH(B817)-MONTH(VLOOKUP(I817,$C$3:$L$6,8,0))))*VLOOKUP(I817,$C$3:$L$6,7,0),0)),""),"")</f>
        <v/>
      </c>
      <c r="L817" s="29" t="str">
        <f t="shared" ca="1" si="74"/>
        <v/>
      </c>
      <c r="M817" s="10"/>
      <c r="N817" s="10"/>
    </row>
    <row r="818" spans="1:14" x14ac:dyDescent="0.25">
      <c r="A818" s="10"/>
      <c r="B818" s="14" t="str">
        <f t="shared" ca="1" si="75"/>
        <v/>
      </c>
      <c r="C818" s="14" t="str">
        <f ca="1">IF(I817&lt;&gt;Variables!$B$1,IF(H817&lt;&gt;0,C817,I817),"")</f>
        <v/>
      </c>
      <c r="D818" s="29" t="str">
        <f t="shared" ca="1" si="72"/>
        <v/>
      </c>
      <c r="E818" s="29" t="str">
        <f t="shared" ca="1" si="73"/>
        <v/>
      </c>
      <c r="F818" s="29" t="str">
        <f ca="1">IF(C818&lt;&gt;"",IF(OR(VLOOKUP(C818,$C$3:$L$6,5,0)=Variables!$B$5,B818&gt;VLOOKUP(C818,$C$3:$L$6,8,0)),-D818*VLOOKUP(C818,$C$3:$L$6,6,0)/12,0),"")</f>
        <v/>
      </c>
      <c r="G818" s="29" t="str">
        <f ca="1">IF(I818&lt;&gt;Variables!$B$1,IF(C818&lt;&gt;"",$I$9-E818-F818,""),-D818)</f>
        <v/>
      </c>
      <c r="H818" s="29" t="str">
        <f t="shared" ca="1" si="76"/>
        <v/>
      </c>
      <c r="I818" s="31" t="str">
        <f ca="1">IF(C818&lt;&gt;"",IF(D818+$I$9-E818-F818&gt;=0,IF(ISERROR(INDEX($C$3:$C$6,MATCH(C818,$C$3:$C$6,0)+1,0)),Variables!$B$1,INDEX($C$3:$C$6,MATCH(C818,$C$3:$C$6,0)+1,0)),""),"")</f>
        <v/>
      </c>
      <c r="J818" s="29" t="str">
        <f ca="1">IF(ISERROR(VLOOKUP(I818,$C$3:$L$6,5,0)),"",IF(OR(VLOOKUP(I818,$C$3:$L$6,5,0)=Variables!$B$5,B818&gt;VLOOKUP(I818,$C$3:$L$6,8,0)),IF(VLOOKUP(I818,$C$3:$L$6,5,0)=Variables!$B$5,((YEAR(B818)-YEAR($B$12))*12+MONTH(B818)-MONTH($B$12)),((YEAR(B818)-YEAR(VLOOKUP(I818,$C$3:$L$6,8,0)))*12+MONTH(B818)-MONTH(VLOOKUP(I818,$C$3:$L$6,8,0))))*(VLOOKUP(I818,$C$3:$L$6,10,0)*VLOOKUP(I818,$C$3:$L$6,6,0)/12),0))</f>
        <v/>
      </c>
      <c r="K818" s="29" t="str">
        <f ca="1">IF(C818&lt;&gt;"",IF(I818&lt;&gt;"",IF(ISERROR(VLOOKUP(I818,$C$3:$L$6,10,0)),"",VLOOKUP(I818,$C$3:$L$6,10,0)+J818+IF(OR(VLOOKUP(I818,$C$3:$L$6,5,0)=Variables!$B$5,B818&gt;VLOOKUP(I818,$C$3:$L$6,8,0)),IF(VLOOKUP(I818,$C$3:$L$6,5,0)=Variables!$B$5,((YEAR(B818)-YEAR($B$12))*12+MONTH(B818)-MONTH($B$12)),((YEAR(B818)-YEAR(VLOOKUP(I818,$C$3:$L$6,8,0)))*12+MONTH(B818)-MONTH(VLOOKUP(I818,$C$3:$L$6,8,0))))*VLOOKUP(I818,$C$3:$L$6,7,0),0)),""),"")</f>
        <v/>
      </c>
      <c r="L818" s="29" t="str">
        <f t="shared" ca="1" si="74"/>
        <v/>
      </c>
      <c r="M818" s="10"/>
      <c r="N818" s="10"/>
    </row>
    <row r="819" spans="1:14" x14ac:dyDescent="0.25">
      <c r="A819" s="10"/>
      <c r="B819" s="14" t="str">
        <f t="shared" ca="1" si="75"/>
        <v/>
      </c>
      <c r="C819" s="14" t="str">
        <f ca="1">IF(I818&lt;&gt;Variables!$B$1,IF(H818&lt;&gt;0,C818,I818),"")</f>
        <v/>
      </c>
      <c r="D819" s="29" t="str">
        <f t="shared" ca="1" si="72"/>
        <v/>
      </c>
      <c r="E819" s="29" t="str">
        <f t="shared" ca="1" si="73"/>
        <v/>
      </c>
      <c r="F819" s="29" t="str">
        <f ca="1">IF(C819&lt;&gt;"",IF(OR(VLOOKUP(C819,$C$3:$L$6,5,0)=Variables!$B$5,B819&gt;VLOOKUP(C819,$C$3:$L$6,8,0)),-D819*VLOOKUP(C819,$C$3:$L$6,6,0)/12,0),"")</f>
        <v/>
      </c>
      <c r="G819" s="29" t="str">
        <f ca="1">IF(I819&lt;&gt;Variables!$B$1,IF(C819&lt;&gt;"",$I$9-E819-F819,""),-D819)</f>
        <v/>
      </c>
      <c r="H819" s="29" t="str">
        <f t="shared" ca="1" si="76"/>
        <v/>
      </c>
      <c r="I819" s="31" t="str">
        <f ca="1">IF(C819&lt;&gt;"",IF(D819+$I$9-E819-F819&gt;=0,IF(ISERROR(INDEX($C$3:$C$6,MATCH(C819,$C$3:$C$6,0)+1,0)),Variables!$B$1,INDEX($C$3:$C$6,MATCH(C819,$C$3:$C$6,0)+1,0)),""),"")</f>
        <v/>
      </c>
      <c r="J819" s="29" t="str">
        <f ca="1">IF(ISERROR(VLOOKUP(I819,$C$3:$L$6,5,0)),"",IF(OR(VLOOKUP(I819,$C$3:$L$6,5,0)=Variables!$B$5,B819&gt;VLOOKUP(I819,$C$3:$L$6,8,0)),IF(VLOOKUP(I819,$C$3:$L$6,5,0)=Variables!$B$5,((YEAR(B819)-YEAR($B$12))*12+MONTH(B819)-MONTH($B$12)),((YEAR(B819)-YEAR(VLOOKUP(I819,$C$3:$L$6,8,0)))*12+MONTH(B819)-MONTH(VLOOKUP(I819,$C$3:$L$6,8,0))))*(VLOOKUP(I819,$C$3:$L$6,10,0)*VLOOKUP(I819,$C$3:$L$6,6,0)/12),0))</f>
        <v/>
      </c>
      <c r="K819" s="29" t="str">
        <f ca="1">IF(C819&lt;&gt;"",IF(I819&lt;&gt;"",IF(ISERROR(VLOOKUP(I819,$C$3:$L$6,10,0)),"",VLOOKUP(I819,$C$3:$L$6,10,0)+J819+IF(OR(VLOOKUP(I819,$C$3:$L$6,5,0)=Variables!$B$5,B819&gt;VLOOKUP(I819,$C$3:$L$6,8,0)),IF(VLOOKUP(I819,$C$3:$L$6,5,0)=Variables!$B$5,((YEAR(B819)-YEAR($B$12))*12+MONTH(B819)-MONTH($B$12)),((YEAR(B819)-YEAR(VLOOKUP(I819,$C$3:$L$6,8,0)))*12+MONTH(B819)-MONTH(VLOOKUP(I819,$C$3:$L$6,8,0))))*VLOOKUP(I819,$C$3:$L$6,7,0),0)),""),"")</f>
        <v/>
      </c>
      <c r="L819" s="29" t="str">
        <f t="shared" ca="1" si="74"/>
        <v/>
      </c>
      <c r="M819" s="10"/>
      <c r="N819" s="10"/>
    </row>
    <row r="820" spans="1:14" x14ac:dyDescent="0.25">
      <c r="A820" s="10"/>
      <c r="B820" s="14" t="str">
        <f t="shared" ca="1" si="75"/>
        <v/>
      </c>
      <c r="C820" s="14" t="str">
        <f ca="1">IF(I819&lt;&gt;Variables!$B$1,IF(H819&lt;&gt;0,C819,I819),"")</f>
        <v/>
      </c>
      <c r="D820" s="29" t="str">
        <f t="shared" ca="1" si="72"/>
        <v/>
      </c>
      <c r="E820" s="29" t="str">
        <f t="shared" ca="1" si="73"/>
        <v/>
      </c>
      <c r="F820" s="29" t="str">
        <f ca="1">IF(C820&lt;&gt;"",IF(OR(VLOOKUP(C820,$C$3:$L$6,5,0)=Variables!$B$5,B820&gt;VLOOKUP(C820,$C$3:$L$6,8,0)),-D820*VLOOKUP(C820,$C$3:$L$6,6,0)/12,0),"")</f>
        <v/>
      </c>
      <c r="G820" s="29" t="str">
        <f ca="1">IF(I820&lt;&gt;Variables!$B$1,IF(C820&lt;&gt;"",$I$9-E820-F820,""),-D820)</f>
        <v/>
      </c>
      <c r="H820" s="29" t="str">
        <f t="shared" ca="1" si="76"/>
        <v/>
      </c>
      <c r="I820" s="31" t="str">
        <f ca="1">IF(C820&lt;&gt;"",IF(D820+$I$9-E820-F820&gt;=0,IF(ISERROR(INDEX($C$3:$C$6,MATCH(C820,$C$3:$C$6,0)+1,0)),Variables!$B$1,INDEX($C$3:$C$6,MATCH(C820,$C$3:$C$6,0)+1,0)),""),"")</f>
        <v/>
      </c>
      <c r="J820" s="29" t="str">
        <f ca="1">IF(ISERROR(VLOOKUP(I820,$C$3:$L$6,5,0)),"",IF(OR(VLOOKUP(I820,$C$3:$L$6,5,0)=Variables!$B$5,B820&gt;VLOOKUP(I820,$C$3:$L$6,8,0)),IF(VLOOKUP(I820,$C$3:$L$6,5,0)=Variables!$B$5,((YEAR(B820)-YEAR($B$12))*12+MONTH(B820)-MONTH($B$12)),((YEAR(B820)-YEAR(VLOOKUP(I820,$C$3:$L$6,8,0)))*12+MONTH(B820)-MONTH(VLOOKUP(I820,$C$3:$L$6,8,0))))*(VLOOKUP(I820,$C$3:$L$6,10,0)*VLOOKUP(I820,$C$3:$L$6,6,0)/12),0))</f>
        <v/>
      </c>
      <c r="K820" s="29" t="str">
        <f ca="1">IF(C820&lt;&gt;"",IF(I820&lt;&gt;"",IF(ISERROR(VLOOKUP(I820,$C$3:$L$6,10,0)),"",VLOOKUP(I820,$C$3:$L$6,10,0)+J820+IF(OR(VLOOKUP(I820,$C$3:$L$6,5,0)=Variables!$B$5,B820&gt;VLOOKUP(I820,$C$3:$L$6,8,0)),IF(VLOOKUP(I820,$C$3:$L$6,5,0)=Variables!$B$5,((YEAR(B820)-YEAR($B$12))*12+MONTH(B820)-MONTH($B$12)),((YEAR(B820)-YEAR(VLOOKUP(I820,$C$3:$L$6,8,0)))*12+MONTH(B820)-MONTH(VLOOKUP(I820,$C$3:$L$6,8,0))))*VLOOKUP(I820,$C$3:$L$6,7,0),0)),""),"")</f>
        <v/>
      </c>
      <c r="L820" s="29" t="str">
        <f t="shared" ca="1" si="74"/>
        <v/>
      </c>
      <c r="M820" s="10"/>
      <c r="N820" s="10"/>
    </row>
    <row r="821" spans="1:14" x14ac:dyDescent="0.25">
      <c r="A821" s="10"/>
      <c r="B821" s="14" t="str">
        <f t="shared" ca="1" si="75"/>
        <v/>
      </c>
      <c r="C821" s="14" t="str">
        <f ca="1">IF(I820&lt;&gt;Variables!$B$1,IF(H820&lt;&gt;0,C820,I820),"")</f>
        <v/>
      </c>
      <c r="D821" s="29" t="str">
        <f t="shared" ca="1" si="72"/>
        <v/>
      </c>
      <c r="E821" s="29" t="str">
        <f t="shared" ca="1" si="73"/>
        <v/>
      </c>
      <c r="F821" s="29" t="str">
        <f ca="1">IF(C821&lt;&gt;"",IF(OR(VLOOKUP(C821,$C$3:$L$6,5,0)=Variables!$B$5,B821&gt;VLOOKUP(C821,$C$3:$L$6,8,0)),-D821*VLOOKUP(C821,$C$3:$L$6,6,0)/12,0),"")</f>
        <v/>
      </c>
      <c r="G821" s="29" t="str">
        <f ca="1">IF(I821&lt;&gt;Variables!$B$1,IF(C821&lt;&gt;"",$I$9-E821-F821,""),-D821)</f>
        <v/>
      </c>
      <c r="H821" s="29" t="str">
        <f t="shared" ca="1" si="76"/>
        <v/>
      </c>
      <c r="I821" s="31" t="str">
        <f ca="1">IF(C821&lt;&gt;"",IF(D821+$I$9-E821-F821&gt;=0,IF(ISERROR(INDEX($C$3:$C$6,MATCH(C821,$C$3:$C$6,0)+1,0)),Variables!$B$1,INDEX($C$3:$C$6,MATCH(C821,$C$3:$C$6,0)+1,0)),""),"")</f>
        <v/>
      </c>
      <c r="J821" s="29" t="str">
        <f ca="1">IF(ISERROR(VLOOKUP(I821,$C$3:$L$6,5,0)),"",IF(OR(VLOOKUP(I821,$C$3:$L$6,5,0)=Variables!$B$5,B821&gt;VLOOKUP(I821,$C$3:$L$6,8,0)),IF(VLOOKUP(I821,$C$3:$L$6,5,0)=Variables!$B$5,((YEAR(B821)-YEAR($B$12))*12+MONTH(B821)-MONTH($B$12)),((YEAR(B821)-YEAR(VLOOKUP(I821,$C$3:$L$6,8,0)))*12+MONTH(B821)-MONTH(VLOOKUP(I821,$C$3:$L$6,8,0))))*(VLOOKUP(I821,$C$3:$L$6,10,0)*VLOOKUP(I821,$C$3:$L$6,6,0)/12),0))</f>
        <v/>
      </c>
      <c r="K821" s="29" t="str">
        <f ca="1">IF(C821&lt;&gt;"",IF(I821&lt;&gt;"",IF(ISERROR(VLOOKUP(I821,$C$3:$L$6,10,0)),"",VLOOKUP(I821,$C$3:$L$6,10,0)+J821+IF(OR(VLOOKUP(I821,$C$3:$L$6,5,0)=Variables!$B$5,B821&gt;VLOOKUP(I821,$C$3:$L$6,8,0)),IF(VLOOKUP(I821,$C$3:$L$6,5,0)=Variables!$B$5,((YEAR(B821)-YEAR($B$12))*12+MONTH(B821)-MONTH($B$12)),((YEAR(B821)-YEAR(VLOOKUP(I821,$C$3:$L$6,8,0)))*12+MONTH(B821)-MONTH(VLOOKUP(I821,$C$3:$L$6,8,0))))*VLOOKUP(I821,$C$3:$L$6,7,0),0)),""),"")</f>
        <v/>
      </c>
      <c r="L821" s="29" t="str">
        <f t="shared" ca="1" si="74"/>
        <v/>
      </c>
      <c r="M821" s="10"/>
      <c r="N821" s="10"/>
    </row>
    <row r="822" spans="1:14" x14ac:dyDescent="0.25">
      <c r="A822" s="10"/>
      <c r="B822" s="14" t="str">
        <f t="shared" ca="1" si="75"/>
        <v/>
      </c>
      <c r="C822" s="14" t="str">
        <f ca="1">IF(I821&lt;&gt;Variables!$B$1,IF(H821&lt;&gt;0,C821,I821),"")</f>
        <v/>
      </c>
      <c r="D822" s="29" t="str">
        <f t="shared" ca="1" si="72"/>
        <v/>
      </c>
      <c r="E822" s="29" t="str">
        <f t="shared" ca="1" si="73"/>
        <v/>
      </c>
      <c r="F822" s="29" t="str">
        <f ca="1">IF(C822&lt;&gt;"",IF(OR(VLOOKUP(C822,$C$3:$L$6,5,0)=Variables!$B$5,B822&gt;VLOOKUP(C822,$C$3:$L$6,8,0)),-D822*VLOOKUP(C822,$C$3:$L$6,6,0)/12,0),"")</f>
        <v/>
      </c>
      <c r="G822" s="29" t="str">
        <f ca="1">IF(I822&lt;&gt;Variables!$B$1,IF(C822&lt;&gt;"",$I$9-E822-F822,""),-D822)</f>
        <v/>
      </c>
      <c r="H822" s="29" t="str">
        <f t="shared" ca="1" si="76"/>
        <v/>
      </c>
      <c r="I822" s="31" t="str">
        <f ca="1">IF(C822&lt;&gt;"",IF(D822+$I$9-E822-F822&gt;=0,IF(ISERROR(INDEX($C$3:$C$6,MATCH(C822,$C$3:$C$6,0)+1,0)),Variables!$B$1,INDEX($C$3:$C$6,MATCH(C822,$C$3:$C$6,0)+1,0)),""),"")</f>
        <v/>
      </c>
      <c r="J822" s="29" t="str">
        <f ca="1">IF(ISERROR(VLOOKUP(I822,$C$3:$L$6,5,0)),"",IF(OR(VLOOKUP(I822,$C$3:$L$6,5,0)=Variables!$B$5,B822&gt;VLOOKUP(I822,$C$3:$L$6,8,0)),IF(VLOOKUP(I822,$C$3:$L$6,5,0)=Variables!$B$5,((YEAR(B822)-YEAR($B$12))*12+MONTH(B822)-MONTH($B$12)),((YEAR(B822)-YEAR(VLOOKUP(I822,$C$3:$L$6,8,0)))*12+MONTH(B822)-MONTH(VLOOKUP(I822,$C$3:$L$6,8,0))))*(VLOOKUP(I822,$C$3:$L$6,10,0)*VLOOKUP(I822,$C$3:$L$6,6,0)/12),0))</f>
        <v/>
      </c>
      <c r="K822" s="29" t="str">
        <f ca="1">IF(C822&lt;&gt;"",IF(I822&lt;&gt;"",IF(ISERROR(VLOOKUP(I822,$C$3:$L$6,10,0)),"",VLOOKUP(I822,$C$3:$L$6,10,0)+J822+IF(OR(VLOOKUP(I822,$C$3:$L$6,5,0)=Variables!$B$5,B822&gt;VLOOKUP(I822,$C$3:$L$6,8,0)),IF(VLOOKUP(I822,$C$3:$L$6,5,0)=Variables!$B$5,((YEAR(B822)-YEAR($B$12))*12+MONTH(B822)-MONTH($B$12)),((YEAR(B822)-YEAR(VLOOKUP(I822,$C$3:$L$6,8,0)))*12+MONTH(B822)-MONTH(VLOOKUP(I822,$C$3:$L$6,8,0))))*VLOOKUP(I822,$C$3:$L$6,7,0),0)),""),"")</f>
        <v/>
      </c>
      <c r="L822" s="29" t="str">
        <f t="shared" ca="1" si="74"/>
        <v/>
      </c>
      <c r="M822" s="10"/>
      <c r="N822" s="10"/>
    </row>
    <row r="823" spans="1:14" x14ac:dyDescent="0.25">
      <c r="A823" s="10"/>
      <c r="B823" s="14" t="str">
        <f t="shared" ca="1" si="75"/>
        <v/>
      </c>
      <c r="C823" s="14" t="str">
        <f ca="1">IF(I822&lt;&gt;Variables!$B$1,IF(H822&lt;&gt;0,C822,I822),"")</f>
        <v/>
      </c>
      <c r="D823" s="29" t="str">
        <f t="shared" ca="1" si="72"/>
        <v/>
      </c>
      <c r="E823" s="29" t="str">
        <f t="shared" ca="1" si="73"/>
        <v/>
      </c>
      <c r="F823" s="29" t="str">
        <f ca="1">IF(C823&lt;&gt;"",IF(OR(VLOOKUP(C823,$C$3:$L$6,5,0)=Variables!$B$5,B823&gt;VLOOKUP(C823,$C$3:$L$6,8,0)),-D823*VLOOKUP(C823,$C$3:$L$6,6,0)/12,0),"")</f>
        <v/>
      </c>
      <c r="G823" s="29" t="str">
        <f ca="1">IF(I823&lt;&gt;Variables!$B$1,IF(C823&lt;&gt;"",$I$9-E823-F823,""),-D823)</f>
        <v/>
      </c>
      <c r="H823" s="29" t="str">
        <f t="shared" ca="1" si="76"/>
        <v/>
      </c>
      <c r="I823" s="31" t="str">
        <f ca="1">IF(C823&lt;&gt;"",IF(D823+$I$9-E823-F823&gt;=0,IF(ISERROR(INDEX($C$3:$C$6,MATCH(C823,$C$3:$C$6,0)+1,0)),Variables!$B$1,INDEX($C$3:$C$6,MATCH(C823,$C$3:$C$6,0)+1,0)),""),"")</f>
        <v/>
      </c>
      <c r="J823" s="29" t="str">
        <f ca="1">IF(ISERROR(VLOOKUP(I823,$C$3:$L$6,5,0)),"",IF(OR(VLOOKUP(I823,$C$3:$L$6,5,0)=Variables!$B$5,B823&gt;VLOOKUP(I823,$C$3:$L$6,8,0)),IF(VLOOKUP(I823,$C$3:$L$6,5,0)=Variables!$B$5,((YEAR(B823)-YEAR($B$12))*12+MONTH(B823)-MONTH($B$12)),((YEAR(B823)-YEAR(VLOOKUP(I823,$C$3:$L$6,8,0)))*12+MONTH(B823)-MONTH(VLOOKUP(I823,$C$3:$L$6,8,0))))*(VLOOKUP(I823,$C$3:$L$6,10,0)*VLOOKUP(I823,$C$3:$L$6,6,0)/12),0))</f>
        <v/>
      </c>
      <c r="K823" s="29" t="str">
        <f ca="1">IF(C823&lt;&gt;"",IF(I823&lt;&gt;"",IF(ISERROR(VLOOKUP(I823,$C$3:$L$6,10,0)),"",VLOOKUP(I823,$C$3:$L$6,10,0)+J823+IF(OR(VLOOKUP(I823,$C$3:$L$6,5,0)=Variables!$B$5,B823&gt;VLOOKUP(I823,$C$3:$L$6,8,0)),IF(VLOOKUP(I823,$C$3:$L$6,5,0)=Variables!$B$5,((YEAR(B823)-YEAR($B$12))*12+MONTH(B823)-MONTH($B$12)),((YEAR(B823)-YEAR(VLOOKUP(I823,$C$3:$L$6,8,0)))*12+MONTH(B823)-MONTH(VLOOKUP(I823,$C$3:$L$6,8,0))))*VLOOKUP(I823,$C$3:$L$6,7,0),0)),""),"")</f>
        <v/>
      </c>
      <c r="L823" s="29" t="str">
        <f t="shared" ca="1" si="74"/>
        <v/>
      </c>
      <c r="M823" s="10"/>
      <c r="N823" s="10"/>
    </row>
    <row r="824" spans="1:14" x14ac:dyDescent="0.25">
      <c r="A824" s="10"/>
      <c r="B824" s="14" t="str">
        <f t="shared" ca="1" si="75"/>
        <v/>
      </c>
      <c r="C824" s="14" t="str">
        <f ca="1">IF(I823&lt;&gt;Variables!$B$1,IF(H823&lt;&gt;0,C823,I823),"")</f>
        <v/>
      </c>
      <c r="D824" s="29" t="str">
        <f t="shared" ca="1" si="72"/>
        <v/>
      </c>
      <c r="E824" s="29" t="str">
        <f t="shared" ca="1" si="73"/>
        <v/>
      </c>
      <c r="F824" s="29" t="str">
        <f ca="1">IF(C824&lt;&gt;"",IF(OR(VLOOKUP(C824,$C$3:$L$6,5,0)=Variables!$B$5,B824&gt;VLOOKUP(C824,$C$3:$L$6,8,0)),-D824*VLOOKUP(C824,$C$3:$L$6,6,0)/12,0),"")</f>
        <v/>
      </c>
      <c r="G824" s="29" t="str">
        <f ca="1">IF(I824&lt;&gt;Variables!$B$1,IF(C824&lt;&gt;"",$I$9-E824-F824,""),-D824)</f>
        <v/>
      </c>
      <c r="H824" s="29" t="str">
        <f t="shared" ca="1" si="76"/>
        <v/>
      </c>
      <c r="I824" s="31" t="str">
        <f ca="1">IF(C824&lt;&gt;"",IF(D824+$I$9-E824-F824&gt;=0,IF(ISERROR(INDEX($C$3:$C$6,MATCH(C824,$C$3:$C$6,0)+1,0)),Variables!$B$1,INDEX($C$3:$C$6,MATCH(C824,$C$3:$C$6,0)+1,0)),""),"")</f>
        <v/>
      </c>
      <c r="J824" s="29" t="str">
        <f ca="1">IF(ISERROR(VLOOKUP(I824,$C$3:$L$6,5,0)),"",IF(OR(VLOOKUP(I824,$C$3:$L$6,5,0)=Variables!$B$5,B824&gt;VLOOKUP(I824,$C$3:$L$6,8,0)),IF(VLOOKUP(I824,$C$3:$L$6,5,0)=Variables!$B$5,((YEAR(B824)-YEAR($B$12))*12+MONTH(B824)-MONTH($B$12)),((YEAR(B824)-YEAR(VLOOKUP(I824,$C$3:$L$6,8,0)))*12+MONTH(B824)-MONTH(VLOOKUP(I824,$C$3:$L$6,8,0))))*(VLOOKUP(I824,$C$3:$L$6,10,0)*VLOOKUP(I824,$C$3:$L$6,6,0)/12),0))</f>
        <v/>
      </c>
      <c r="K824" s="29" t="str">
        <f ca="1">IF(C824&lt;&gt;"",IF(I824&lt;&gt;"",IF(ISERROR(VLOOKUP(I824,$C$3:$L$6,10,0)),"",VLOOKUP(I824,$C$3:$L$6,10,0)+J824+IF(OR(VLOOKUP(I824,$C$3:$L$6,5,0)=Variables!$B$5,B824&gt;VLOOKUP(I824,$C$3:$L$6,8,0)),IF(VLOOKUP(I824,$C$3:$L$6,5,0)=Variables!$B$5,((YEAR(B824)-YEAR($B$12))*12+MONTH(B824)-MONTH($B$12)),((YEAR(B824)-YEAR(VLOOKUP(I824,$C$3:$L$6,8,0)))*12+MONTH(B824)-MONTH(VLOOKUP(I824,$C$3:$L$6,8,0))))*VLOOKUP(I824,$C$3:$L$6,7,0),0)),""),"")</f>
        <v/>
      </c>
      <c r="L824" s="29" t="str">
        <f t="shared" ca="1" si="74"/>
        <v/>
      </c>
      <c r="M824" s="10"/>
      <c r="N824" s="10"/>
    </row>
    <row r="825" spans="1:14" x14ac:dyDescent="0.25">
      <c r="A825" s="10"/>
      <c r="B825" s="14" t="str">
        <f t="shared" ca="1" si="75"/>
        <v/>
      </c>
      <c r="C825" s="14" t="str">
        <f ca="1">IF(I824&lt;&gt;Variables!$B$1,IF(H824&lt;&gt;0,C824,I824),"")</f>
        <v/>
      </c>
      <c r="D825" s="29" t="str">
        <f t="shared" ca="1" si="72"/>
        <v/>
      </c>
      <c r="E825" s="29" t="str">
        <f t="shared" ca="1" si="73"/>
        <v/>
      </c>
      <c r="F825" s="29" t="str">
        <f ca="1">IF(C825&lt;&gt;"",IF(OR(VLOOKUP(C825,$C$3:$L$6,5,0)=Variables!$B$5,B825&gt;VLOOKUP(C825,$C$3:$L$6,8,0)),-D825*VLOOKUP(C825,$C$3:$L$6,6,0)/12,0),"")</f>
        <v/>
      </c>
      <c r="G825" s="29" t="str">
        <f ca="1">IF(I825&lt;&gt;Variables!$B$1,IF(C825&lt;&gt;"",$I$9-E825-F825,""),-D825)</f>
        <v/>
      </c>
      <c r="H825" s="29" t="str">
        <f t="shared" ca="1" si="76"/>
        <v/>
      </c>
      <c r="I825" s="31" t="str">
        <f ca="1">IF(C825&lt;&gt;"",IF(D825+$I$9-E825-F825&gt;=0,IF(ISERROR(INDEX($C$3:$C$6,MATCH(C825,$C$3:$C$6,0)+1,0)),Variables!$B$1,INDEX($C$3:$C$6,MATCH(C825,$C$3:$C$6,0)+1,0)),""),"")</f>
        <v/>
      </c>
      <c r="J825" s="29" t="str">
        <f ca="1">IF(ISERROR(VLOOKUP(I825,$C$3:$L$6,5,0)),"",IF(OR(VLOOKUP(I825,$C$3:$L$6,5,0)=Variables!$B$5,B825&gt;VLOOKUP(I825,$C$3:$L$6,8,0)),IF(VLOOKUP(I825,$C$3:$L$6,5,0)=Variables!$B$5,((YEAR(B825)-YEAR($B$12))*12+MONTH(B825)-MONTH($B$12)),((YEAR(B825)-YEAR(VLOOKUP(I825,$C$3:$L$6,8,0)))*12+MONTH(B825)-MONTH(VLOOKUP(I825,$C$3:$L$6,8,0))))*(VLOOKUP(I825,$C$3:$L$6,10,0)*VLOOKUP(I825,$C$3:$L$6,6,0)/12),0))</f>
        <v/>
      </c>
      <c r="K825" s="29" t="str">
        <f ca="1">IF(C825&lt;&gt;"",IF(I825&lt;&gt;"",IF(ISERROR(VLOOKUP(I825,$C$3:$L$6,10,0)),"",VLOOKUP(I825,$C$3:$L$6,10,0)+J825+IF(OR(VLOOKUP(I825,$C$3:$L$6,5,0)=Variables!$B$5,B825&gt;VLOOKUP(I825,$C$3:$L$6,8,0)),IF(VLOOKUP(I825,$C$3:$L$6,5,0)=Variables!$B$5,((YEAR(B825)-YEAR($B$12))*12+MONTH(B825)-MONTH($B$12)),((YEAR(B825)-YEAR(VLOOKUP(I825,$C$3:$L$6,8,0)))*12+MONTH(B825)-MONTH(VLOOKUP(I825,$C$3:$L$6,8,0))))*VLOOKUP(I825,$C$3:$L$6,7,0),0)),""),"")</f>
        <v/>
      </c>
      <c r="L825" s="29" t="str">
        <f t="shared" ca="1" si="74"/>
        <v/>
      </c>
      <c r="M825" s="10"/>
      <c r="N825" s="10"/>
    </row>
    <row r="826" spans="1:14" x14ac:dyDescent="0.25">
      <c r="A826" s="10"/>
      <c r="B826" s="14" t="str">
        <f t="shared" ca="1" si="75"/>
        <v/>
      </c>
      <c r="C826" s="14" t="str">
        <f ca="1">IF(I825&lt;&gt;Variables!$B$1,IF(H825&lt;&gt;0,C825,I825),"")</f>
        <v/>
      </c>
      <c r="D826" s="29" t="str">
        <f t="shared" ca="1" si="72"/>
        <v/>
      </c>
      <c r="E826" s="29" t="str">
        <f t="shared" ca="1" si="73"/>
        <v/>
      </c>
      <c r="F826" s="29" t="str">
        <f ca="1">IF(C826&lt;&gt;"",IF(OR(VLOOKUP(C826,$C$3:$L$6,5,0)=Variables!$B$5,B826&gt;VLOOKUP(C826,$C$3:$L$6,8,0)),-D826*VLOOKUP(C826,$C$3:$L$6,6,0)/12,0),"")</f>
        <v/>
      </c>
      <c r="G826" s="29" t="str">
        <f ca="1">IF(I826&lt;&gt;Variables!$B$1,IF(C826&lt;&gt;"",$I$9-E826-F826,""),-D826)</f>
        <v/>
      </c>
      <c r="H826" s="29" t="str">
        <f t="shared" ca="1" si="76"/>
        <v/>
      </c>
      <c r="I826" s="31" t="str">
        <f ca="1">IF(C826&lt;&gt;"",IF(D826+$I$9-E826-F826&gt;=0,IF(ISERROR(INDEX($C$3:$C$6,MATCH(C826,$C$3:$C$6,0)+1,0)),Variables!$B$1,INDEX($C$3:$C$6,MATCH(C826,$C$3:$C$6,0)+1,0)),""),"")</f>
        <v/>
      </c>
      <c r="J826" s="29" t="str">
        <f ca="1">IF(ISERROR(VLOOKUP(I826,$C$3:$L$6,5,0)),"",IF(OR(VLOOKUP(I826,$C$3:$L$6,5,0)=Variables!$B$5,B826&gt;VLOOKUP(I826,$C$3:$L$6,8,0)),IF(VLOOKUP(I826,$C$3:$L$6,5,0)=Variables!$B$5,((YEAR(B826)-YEAR($B$12))*12+MONTH(B826)-MONTH($B$12)),((YEAR(B826)-YEAR(VLOOKUP(I826,$C$3:$L$6,8,0)))*12+MONTH(B826)-MONTH(VLOOKUP(I826,$C$3:$L$6,8,0))))*(VLOOKUP(I826,$C$3:$L$6,10,0)*VLOOKUP(I826,$C$3:$L$6,6,0)/12),0))</f>
        <v/>
      </c>
      <c r="K826" s="29" t="str">
        <f ca="1">IF(C826&lt;&gt;"",IF(I826&lt;&gt;"",IF(ISERROR(VLOOKUP(I826,$C$3:$L$6,10,0)),"",VLOOKUP(I826,$C$3:$L$6,10,0)+J826+IF(OR(VLOOKUP(I826,$C$3:$L$6,5,0)=Variables!$B$5,B826&gt;VLOOKUP(I826,$C$3:$L$6,8,0)),IF(VLOOKUP(I826,$C$3:$L$6,5,0)=Variables!$B$5,((YEAR(B826)-YEAR($B$12))*12+MONTH(B826)-MONTH($B$12)),((YEAR(B826)-YEAR(VLOOKUP(I826,$C$3:$L$6,8,0)))*12+MONTH(B826)-MONTH(VLOOKUP(I826,$C$3:$L$6,8,0))))*VLOOKUP(I826,$C$3:$L$6,7,0),0)),""),"")</f>
        <v/>
      </c>
      <c r="L826" s="29" t="str">
        <f t="shared" ca="1" si="74"/>
        <v/>
      </c>
      <c r="M826" s="10"/>
      <c r="N826" s="10"/>
    </row>
    <row r="827" spans="1:14" x14ac:dyDescent="0.25">
      <c r="A827" s="10"/>
      <c r="B827" s="14" t="str">
        <f t="shared" ca="1" si="75"/>
        <v/>
      </c>
      <c r="C827" s="14" t="str">
        <f ca="1">IF(I826&lt;&gt;Variables!$B$1,IF(H826&lt;&gt;0,C826,I826),"")</f>
        <v/>
      </c>
      <c r="D827" s="29" t="str">
        <f t="shared" ca="1" si="72"/>
        <v/>
      </c>
      <c r="E827" s="29" t="str">
        <f t="shared" ca="1" si="73"/>
        <v/>
      </c>
      <c r="F827" s="29" t="str">
        <f ca="1">IF(C827&lt;&gt;"",IF(OR(VLOOKUP(C827,$C$3:$L$6,5,0)=Variables!$B$5,B827&gt;VLOOKUP(C827,$C$3:$L$6,8,0)),-D827*VLOOKUP(C827,$C$3:$L$6,6,0)/12,0),"")</f>
        <v/>
      </c>
      <c r="G827" s="29" t="str">
        <f ca="1">IF(I827&lt;&gt;Variables!$B$1,IF(C827&lt;&gt;"",$I$9-E827-F827,""),-D827)</f>
        <v/>
      </c>
      <c r="H827" s="29" t="str">
        <f t="shared" ca="1" si="76"/>
        <v/>
      </c>
      <c r="I827" s="31" t="str">
        <f ca="1">IF(C827&lt;&gt;"",IF(D827+$I$9-E827-F827&gt;=0,IF(ISERROR(INDEX($C$3:$C$6,MATCH(C827,$C$3:$C$6,0)+1,0)),Variables!$B$1,INDEX($C$3:$C$6,MATCH(C827,$C$3:$C$6,0)+1,0)),""),"")</f>
        <v/>
      </c>
      <c r="J827" s="29" t="str">
        <f ca="1">IF(ISERROR(VLOOKUP(I827,$C$3:$L$6,5,0)),"",IF(OR(VLOOKUP(I827,$C$3:$L$6,5,0)=Variables!$B$5,B827&gt;VLOOKUP(I827,$C$3:$L$6,8,0)),IF(VLOOKUP(I827,$C$3:$L$6,5,0)=Variables!$B$5,((YEAR(B827)-YEAR($B$12))*12+MONTH(B827)-MONTH($B$12)),((YEAR(B827)-YEAR(VLOOKUP(I827,$C$3:$L$6,8,0)))*12+MONTH(B827)-MONTH(VLOOKUP(I827,$C$3:$L$6,8,0))))*(VLOOKUP(I827,$C$3:$L$6,10,0)*VLOOKUP(I827,$C$3:$L$6,6,0)/12),0))</f>
        <v/>
      </c>
      <c r="K827" s="29" t="str">
        <f ca="1">IF(C827&lt;&gt;"",IF(I827&lt;&gt;"",IF(ISERROR(VLOOKUP(I827,$C$3:$L$6,10,0)),"",VLOOKUP(I827,$C$3:$L$6,10,0)+J827+IF(OR(VLOOKUP(I827,$C$3:$L$6,5,0)=Variables!$B$5,B827&gt;VLOOKUP(I827,$C$3:$L$6,8,0)),IF(VLOOKUP(I827,$C$3:$L$6,5,0)=Variables!$B$5,((YEAR(B827)-YEAR($B$12))*12+MONTH(B827)-MONTH($B$12)),((YEAR(B827)-YEAR(VLOOKUP(I827,$C$3:$L$6,8,0)))*12+MONTH(B827)-MONTH(VLOOKUP(I827,$C$3:$L$6,8,0))))*VLOOKUP(I827,$C$3:$L$6,7,0),0)),""),"")</f>
        <v/>
      </c>
      <c r="L827" s="29" t="str">
        <f t="shared" ca="1" si="74"/>
        <v/>
      </c>
      <c r="M827" s="10"/>
      <c r="N827" s="10"/>
    </row>
    <row r="828" spans="1:14" x14ac:dyDescent="0.25">
      <c r="A828" s="10"/>
      <c r="B828" s="14" t="str">
        <f t="shared" ca="1" si="75"/>
        <v/>
      </c>
      <c r="C828" s="14" t="str">
        <f ca="1">IF(I827&lt;&gt;Variables!$B$1,IF(H827&lt;&gt;0,C827,I827),"")</f>
        <v/>
      </c>
      <c r="D828" s="29" t="str">
        <f t="shared" ca="1" si="72"/>
        <v/>
      </c>
      <c r="E828" s="29" t="str">
        <f t="shared" ca="1" si="73"/>
        <v/>
      </c>
      <c r="F828" s="29" t="str">
        <f ca="1">IF(C828&lt;&gt;"",IF(OR(VLOOKUP(C828,$C$3:$L$6,5,0)=Variables!$B$5,B828&gt;VLOOKUP(C828,$C$3:$L$6,8,0)),-D828*VLOOKUP(C828,$C$3:$L$6,6,0)/12,0),"")</f>
        <v/>
      </c>
      <c r="G828" s="29" t="str">
        <f ca="1">IF(I828&lt;&gt;Variables!$B$1,IF(C828&lt;&gt;"",$I$9-E828-F828,""),-D828)</f>
        <v/>
      </c>
      <c r="H828" s="29" t="str">
        <f t="shared" ca="1" si="76"/>
        <v/>
      </c>
      <c r="I828" s="31" t="str">
        <f ca="1">IF(C828&lt;&gt;"",IF(D828+$I$9-E828-F828&gt;=0,IF(ISERROR(INDEX($C$3:$C$6,MATCH(C828,$C$3:$C$6,0)+1,0)),Variables!$B$1,INDEX($C$3:$C$6,MATCH(C828,$C$3:$C$6,0)+1,0)),""),"")</f>
        <v/>
      </c>
      <c r="J828" s="29" t="str">
        <f ca="1">IF(ISERROR(VLOOKUP(I828,$C$3:$L$6,5,0)),"",IF(OR(VLOOKUP(I828,$C$3:$L$6,5,0)=Variables!$B$5,B828&gt;VLOOKUP(I828,$C$3:$L$6,8,0)),IF(VLOOKUP(I828,$C$3:$L$6,5,0)=Variables!$B$5,((YEAR(B828)-YEAR($B$12))*12+MONTH(B828)-MONTH($B$12)),((YEAR(B828)-YEAR(VLOOKUP(I828,$C$3:$L$6,8,0)))*12+MONTH(B828)-MONTH(VLOOKUP(I828,$C$3:$L$6,8,0))))*(VLOOKUP(I828,$C$3:$L$6,10,0)*VLOOKUP(I828,$C$3:$L$6,6,0)/12),0))</f>
        <v/>
      </c>
      <c r="K828" s="29" t="str">
        <f ca="1">IF(C828&lt;&gt;"",IF(I828&lt;&gt;"",IF(ISERROR(VLOOKUP(I828,$C$3:$L$6,10,0)),"",VLOOKUP(I828,$C$3:$L$6,10,0)+J828+IF(OR(VLOOKUP(I828,$C$3:$L$6,5,0)=Variables!$B$5,B828&gt;VLOOKUP(I828,$C$3:$L$6,8,0)),IF(VLOOKUP(I828,$C$3:$L$6,5,0)=Variables!$B$5,((YEAR(B828)-YEAR($B$12))*12+MONTH(B828)-MONTH($B$12)),((YEAR(B828)-YEAR(VLOOKUP(I828,$C$3:$L$6,8,0)))*12+MONTH(B828)-MONTH(VLOOKUP(I828,$C$3:$L$6,8,0))))*VLOOKUP(I828,$C$3:$L$6,7,0),0)),""),"")</f>
        <v/>
      </c>
      <c r="L828" s="29" t="str">
        <f t="shared" ca="1" si="74"/>
        <v/>
      </c>
      <c r="M828" s="10"/>
      <c r="N828" s="10"/>
    </row>
    <row r="829" spans="1:14" x14ac:dyDescent="0.25">
      <c r="A829" s="10"/>
      <c r="B829" s="14" t="str">
        <f t="shared" ca="1" si="75"/>
        <v/>
      </c>
      <c r="C829" s="14" t="str">
        <f ca="1">IF(I828&lt;&gt;Variables!$B$1,IF(H828&lt;&gt;0,C828,I828),"")</f>
        <v/>
      </c>
      <c r="D829" s="29" t="str">
        <f t="shared" ca="1" si="72"/>
        <v/>
      </c>
      <c r="E829" s="29" t="str">
        <f t="shared" ca="1" si="73"/>
        <v/>
      </c>
      <c r="F829" s="29" t="str">
        <f ca="1">IF(C829&lt;&gt;"",IF(OR(VLOOKUP(C829,$C$3:$L$6,5,0)=Variables!$B$5,B829&gt;VLOOKUP(C829,$C$3:$L$6,8,0)),-D829*VLOOKUP(C829,$C$3:$L$6,6,0)/12,0),"")</f>
        <v/>
      </c>
      <c r="G829" s="29" t="str">
        <f ca="1">IF(I829&lt;&gt;Variables!$B$1,IF(C829&lt;&gt;"",$I$9-E829-F829,""),-D829)</f>
        <v/>
      </c>
      <c r="H829" s="29" t="str">
        <f t="shared" ca="1" si="76"/>
        <v/>
      </c>
      <c r="I829" s="31" t="str">
        <f ca="1">IF(C829&lt;&gt;"",IF(D829+$I$9-E829-F829&gt;=0,IF(ISERROR(INDEX($C$3:$C$6,MATCH(C829,$C$3:$C$6,0)+1,0)),Variables!$B$1,INDEX($C$3:$C$6,MATCH(C829,$C$3:$C$6,0)+1,0)),""),"")</f>
        <v/>
      </c>
      <c r="J829" s="29" t="str">
        <f ca="1">IF(ISERROR(VLOOKUP(I829,$C$3:$L$6,5,0)),"",IF(OR(VLOOKUP(I829,$C$3:$L$6,5,0)=Variables!$B$5,B829&gt;VLOOKUP(I829,$C$3:$L$6,8,0)),IF(VLOOKUP(I829,$C$3:$L$6,5,0)=Variables!$B$5,((YEAR(B829)-YEAR($B$12))*12+MONTH(B829)-MONTH($B$12)),((YEAR(B829)-YEAR(VLOOKUP(I829,$C$3:$L$6,8,0)))*12+MONTH(B829)-MONTH(VLOOKUP(I829,$C$3:$L$6,8,0))))*(VLOOKUP(I829,$C$3:$L$6,10,0)*VLOOKUP(I829,$C$3:$L$6,6,0)/12),0))</f>
        <v/>
      </c>
      <c r="K829" s="29" t="str">
        <f ca="1">IF(C829&lt;&gt;"",IF(I829&lt;&gt;"",IF(ISERROR(VLOOKUP(I829,$C$3:$L$6,10,0)),"",VLOOKUP(I829,$C$3:$L$6,10,0)+J829+IF(OR(VLOOKUP(I829,$C$3:$L$6,5,0)=Variables!$B$5,B829&gt;VLOOKUP(I829,$C$3:$L$6,8,0)),IF(VLOOKUP(I829,$C$3:$L$6,5,0)=Variables!$B$5,((YEAR(B829)-YEAR($B$12))*12+MONTH(B829)-MONTH($B$12)),((YEAR(B829)-YEAR(VLOOKUP(I829,$C$3:$L$6,8,0)))*12+MONTH(B829)-MONTH(VLOOKUP(I829,$C$3:$L$6,8,0))))*VLOOKUP(I829,$C$3:$L$6,7,0),0)),""),"")</f>
        <v/>
      </c>
      <c r="L829" s="29" t="str">
        <f t="shared" ca="1" si="74"/>
        <v/>
      </c>
      <c r="M829" s="10"/>
      <c r="N829" s="10"/>
    </row>
    <row r="830" spans="1:14" x14ac:dyDescent="0.25">
      <c r="A830" s="10"/>
      <c r="B830" s="14" t="str">
        <f t="shared" ca="1" si="75"/>
        <v/>
      </c>
      <c r="C830" s="14" t="str">
        <f ca="1">IF(I829&lt;&gt;Variables!$B$1,IF(H829&lt;&gt;0,C829,I829),"")</f>
        <v/>
      </c>
      <c r="D830" s="29" t="str">
        <f t="shared" ca="1" si="72"/>
        <v/>
      </c>
      <c r="E830" s="29" t="str">
        <f t="shared" ca="1" si="73"/>
        <v/>
      </c>
      <c r="F830" s="29" t="str">
        <f ca="1">IF(C830&lt;&gt;"",IF(OR(VLOOKUP(C830,$C$3:$L$6,5,0)=Variables!$B$5,B830&gt;VLOOKUP(C830,$C$3:$L$6,8,0)),-D830*VLOOKUP(C830,$C$3:$L$6,6,0)/12,0),"")</f>
        <v/>
      </c>
      <c r="G830" s="29" t="str">
        <f ca="1">IF(I830&lt;&gt;Variables!$B$1,IF(C830&lt;&gt;"",$I$9-E830-F830,""),-D830)</f>
        <v/>
      </c>
      <c r="H830" s="29" t="str">
        <f t="shared" ca="1" si="76"/>
        <v/>
      </c>
      <c r="I830" s="31" t="str">
        <f ca="1">IF(C830&lt;&gt;"",IF(D830+$I$9-E830-F830&gt;=0,IF(ISERROR(INDEX($C$3:$C$6,MATCH(C830,$C$3:$C$6,0)+1,0)),Variables!$B$1,INDEX($C$3:$C$6,MATCH(C830,$C$3:$C$6,0)+1,0)),""),"")</f>
        <v/>
      </c>
      <c r="J830" s="29" t="str">
        <f ca="1">IF(ISERROR(VLOOKUP(I830,$C$3:$L$6,5,0)),"",IF(OR(VLOOKUP(I830,$C$3:$L$6,5,0)=Variables!$B$5,B830&gt;VLOOKUP(I830,$C$3:$L$6,8,0)),IF(VLOOKUP(I830,$C$3:$L$6,5,0)=Variables!$B$5,((YEAR(B830)-YEAR($B$12))*12+MONTH(B830)-MONTH($B$12)),((YEAR(B830)-YEAR(VLOOKUP(I830,$C$3:$L$6,8,0)))*12+MONTH(B830)-MONTH(VLOOKUP(I830,$C$3:$L$6,8,0))))*(VLOOKUP(I830,$C$3:$L$6,10,0)*VLOOKUP(I830,$C$3:$L$6,6,0)/12),0))</f>
        <v/>
      </c>
      <c r="K830" s="29" t="str">
        <f ca="1">IF(C830&lt;&gt;"",IF(I830&lt;&gt;"",IF(ISERROR(VLOOKUP(I830,$C$3:$L$6,10,0)),"",VLOOKUP(I830,$C$3:$L$6,10,0)+J830+IF(OR(VLOOKUP(I830,$C$3:$L$6,5,0)=Variables!$B$5,B830&gt;VLOOKUP(I830,$C$3:$L$6,8,0)),IF(VLOOKUP(I830,$C$3:$L$6,5,0)=Variables!$B$5,((YEAR(B830)-YEAR($B$12))*12+MONTH(B830)-MONTH($B$12)),((YEAR(B830)-YEAR(VLOOKUP(I830,$C$3:$L$6,8,0)))*12+MONTH(B830)-MONTH(VLOOKUP(I830,$C$3:$L$6,8,0))))*VLOOKUP(I830,$C$3:$L$6,7,0),0)),""),"")</f>
        <v/>
      </c>
      <c r="L830" s="29" t="str">
        <f t="shared" ca="1" si="74"/>
        <v/>
      </c>
      <c r="M830" s="10"/>
      <c r="N830" s="10"/>
    </row>
    <row r="831" spans="1:14" x14ac:dyDescent="0.25">
      <c r="A831" s="10"/>
      <c r="B831" s="14" t="str">
        <f t="shared" ca="1" si="75"/>
        <v/>
      </c>
      <c r="C831" s="14" t="str">
        <f ca="1">IF(I830&lt;&gt;Variables!$B$1,IF(H830&lt;&gt;0,C830,I830),"")</f>
        <v/>
      </c>
      <c r="D831" s="29" t="str">
        <f t="shared" ca="1" si="72"/>
        <v/>
      </c>
      <c r="E831" s="29" t="str">
        <f t="shared" ca="1" si="73"/>
        <v/>
      </c>
      <c r="F831" s="29" t="str">
        <f ca="1">IF(C831&lt;&gt;"",IF(OR(VLOOKUP(C831,$C$3:$L$6,5,0)=Variables!$B$5,B831&gt;VLOOKUP(C831,$C$3:$L$6,8,0)),-D831*VLOOKUP(C831,$C$3:$L$6,6,0)/12,0),"")</f>
        <v/>
      </c>
      <c r="G831" s="29" t="str">
        <f ca="1">IF(I831&lt;&gt;Variables!$B$1,IF(C831&lt;&gt;"",$I$9-E831-F831,""),-D831)</f>
        <v/>
      </c>
      <c r="H831" s="29" t="str">
        <f t="shared" ca="1" si="76"/>
        <v/>
      </c>
      <c r="I831" s="31" t="str">
        <f ca="1">IF(C831&lt;&gt;"",IF(D831+$I$9-E831-F831&gt;=0,IF(ISERROR(INDEX($C$3:$C$6,MATCH(C831,$C$3:$C$6,0)+1,0)),Variables!$B$1,INDEX($C$3:$C$6,MATCH(C831,$C$3:$C$6,0)+1,0)),""),"")</f>
        <v/>
      </c>
      <c r="J831" s="29" t="str">
        <f ca="1">IF(ISERROR(VLOOKUP(I831,$C$3:$L$6,5,0)),"",IF(OR(VLOOKUP(I831,$C$3:$L$6,5,0)=Variables!$B$5,B831&gt;VLOOKUP(I831,$C$3:$L$6,8,0)),IF(VLOOKUP(I831,$C$3:$L$6,5,0)=Variables!$B$5,((YEAR(B831)-YEAR($B$12))*12+MONTH(B831)-MONTH($B$12)),((YEAR(B831)-YEAR(VLOOKUP(I831,$C$3:$L$6,8,0)))*12+MONTH(B831)-MONTH(VLOOKUP(I831,$C$3:$L$6,8,0))))*(VLOOKUP(I831,$C$3:$L$6,10,0)*VLOOKUP(I831,$C$3:$L$6,6,0)/12),0))</f>
        <v/>
      </c>
      <c r="K831" s="29" t="str">
        <f ca="1">IF(C831&lt;&gt;"",IF(I831&lt;&gt;"",IF(ISERROR(VLOOKUP(I831,$C$3:$L$6,10,0)),"",VLOOKUP(I831,$C$3:$L$6,10,0)+J831+IF(OR(VLOOKUP(I831,$C$3:$L$6,5,0)=Variables!$B$5,B831&gt;VLOOKUP(I831,$C$3:$L$6,8,0)),IF(VLOOKUP(I831,$C$3:$L$6,5,0)=Variables!$B$5,((YEAR(B831)-YEAR($B$12))*12+MONTH(B831)-MONTH($B$12)),((YEAR(B831)-YEAR(VLOOKUP(I831,$C$3:$L$6,8,0)))*12+MONTH(B831)-MONTH(VLOOKUP(I831,$C$3:$L$6,8,0))))*VLOOKUP(I831,$C$3:$L$6,7,0),0)),""),"")</f>
        <v/>
      </c>
      <c r="L831" s="29" t="str">
        <f t="shared" ca="1" si="74"/>
        <v/>
      </c>
      <c r="M831" s="10"/>
      <c r="N831" s="10"/>
    </row>
    <row r="832" spans="1:14" x14ac:dyDescent="0.25">
      <c r="A832" s="10"/>
      <c r="B832" s="14" t="str">
        <f t="shared" ca="1" si="75"/>
        <v/>
      </c>
      <c r="C832" s="14" t="str">
        <f ca="1">IF(I831&lt;&gt;Variables!$B$1,IF(H831&lt;&gt;0,C831,I831),"")</f>
        <v/>
      </c>
      <c r="D832" s="29" t="str">
        <f t="shared" ca="1" si="72"/>
        <v/>
      </c>
      <c r="E832" s="29" t="str">
        <f t="shared" ca="1" si="73"/>
        <v/>
      </c>
      <c r="F832" s="29" t="str">
        <f ca="1">IF(C832&lt;&gt;"",IF(OR(VLOOKUP(C832,$C$3:$L$6,5,0)=Variables!$B$5,B832&gt;VLOOKUP(C832,$C$3:$L$6,8,0)),-D832*VLOOKUP(C832,$C$3:$L$6,6,0)/12,0),"")</f>
        <v/>
      </c>
      <c r="G832" s="29" t="str">
        <f ca="1">IF(I832&lt;&gt;Variables!$B$1,IF(C832&lt;&gt;"",$I$9-E832-F832,""),-D832)</f>
        <v/>
      </c>
      <c r="H832" s="29" t="str">
        <f t="shared" ca="1" si="76"/>
        <v/>
      </c>
      <c r="I832" s="31" t="str">
        <f ca="1">IF(C832&lt;&gt;"",IF(D832+$I$9-E832-F832&gt;=0,IF(ISERROR(INDEX($C$3:$C$6,MATCH(C832,$C$3:$C$6,0)+1,0)),Variables!$B$1,INDEX($C$3:$C$6,MATCH(C832,$C$3:$C$6,0)+1,0)),""),"")</f>
        <v/>
      </c>
      <c r="J832" s="29" t="str">
        <f ca="1">IF(ISERROR(VLOOKUP(I832,$C$3:$L$6,5,0)),"",IF(OR(VLOOKUP(I832,$C$3:$L$6,5,0)=Variables!$B$5,B832&gt;VLOOKUP(I832,$C$3:$L$6,8,0)),IF(VLOOKUP(I832,$C$3:$L$6,5,0)=Variables!$B$5,((YEAR(B832)-YEAR($B$12))*12+MONTH(B832)-MONTH($B$12)),((YEAR(B832)-YEAR(VLOOKUP(I832,$C$3:$L$6,8,0)))*12+MONTH(B832)-MONTH(VLOOKUP(I832,$C$3:$L$6,8,0))))*(VLOOKUP(I832,$C$3:$L$6,10,0)*VLOOKUP(I832,$C$3:$L$6,6,0)/12),0))</f>
        <v/>
      </c>
      <c r="K832" s="29" t="str">
        <f ca="1">IF(C832&lt;&gt;"",IF(I832&lt;&gt;"",IF(ISERROR(VLOOKUP(I832,$C$3:$L$6,10,0)),"",VLOOKUP(I832,$C$3:$L$6,10,0)+J832+IF(OR(VLOOKUP(I832,$C$3:$L$6,5,0)=Variables!$B$5,B832&gt;VLOOKUP(I832,$C$3:$L$6,8,0)),IF(VLOOKUP(I832,$C$3:$L$6,5,0)=Variables!$B$5,((YEAR(B832)-YEAR($B$12))*12+MONTH(B832)-MONTH($B$12)),((YEAR(B832)-YEAR(VLOOKUP(I832,$C$3:$L$6,8,0)))*12+MONTH(B832)-MONTH(VLOOKUP(I832,$C$3:$L$6,8,0))))*VLOOKUP(I832,$C$3:$L$6,7,0),0)),""),"")</f>
        <v/>
      </c>
      <c r="L832" s="29" t="str">
        <f t="shared" ca="1" si="74"/>
        <v/>
      </c>
      <c r="M832" s="10"/>
      <c r="N832" s="10"/>
    </row>
    <row r="833" spans="1:14" x14ac:dyDescent="0.25">
      <c r="A833" s="10"/>
      <c r="B833" s="14" t="str">
        <f t="shared" ca="1" si="75"/>
        <v/>
      </c>
      <c r="C833" s="14" t="str">
        <f ca="1">IF(I832&lt;&gt;Variables!$B$1,IF(H832&lt;&gt;0,C832,I832),"")</f>
        <v/>
      </c>
      <c r="D833" s="29" t="str">
        <f t="shared" ca="1" si="72"/>
        <v/>
      </c>
      <c r="E833" s="29" t="str">
        <f t="shared" ca="1" si="73"/>
        <v/>
      </c>
      <c r="F833" s="29" t="str">
        <f ca="1">IF(C833&lt;&gt;"",IF(OR(VLOOKUP(C833,$C$3:$L$6,5,0)=Variables!$B$5,B833&gt;VLOOKUP(C833,$C$3:$L$6,8,0)),-D833*VLOOKUP(C833,$C$3:$L$6,6,0)/12,0),"")</f>
        <v/>
      </c>
      <c r="G833" s="29" t="str">
        <f ca="1">IF(I833&lt;&gt;Variables!$B$1,IF(C833&lt;&gt;"",$I$9-E833-F833,""),-D833)</f>
        <v/>
      </c>
      <c r="H833" s="29" t="str">
        <f t="shared" ca="1" si="76"/>
        <v/>
      </c>
      <c r="I833" s="31" t="str">
        <f ca="1">IF(C833&lt;&gt;"",IF(D833+$I$9-E833-F833&gt;=0,IF(ISERROR(INDEX($C$3:$C$6,MATCH(C833,$C$3:$C$6,0)+1,0)),Variables!$B$1,INDEX($C$3:$C$6,MATCH(C833,$C$3:$C$6,0)+1,0)),""),"")</f>
        <v/>
      </c>
      <c r="J833" s="29" t="str">
        <f ca="1">IF(ISERROR(VLOOKUP(I833,$C$3:$L$6,5,0)),"",IF(OR(VLOOKUP(I833,$C$3:$L$6,5,0)=Variables!$B$5,B833&gt;VLOOKUP(I833,$C$3:$L$6,8,0)),IF(VLOOKUP(I833,$C$3:$L$6,5,0)=Variables!$B$5,((YEAR(B833)-YEAR($B$12))*12+MONTH(B833)-MONTH($B$12)),((YEAR(B833)-YEAR(VLOOKUP(I833,$C$3:$L$6,8,0)))*12+MONTH(B833)-MONTH(VLOOKUP(I833,$C$3:$L$6,8,0))))*(VLOOKUP(I833,$C$3:$L$6,10,0)*VLOOKUP(I833,$C$3:$L$6,6,0)/12),0))</f>
        <v/>
      </c>
      <c r="K833" s="29" t="str">
        <f ca="1">IF(C833&lt;&gt;"",IF(I833&lt;&gt;"",IF(ISERROR(VLOOKUP(I833,$C$3:$L$6,10,0)),"",VLOOKUP(I833,$C$3:$L$6,10,0)+J833+IF(OR(VLOOKUP(I833,$C$3:$L$6,5,0)=Variables!$B$5,B833&gt;VLOOKUP(I833,$C$3:$L$6,8,0)),IF(VLOOKUP(I833,$C$3:$L$6,5,0)=Variables!$B$5,((YEAR(B833)-YEAR($B$12))*12+MONTH(B833)-MONTH($B$12)),((YEAR(B833)-YEAR(VLOOKUP(I833,$C$3:$L$6,8,0)))*12+MONTH(B833)-MONTH(VLOOKUP(I833,$C$3:$L$6,8,0))))*VLOOKUP(I833,$C$3:$L$6,7,0),0)),""),"")</f>
        <v/>
      </c>
      <c r="L833" s="29" t="str">
        <f t="shared" ca="1" si="74"/>
        <v/>
      </c>
      <c r="M833" s="10"/>
      <c r="N833" s="10"/>
    </row>
    <row r="834" spans="1:14" x14ac:dyDescent="0.25">
      <c r="A834" s="10"/>
      <c r="B834" s="14" t="str">
        <f t="shared" ca="1" si="75"/>
        <v/>
      </c>
      <c r="C834" s="14" t="str">
        <f ca="1">IF(I833&lt;&gt;Variables!$B$1,IF(H833&lt;&gt;0,C833,I833),"")</f>
        <v/>
      </c>
      <c r="D834" s="29" t="str">
        <f t="shared" ca="1" si="72"/>
        <v/>
      </c>
      <c r="E834" s="29" t="str">
        <f t="shared" ca="1" si="73"/>
        <v/>
      </c>
      <c r="F834" s="29" t="str">
        <f ca="1">IF(C834&lt;&gt;"",IF(OR(VLOOKUP(C834,$C$3:$L$6,5,0)=Variables!$B$5,B834&gt;VLOOKUP(C834,$C$3:$L$6,8,0)),-D834*VLOOKUP(C834,$C$3:$L$6,6,0)/12,0),"")</f>
        <v/>
      </c>
      <c r="G834" s="29" t="str">
        <f ca="1">IF(I834&lt;&gt;Variables!$B$1,IF(C834&lt;&gt;"",$I$9-E834-F834,""),-D834)</f>
        <v/>
      </c>
      <c r="H834" s="29" t="str">
        <f t="shared" ca="1" si="76"/>
        <v/>
      </c>
      <c r="I834" s="31" t="str">
        <f ca="1">IF(C834&lt;&gt;"",IF(D834+$I$9-E834-F834&gt;=0,IF(ISERROR(INDEX($C$3:$C$6,MATCH(C834,$C$3:$C$6,0)+1,0)),Variables!$B$1,INDEX($C$3:$C$6,MATCH(C834,$C$3:$C$6,0)+1,0)),""),"")</f>
        <v/>
      </c>
      <c r="J834" s="29" t="str">
        <f ca="1">IF(ISERROR(VLOOKUP(I834,$C$3:$L$6,5,0)),"",IF(OR(VLOOKUP(I834,$C$3:$L$6,5,0)=Variables!$B$5,B834&gt;VLOOKUP(I834,$C$3:$L$6,8,0)),IF(VLOOKUP(I834,$C$3:$L$6,5,0)=Variables!$B$5,((YEAR(B834)-YEAR($B$12))*12+MONTH(B834)-MONTH($B$12)),((YEAR(B834)-YEAR(VLOOKUP(I834,$C$3:$L$6,8,0)))*12+MONTH(B834)-MONTH(VLOOKUP(I834,$C$3:$L$6,8,0))))*(VLOOKUP(I834,$C$3:$L$6,10,0)*VLOOKUP(I834,$C$3:$L$6,6,0)/12),0))</f>
        <v/>
      </c>
      <c r="K834" s="29" t="str">
        <f ca="1">IF(C834&lt;&gt;"",IF(I834&lt;&gt;"",IF(ISERROR(VLOOKUP(I834,$C$3:$L$6,10,0)),"",VLOOKUP(I834,$C$3:$L$6,10,0)+J834+IF(OR(VLOOKUP(I834,$C$3:$L$6,5,0)=Variables!$B$5,B834&gt;VLOOKUP(I834,$C$3:$L$6,8,0)),IF(VLOOKUP(I834,$C$3:$L$6,5,0)=Variables!$B$5,((YEAR(B834)-YEAR($B$12))*12+MONTH(B834)-MONTH($B$12)),((YEAR(B834)-YEAR(VLOOKUP(I834,$C$3:$L$6,8,0)))*12+MONTH(B834)-MONTH(VLOOKUP(I834,$C$3:$L$6,8,0))))*VLOOKUP(I834,$C$3:$L$6,7,0),0)),""),"")</f>
        <v/>
      </c>
      <c r="L834" s="29" t="str">
        <f t="shared" ca="1" si="74"/>
        <v/>
      </c>
      <c r="M834" s="10"/>
      <c r="N834" s="10"/>
    </row>
    <row r="835" spans="1:14" x14ac:dyDescent="0.25">
      <c r="A835" s="10"/>
      <c r="B835" s="14" t="str">
        <f t="shared" ca="1" si="75"/>
        <v/>
      </c>
      <c r="C835" s="14" t="str">
        <f ca="1">IF(I834&lt;&gt;Variables!$B$1,IF(H834&lt;&gt;0,C834,I834),"")</f>
        <v/>
      </c>
      <c r="D835" s="29" t="str">
        <f t="shared" ca="1" si="72"/>
        <v/>
      </c>
      <c r="E835" s="29" t="str">
        <f t="shared" ca="1" si="73"/>
        <v/>
      </c>
      <c r="F835" s="29" t="str">
        <f ca="1">IF(C835&lt;&gt;"",IF(OR(VLOOKUP(C835,$C$3:$L$6,5,0)=Variables!$B$5,B835&gt;VLOOKUP(C835,$C$3:$L$6,8,0)),-D835*VLOOKUP(C835,$C$3:$L$6,6,0)/12,0),"")</f>
        <v/>
      </c>
      <c r="G835" s="29" t="str">
        <f ca="1">IF(I835&lt;&gt;Variables!$B$1,IF(C835&lt;&gt;"",$I$9-E835-F835,""),-D835)</f>
        <v/>
      </c>
      <c r="H835" s="29" t="str">
        <f t="shared" ca="1" si="76"/>
        <v/>
      </c>
      <c r="I835" s="31" t="str">
        <f ca="1">IF(C835&lt;&gt;"",IF(D835+$I$9-E835-F835&gt;=0,IF(ISERROR(INDEX($C$3:$C$6,MATCH(C835,$C$3:$C$6,0)+1,0)),Variables!$B$1,INDEX($C$3:$C$6,MATCH(C835,$C$3:$C$6,0)+1,0)),""),"")</f>
        <v/>
      </c>
      <c r="J835" s="29" t="str">
        <f ca="1">IF(ISERROR(VLOOKUP(I835,$C$3:$L$6,5,0)),"",IF(OR(VLOOKUP(I835,$C$3:$L$6,5,0)=Variables!$B$5,B835&gt;VLOOKUP(I835,$C$3:$L$6,8,0)),IF(VLOOKUP(I835,$C$3:$L$6,5,0)=Variables!$B$5,((YEAR(B835)-YEAR($B$12))*12+MONTH(B835)-MONTH($B$12)),((YEAR(B835)-YEAR(VLOOKUP(I835,$C$3:$L$6,8,0)))*12+MONTH(B835)-MONTH(VLOOKUP(I835,$C$3:$L$6,8,0))))*(VLOOKUP(I835,$C$3:$L$6,10,0)*VLOOKUP(I835,$C$3:$L$6,6,0)/12),0))</f>
        <v/>
      </c>
      <c r="K835" s="29" t="str">
        <f ca="1">IF(C835&lt;&gt;"",IF(I835&lt;&gt;"",IF(ISERROR(VLOOKUP(I835,$C$3:$L$6,10,0)),"",VLOOKUP(I835,$C$3:$L$6,10,0)+J835+IF(OR(VLOOKUP(I835,$C$3:$L$6,5,0)=Variables!$B$5,B835&gt;VLOOKUP(I835,$C$3:$L$6,8,0)),IF(VLOOKUP(I835,$C$3:$L$6,5,0)=Variables!$B$5,((YEAR(B835)-YEAR($B$12))*12+MONTH(B835)-MONTH($B$12)),((YEAR(B835)-YEAR(VLOOKUP(I835,$C$3:$L$6,8,0)))*12+MONTH(B835)-MONTH(VLOOKUP(I835,$C$3:$L$6,8,0))))*VLOOKUP(I835,$C$3:$L$6,7,0),0)),""),"")</f>
        <v/>
      </c>
      <c r="L835" s="29" t="str">
        <f t="shared" ca="1" si="74"/>
        <v/>
      </c>
      <c r="M835" s="10"/>
      <c r="N835" s="10"/>
    </row>
    <row r="836" spans="1:14" x14ac:dyDescent="0.25">
      <c r="A836" s="10"/>
      <c r="B836" s="14" t="str">
        <f t="shared" ca="1" si="75"/>
        <v/>
      </c>
      <c r="C836" s="14" t="str">
        <f ca="1">IF(I835&lt;&gt;Variables!$B$1,IF(H835&lt;&gt;0,C835,I835),"")</f>
        <v/>
      </c>
      <c r="D836" s="29" t="str">
        <f t="shared" ca="1" si="72"/>
        <v/>
      </c>
      <c r="E836" s="29" t="str">
        <f t="shared" ca="1" si="73"/>
        <v/>
      </c>
      <c r="F836" s="29" t="str">
        <f ca="1">IF(C836&lt;&gt;"",IF(OR(VLOOKUP(C836,$C$3:$L$6,5,0)=Variables!$B$5,B836&gt;VLOOKUP(C836,$C$3:$L$6,8,0)),-D836*VLOOKUP(C836,$C$3:$L$6,6,0)/12,0),"")</f>
        <v/>
      </c>
      <c r="G836" s="29" t="str">
        <f ca="1">IF(I836&lt;&gt;Variables!$B$1,IF(C836&lt;&gt;"",$I$9-E836-F836,""),-D836)</f>
        <v/>
      </c>
      <c r="H836" s="29" t="str">
        <f t="shared" ca="1" si="76"/>
        <v/>
      </c>
      <c r="I836" s="31" t="str">
        <f ca="1">IF(C836&lt;&gt;"",IF(D836+$I$9-E836-F836&gt;=0,IF(ISERROR(INDEX($C$3:$C$6,MATCH(C836,$C$3:$C$6,0)+1,0)),Variables!$B$1,INDEX($C$3:$C$6,MATCH(C836,$C$3:$C$6,0)+1,0)),""),"")</f>
        <v/>
      </c>
      <c r="J836" s="29" t="str">
        <f ca="1">IF(ISERROR(VLOOKUP(I836,$C$3:$L$6,5,0)),"",IF(OR(VLOOKUP(I836,$C$3:$L$6,5,0)=Variables!$B$5,B836&gt;VLOOKUP(I836,$C$3:$L$6,8,0)),IF(VLOOKUP(I836,$C$3:$L$6,5,0)=Variables!$B$5,((YEAR(B836)-YEAR($B$12))*12+MONTH(B836)-MONTH($B$12)),((YEAR(B836)-YEAR(VLOOKUP(I836,$C$3:$L$6,8,0)))*12+MONTH(B836)-MONTH(VLOOKUP(I836,$C$3:$L$6,8,0))))*(VLOOKUP(I836,$C$3:$L$6,10,0)*VLOOKUP(I836,$C$3:$L$6,6,0)/12),0))</f>
        <v/>
      </c>
      <c r="K836" s="29" t="str">
        <f ca="1">IF(C836&lt;&gt;"",IF(I836&lt;&gt;"",IF(ISERROR(VLOOKUP(I836,$C$3:$L$6,10,0)),"",VLOOKUP(I836,$C$3:$L$6,10,0)+J836+IF(OR(VLOOKUP(I836,$C$3:$L$6,5,0)=Variables!$B$5,B836&gt;VLOOKUP(I836,$C$3:$L$6,8,0)),IF(VLOOKUP(I836,$C$3:$L$6,5,0)=Variables!$B$5,((YEAR(B836)-YEAR($B$12))*12+MONTH(B836)-MONTH($B$12)),((YEAR(B836)-YEAR(VLOOKUP(I836,$C$3:$L$6,8,0)))*12+MONTH(B836)-MONTH(VLOOKUP(I836,$C$3:$L$6,8,0))))*VLOOKUP(I836,$C$3:$L$6,7,0),0)),""),"")</f>
        <v/>
      </c>
      <c r="L836" s="29" t="str">
        <f t="shared" ca="1" si="74"/>
        <v/>
      </c>
      <c r="M836" s="10"/>
      <c r="N836" s="10"/>
    </row>
    <row r="837" spans="1:14" x14ac:dyDescent="0.25">
      <c r="A837" s="10"/>
      <c r="B837" s="14" t="str">
        <f t="shared" ca="1" si="75"/>
        <v/>
      </c>
      <c r="C837" s="14" t="str">
        <f ca="1">IF(I836&lt;&gt;Variables!$B$1,IF(H836&lt;&gt;0,C836,I836),"")</f>
        <v/>
      </c>
      <c r="D837" s="29" t="str">
        <f t="shared" ca="1" si="72"/>
        <v/>
      </c>
      <c r="E837" s="29" t="str">
        <f t="shared" ca="1" si="73"/>
        <v/>
      </c>
      <c r="F837" s="29" t="str">
        <f ca="1">IF(C837&lt;&gt;"",IF(OR(VLOOKUP(C837,$C$3:$L$6,5,0)=Variables!$B$5,B837&gt;VLOOKUP(C837,$C$3:$L$6,8,0)),-D837*VLOOKUP(C837,$C$3:$L$6,6,0)/12,0),"")</f>
        <v/>
      </c>
      <c r="G837" s="29" t="str">
        <f ca="1">IF(I837&lt;&gt;Variables!$B$1,IF(C837&lt;&gt;"",$I$9-E837-F837,""),-D837)</f>
        <v/>
      </c>
      <c r="H837" s="29" t="str">
        <f t="shared" ca="1" si="76"/>
        <v/>
      </c>
      <c r="I837" s="31" t="str">
        <f ca="1">IF(C837&lt;&gt;"",IF(D837+$I$9-E837-F837&gt;=0,IF(ISERROR(INDEX($C$3:$C$6,MATCH(C837,$C$3:$C$6,0)+1,0)),Variables!$B$1,INDEX($C$3:$C$6,MATCH(C837,$C$3:$C$6,0)+1,0)),""),"")</f>
        <v/>
      </c>
      <c r="J837" s="29" t="str">
        <f ca="1">IF(ISERROR(VLOOKUP(I837,$C$3:$L$6,5,0)),"",IF(OR(VLOOKUP(I837,$C$3:$L$6,5,0)=Variables!$B$5,B837&gt;VLOOKUP(I837,$C$3:$L$6,8,0)),IF(VLOOKUP(I837,$C$3:$L$6,5,0)=Variables!$B$5,((YEAR(B837)-YEAR($B$12))*12+MONTH(B837)-MONTH($B$12)),((YEAR(B837)-YEAR(VLOOKUP(I837,$C$3:$L$6,8,0)))*12+MONTH(B837)-MONTH(VLOOKUP(I837,$C$3:$L$6,8,0))))*(VLOOKUP(I837,$C$3:$L$6,10,0)*VLOOKUP(I837,$C$3:$L$6,6,0)/12),0))</f>
        <v/>
      </c>
      <c r="K837" s="29" t="str">
        <f ca="1">IF(C837&lt;&gt;"",IF(I837&lt;&gt;"",IF(ISERROR(VLOOKUP(I837,$C$3:$L$6,10,0)),"",VLOOKUP(I837,$C$3:$L$6,10,0)+J837+IF(OR(VLOOKUP(I837,$C$3:$L$6,5,0)=Variables!$B$5,B837&gt;VLOOKUP(I837,$C$3:$L$6,8,0)),IF(VLOOKUP(I837,$C$3:$L$6,5,0)=Variables!$B$5,((YEAR(B837)-YEAR($B$12))*12+MONTH(B837)-MONTH($B$12)),((YEAR(B837)-YEAR(VLOOKUP(I837,$C$3:$L$6,8,0)))*12+MONTH(B837)-MONTH(VLOOKUP(I837,$C$3:$L$6,8,0))))*VLOOKUP(I837,$C$3:$L$6,7,0),0)),""),"")</f>
        <v/>
      </c>
      <c r="L837" s="29" t="str">
        <f t="shared" ca="1" si="74"/>
        <v/>
      </c>
      <c r="M837" s="10"/>
      <c r="N837" s="10"/>
    </row>
    <row r="838" spans="1:14" x14ac:dyDescent="0.25">
      <c r="A838" s="10"/>
      <c r="B838" s="14" t="str">
        <f t="shared" ca="1" si="75"/>
        <v/>
      </c>
      <c r="C838" s="14" t="str">
        <f ca="1">IF(I837&lt;&gt;Variables!$B$1,IF(H837&lt;&gt;0,C837,I837),"")</f>
        <v/>
      </c>
      <c r="D838" s="29" t="str">
        <f t="shared" ca="1" si="72"/>
        <v/>
      </c>
      <c r="E838" s="29" t="str">
        <f t="shared" ca="1" si="73"/>
        <v/>
      </c>
      <c r="F838" s="29" t="str">
        <f ca="1">IF(C838&lt;&gt;"",IF(OR(VLOOKUP(C838,$C$3:$L$6,5,0)=Variables!$B$5,B838&gt;VLOOKUP(C838,$C$3:$L$6,8,0)),-D838*VLOOKUP(C838,$C$3:$L$6,6,0)/12,0),"")</f>
        <v/>
      </c>
      <c r="G838" s="29" t="str">
        <f ca="1">IF(I838&lt;&gt;Variables!$B$1,IF(C838&lt;&gt;"",$I$9-E838-F838,""),-D838)</f>
        <v/>
      </c>
      <c r="H838" s="29" t="str">
        <f t="shared" ca="1" si="76"/>
        <v/>
      </c>
      <c r="I838" s="31" t="str">
        <f ca="1">IF(C838&lt;&gt;"",IF(D838+$I$9-E838-F838&gt;=0,IF(ISERROR(INDEX($C$3:$C$6,MATCH(C838,$C$3:$C$6,0)+1,0)),Variables!$B$1,INDEX($C$3:$C$6,MATCH(C838,$C$3:$C$6,0)+1,0)),""),"")</f>
        <v/>
      </c>
      <c r="J838" s="29" t="str">
        <f ca="1">IF(ISERROR(VLOOKUP(I838,$C$3:$L$6,5,0)),"",IF(OR(VLOOKUP(I838,$C$3:$L$6,5,0)=Variables!$B$5,B838&gt;VLOOKUP(I838,$C$3:$L$6,8,0)),IF(VLOOKUP(I838,$C$3:$L$6,5,0)=Variables!$B$5,((YEAR(B838)-YEAR($B$12))*12+MONTH(B838)-MONTH($B$12)),((YEAR(B838)-YEAR(VLOOKUP(I838,$C$3:$L$6,8,0)))*12+MONTH(B838)-MONTH(VLOOKUP(I838,$C$3:$L$6,8,0))))*(VLOOKUP(I838,$C$3:$L$6,10,0)*VLOOKUP(I838,$C$3:$L$6,6,0)/12),0))</f>
        <v/>
      </c>
      <c r="K838" s="29" t="str">
        <f ca="1">IF(C838&lt;&gt;"",IF(I838&lt;&gt;"",IF(ISERROR(VLOOKUP(I838,$C$3:$L$6,10,0)),"",VLOOKUP(I838,$C$3:$L$6,10,0)+J838+IF(OR(VLOOKUP(I838,$C$3:$L$6,5,0)=Variables!$B$5,B838&gt;VLOOKUP(I838,$C$3:$L$6,8,0)),IF(VLOOKUP(I838,$C$3:$L$6,5,0)=Variables!$B$5,((YEAR(B838)-YEAR($B$12))*12+MONTH(B838)-MONTH($B$12)),((YEAR(B838)-YEAR(VLOOKUP(I838,$C$3:$L$6,8,0)))*12+MONTH(B838)-MONTH(VLOOKUP(I838,$C$3:$L$6,8,0))))*VLOOKUP(I838,$C$3:$L$6,7,0),0)),""),"")</f>
        <v/>
      </c>
      <c r="L838" s="29" t="str">
        <f t="shared" ca="1" si="74"/>
        <v/>
      </c>
      <c r="M838" s="10"/>
      <c r="N838" s="10"/>
    </row>
    <row r="839" spans="1:14" x14ac:dyDescent="0.25">
      <c r="A839" s="10"/>
      <c r="B839" s="14" t="str">
        <f t="shared" ca="1" si="75"/>
        <v/>
      </c>
      <c r="C839" s="14" t="str">
        <f ca="1">IF(I838&lt;&gt;Variables!$B$1,IF(H838&lt;&gt;0,C838,I838),"")</f>
        <v/>
      </c>
      <c r="D839" s="29" t="str">
        <f t="shared" ca="1" si="72"/>
        <v/>
      </c>
      <c r="E839" s="29" t="str">
        <f t="shared" ca="1" si="73"/>
        <v/>
      </c>
      <c r="F839" s="29" t="str">
        <f ca="1">IF(C839&lt;&gt;"",IF(OR(VLOOKUP(C839,$C$3:$L$6,5,0)=Variables!$B$5,B839&gt;VLOOKUP(C839,$C$3:$L$6,8,0)),-D839*VLOOKUP(C839,$C$3:$L$6,6,0)/12,0),"")</f>
        <v/>
      </c>
      <c r="G839" s="29" t="str">
        <f ca="1">IF(I839&lt;&gt;Variables!$B$1,IF(C839&lt;&gt;"",$I$9-E839-F839,""),-D839)</f>
        <v/>
      </c>
      <c r="H839" s="29" t="str">
        <f t="shared" ca="1" si="76"/>
        <v/>
      </c>
      <c r="I839" s="31" t="str">
        <f ca="1">IF(C839&lt;&gt;"",IF(D839+$I$9-E839-F839&gt;=0,IF(ISERROR(INDEX($C$3:$C$6,MATCH(C839,$C$3:$C$6,0)+1,0)),Variables!$B$1,INDEX($C$3:$C$6,MATCH(C839,$C$3:$C$6,0)+1,0)),""),"")</f>
        <v/>
      </c>
      <c r="J839" s="29" t="str">
        <f ca="1">IF(ISERROR(VLOOKUP(I839,$C$3:$L$6,5,0)),"",IF(OR(VLOOKUP(I839,$C$3:$L$6,5,0)=Variables!$B$5,B839&gt;VLOOKUP(I839,$C$3:$L$6,8,0)),IF(VLOOKUP(I839,$C$3:$L$6,5,0)=Variables!$B$5,((YEAR(B839)-YEAR($B$12))*12+MONTH(B839)-MONTH($B$12)),((YEAR(B839)-YEAR(VLOOKUP(I839,$C$3:$L$6,8,0)))*12+MONTH(B839)-MONTH(VLOOKUP(I839,$C$3:$L$6,8,0))))*(VLOOKUP(I839,$C$3:$L$6,10,0)*VLOOKUP(I839,$C$3:$L$6,6,0)/12),0))</f>
        <v/>
      </c>
      <c r="K839" s="29" t="str">
        <f ca="1">IF(C839&lt;&gt;"",IF(I839&lt;&gt;"",IF(ISERROR(VLOOKUP(I839,$C$3:$L$6,10,0)),"",VLOOKUP(I839,$C$3:$L$6,10,0)+J839+IF(OR(VLOOKUP(I839,$C$3:$L$6,5,0)=Variables!$B$5,B839&gt;VLOOKUP(I839,$C$3:$L$6,8,0)),IF(VLOOKUP(I839,$C$3:$L$6,5,0)=Variables!$B$5,((YEAR(B839)-YEAR($B$12))*12+MONTH(B839)-MONTH($B$12)),((YEAR(B839)-YEAR(VLOOKUP(I839,$C$3:$L$6,8,0)))*12+MONTH(B839)-MONTH(VLOOKUP(I839,$C$3:$L$6,8,0))))*VLOOKUP(I839,$C$3:$L$6,7,0),0)),""),"")</f>
        <v/>
      </c>
      <c r="L839" s="29" t="str">
        <f t="shared" ca="1" si="74"/>
        <v/>
      </c>
      <c r="M839" s="10"/>
      <c r="N839" s="10"/>
    </row>
    <row r="840" spans="1:14" x14ac:dyDescent="0.25">
      <c r="A840" s="10"/>
      <c r="B840" s="14" t="str">
        <f t="shared" ca="1" si="75"/>
        <v/>
      </c>
      <c r="C840" s="14" t="str">
        <f ca="1">IF(I839&lt;&gt;Variables!$B$1,IF(H839&lt;&gt;0,C839,I839),"")</f>
        <v/>
      </c>
      <c r="D840" s="29" t="str">
        <f t="shared" ca="1" si="72"/>
        <v/>
      </c>
      <c r="E840" s="29" t="str">
        <f t="shared" ca="1" si="73"/>
        <v/>
      </c>
      <c r="F840" s="29" t="str">
        <f ca="1">IF(C840&lt;&gt;"",IF(OR(VLOOKUP(C840,$C$3:$L$6,5,0)=Variables!$B$5,B840&gt;VLOOKUP(C840,$C$3:$L$6,8,0)),-D840*VLOOKUP(C840,$C$3:$L$6,6,0)/12,0),"")</f>
        <v/>
      </c>
      <c r="G840" s="29" t="str">
        <f ca="1">IF(I840&lt;&gt;Variables!$B$1,IF(C840&lt;&gt;"",$I$9-E840-F840,""),-D840)</f>
        <v/>
      </c>
      <c r="H840" s="29" t="str">
        <f t="shared" ca="1" si="76"/>
        <v/>
      </c>
      <c r="I840" s="31" t="str">
        <f ca="1">IF(C840&lt;&gt;"",IF(D840+$I$9-E840-F840&gt;=0,IF(ISERROR(INDEX($C$3:$C$6,MATCH(C840,$C$3:$C$6,0)+1,0)),Variables!$B$1,INDEX($C$3:$C$6,MATCH(C840,$C$3:$C$6,0)+1,0)),""),"")</f>
        <v/>
      </c>
      <c r="J840" s="29" t="str">
        <f ca="1">IF(ISERROR(VLOOKUP(I840,$C$3:$L$6,5,0)),"",IF(OR(VLOOKUP(I840,$C$3:$L$6,5,0)=Variables!$B$5,B840&gt;VLOOKUP(I840,$C$3:$L$6,8,0)),IF(VLOOKUP(I840,$C$3:$L$6,5,0)=Variables!$B$5,((YEAR(B840)-YEAR($B$12))*12+MONTH(B840)-MONTH($B$12)),((YEAR(B840)-YEAR(VLOOKUP(I840,$C$3:$L$6,8,0)))*12+MONTH(B840)-MONTH(VLOOKUP(I840,$C$3:$L$6,8,0))))*(VLOOKUP(I840,$C$3:$L$6,10,0)*VLOOKUP(I840,$C$3:$L$6,6,0)/12),0))</f>
        <v/>
      </c>
      <c r="K840" s="29" t="str">
        <f ca="1">IF(C840&lt;&gt;"",IF(I840&lt;&gt;"",IF(ISERROR(VLOOKUP(I840,$C$3:$L$6,10,0)),"",VLOOKUP(I840,$C$3:$L$6,10,0)+J840+IF(OR(VLOOKUP(I840,$C$3:$L$6,5,0)=Variables!$B$5,B840&gt;VLOOKUP(I840,$C$3:$L$6,8,0)),IF(VLOOKUP(I840,$C$3:$L$6,5,0)=Variables!$B$5,((YEAR(B840)-YEAR($B$12))*12+MONTH(B840)-MONTH($B$12)),((YEAR(B840)-YEAR(VLOOKUP(I840,$C$3:$L$6,8,0)))*12+MONTH(B840)-MONTH(VLOOKUP(I840,$C$3:$L$6,8,0))))*VLOOKUP(I840,$C$3:$L$6,7,0),0)),""),"")</f>
        <v/>
      </c>
      <c r="L840" s="29" t="str">
        <f t="shared" ca="1" si="74"/>
        <v/>
      </c>
      <c r="M840" s="10"/>
      <c r="N840" s="10"/>
    </row>
    <row r="841" spans="1:14" x14ac:dyDescent="0.25">
      <c r="A841" s="10"/>
      <c r="B841" s="14" t="str">
        <f t="shared" ca="1" si="75"/>
        <v/>
      </c>
      <c r="C841" s="14" t="str">
        <f ca="1">IF(I840&lt;&gt;Variables!$B$1,IF(H840&lt;&gt;0,C840,I840),"")</f>
        <v/>
      </c>
      <c r="D841" s="29" t="str">
        <f t="shared" ca="1" si="72"/>
        <v/>
      </c>
      <c r="E841" s="29" t="str">
        <f t="shared" ca="1" si="73"/>
        <v/>
      </c>
      <c r="F841" s="29" t="str">
        <f ca="1">IF(C841&lt;&gt;"",IF(OR(VLOOKUP(C841,$C$3:$L$6,5,0)=Variables!$B$5,B841&gt;VLOOKUP(C841,$C$3:$L$6,8,0)),-D841*VLOOKUP(C841,$C$3:$L$6,6,0)/12,0),"")</f>
        <v/>
      </c>
      <c r="G841" s="29" t="str">
        <f ca="1">IF(I841&lt;&gt;Variables!$B$1,IF(C841&lt;&gt;"",$I$9-E841-F841,""),-D841)</f>
        <v/>
      </c>
      <c r="H841" s="29" t="str">
        <f t="shared" ca="1" si="76"/>
        <v/>
      </c>
      <c r="I841" s="31" t="str">
        <f ca="1">IF(C841&lt;&gt;"",IF(D841+$I$9-E841-F841&gt;=0,IF(ISERROR(INDEX($C$3:$C$6,MATCH(C841,$C$3:$C$6,0)+1,0)),Variables!$B$1,INDEX($C$3:$C$6,MATCH(C841,$C$3:$C$6,0)+1,0)),""),"")</f>
        <v/>
      </c>
      <c r="J841" s="29" t="str">
        <f ca="1">IF(ISERROR(VLOOKUP(I841,$C$3:$L$6,5,0)),"",IF(OR(VLOOKUP(I841,$C$3:$L$6,5,0)=Variables!$B$5,B841&gt;VLOOKUP(I841,$C$3:$L$6,8,0)),IF(VLOOKUP(I841,$C$3:$L$6,5,0)=Variables!$B$5,((YEAR(B841)-YEAR($B$12))*12+MONTH(B841)-MONTH($B$12)),((YEAR(B841)-YEAR(VLOOKUP(I841,$C$3:$L$6,8,0)))*12+MONTH(B841)-MONTH(VLOOKUP(I841,$C$3:$L$6,8,0))))*(VLOOKUP(I841,$C$3:$L$6,10,0)*VLOOKUP(I841,$C$3:$L$6,6,0)/12),0))</f>
        <v/>
      </c>
      <c r="K841" s="29" t="str">
        <f ca="1">IF(C841&lt;&gt;"",IF(I841&lt;&gt;"",IF(ISERROR(VLOOKUP(I841,$C$3:$L$6,10,0)),"",VLOOKUP(I841,$C$3:$L$6,10,0)+J841+IF(OR(VLOOKUP(I841,$C$3:$L$6,5,0)=Variables!$B$5,B841&gt;VLOOKUP(I841,$C$3:$L$6,8,0)),IF(VLOOKUP(I841,$C$3:$L$6,5,0)=Variables!$B$5,((YEAR(B841)-YEAR($B$12))*12+MONTH(B841)-MONTH($B$12)),((YEAR(B841)-YEAR(VLOOKUP(I841,$C$3:$L$6,8,0)))*12+MONTH(B841)-MONTH(VLOOKUP(I841,$C$3:$L$6,8,0))))*VLOOKUP(I841,$C$3:$L$6,7,0),0)),""),"")</f>
        <v/>
      </c>
      <c r="L841" s="29" t="str">
        <f t="shared" ca="1" si="74"/>
        <v/>
      </c>
      <c r="M841" s="10"/>
      <c r="N841" s="10"/>
    </row>
    <row r="842" spans="1:14" x14ac:dyDescent="0.25">
      <c r="A842" s="10"/>
      <c r="B842" s="14" t="str">
        <f t="shared" ca="1" si="75"/>
        <v/>
      </c>
      <c r="C842" s="14" t="str">
        <f ca="1">IF(I841&lt;&gt;Variables!$B$1,IF(H841&lt;&gt;0,C841,I841),"")</f>
        <v/>
      </c>
      <c r="D842" s="29" t="str">
        <f t="shared" ca="1" si="72"/>
        <v/>
      </c>
      <c r="E842" s="29" t="str">
        <f t="shared" ca="1" si="73"/>
        <v/>
      </c>
      <c r="F842" s="29" t="str">
        <f ca="1">IF(C842&lt;&gt;"",IF(OR(VLOOKUP(C842,$C$3:$L$6,5,0)=Variables!$B$5,B842&gt;VLOOKUP(C842,$C$3:$L$6,8,0)),-D842*VLOOKUP(C842,$C$3:$L$6,6,0)/12,0),"")</f>
        <v/>
      </c>
      <c r="G842" s="29" t="str">
        <f ca="1">IF(I842&lt;&gt;Variables!$B$1,IF(C842&lt;&gt;"",$I$9-E842-F842,""),-D842)</f>
        <v/>
      </c>
      <c r="H842" s="29" t="str">
        <f t="shared" ca="1" si="76"/>
        <v/>
      </c>
      <c r="I842" s="31" t="str">
        <f ca="1">IF(C842&lt;&gt;"",IF(D842+$I$9-E842-F842&gt;=0,IF(ISERROR(INDEX($C$3:$C$6,MATCH(C842,$C$3:$C$6,0)+1,0)),Variables!$B$1,INDEX($C$3:$C$6,MATCH(C842,$C$3:$C$6,0)+1,0)),""),"")</f>
        <v/>
      </c>
      <c r="J842" s="29" t="str">
        <f ca="1">IF(ISERROR(VLOOKUP(I842,$C$3:$L$6,5,0)),"",IF(OR(VLOOKUP(I842,$C$3:$L$6,5,0)=Variables!$B$5,B842&gt;VLOOKUP(I842,$C$3:$L$6,8,0)),IF(VLOOKUP(I842,$C$3:$L$6,5,0)=Variables!$B$5,((YEAR(B842)-YEAR($B$12))*12+MONTH(B842)-MONTH($B$12)),((YEAR(B842)-YEAR(VLOOKUP(I842,$C$3:$L$6,8,0)))*12+MONTH(B842)-MONTH(VLOOKUP(I842,$C$3:$L$6,8,0))))*(VLOOKUP(I842,$C$3:$L$6,10,0)*VLOOKUP(I842,$C$3:$L$6,6,0)/12),0))</f>
        <v/>
      </c>
      <c r="K842" s="29" t="str">
        <f ca="1">IF(C842&lt;&gt;"",IF(I842&lt;&gt;"",IF(ISERROR(VLOOKUP(I842,$C$3:$L$6,10,0)),"",VLOOKUP(I842,$C$3:$L$6,10,0)+J842+IF(OR(VLOOKUP(I842,$C$3:$L$6,5,0)=Variables!$B$5,B842&gt;VLOOKUP(I842,$C$3:$L$6,8,0)),IF(VLOOKUP(I842,$C$3:$L$6,5,0)=Variables!$B$5,((YEAR(B842)-YEAR($B$12))*12+MONTH(B842)-MONTH($B$12)),((YEAR(B842)-YEAR(VLOOKUP(I842,$C$3:$L$6,8,0)))*12+MONTH(B842)-MONTH(VLOOKUP(I842,$C$3:$L$6,8,0))))*VLOOKUP(I842,$C$3:$L$6,7,0),0)),""),"")</f>
        <v/>
      </c>
      <c r="L842" s="29" t="str">
        <f t="shared" ca="1" si="74"/>
        <v/>
      </c>
      <c r="M842" s="10"/>
      <c r="N842" s="10"/>
    </row>
    <row r="843" spans="1:14" x14ac:dyDescent="0.25">
      <c r="A843" s="10"/>
      <c r="B843" s="14" t="str">
        <f t="shared" ca="1" si="75"/>
        <v/>
      </c>
      <c r="C843" s="14" t="str">
        <f ca="1">IF(I842&lt;&gt;Variables!$B$1,IF(H842&lt;&gt;0,C842,I842),"")</f>
        <v/>
      </c>
      <c r="D843" s="29" t="str">
        <f t="shared" ca="1" si="72"/>
        <v/>
      </c>
      <c r="E843" s="29" t="str">
        <f t="shared" ca="1" si="73"/>
        <v/>
      </c>
      <c r="F843" s="29" t="str">
        <f ca="1">IF(C843&lt;&gt;"",IF(OR(VLOOKUP(C843,$C$3:$L$6,5,0)=Variables!$B$5,B843&gt;VLOOKUP(C843,$C$3:$L$6,8,0)),-D843*VLOOKUP(C843,$C$3:$L$6,6,0)/12,0),"")</f>
        <v/>
      </c>
      <c r="G843" s="29" t="str">
        <f ca="1">IF(I843&lt;&gt;Variables!$B$1,IF(C843&lt;&gt;"",$I$9-E843-F843,""),-D843)</f>
        <v/>
      </c>
      <c r="H843" s="29" t="str">
        <f t="shared" ca="1" si="76"/>
        <v/>
      </c>
      <c r="I843" s="31" t="str">
        <f ca="1">IF(C843&lt;&gt;"",IF(D843+$I$9-E843-F843&gt;=0,IF(ISERROR(INDEX($C$3:$C$6,MATCH(C843,$C$3:$C$6,0)+1,0)),Variables!$B$1,INDEX($C$3:$C$6,MATCH(C843,$C$3:$C$6,0)+1,0)),""),"")</f>
        <v/>
      </c>
      <c r="J843" s="29" t="str">
        <f ca="1">IF(ISERROR(VLOOKUP(I843,$C$3:$L$6,5,0)),"",IF(OR(VLOOKUP(I843,$C$3:$L$6,5,0)=Variables!$B$5,B843&gt;VLOOKUP(I843,$C$3:$L$6,8,0)),IF(VLOOKUP(I843,$C$3:$L$6,5,0)=Variables!$B$5,((YEAR(B843)-YEAR($B$12))*12+MONTH(B843)-MONTH($B$12)),((YEAR(B843)-YEAR(VLOOKUP(I843,$C$3:$L$6,8,0)))*12+MONTH(B843)-MONTH(VLOOKUP(I843,$C$3:$L$6,8,0))))*(VLOOKUP(I843,$C$3:$L$6,10,0)*VLOOKUP(I843,$C$3:$L$6,6,0)/12),0))</f>
        <v/>
      </c>
      <c r="K843" s="29" t="str">
        <f ca="1">IF(C843&lt;&gt;"",IF(I843&lt;&gt;"",IF(ISERROR(VLOOKUP(I843,$C$3:$L$6,10,0)),"",VLOOKUP(I843,$C$3:$L$6,10,0)+J843+IF(OR(VLOOKUP(I843,$C$3:$L$6,5,0)=Variables!$B$5,B843&gt;VLOOKUP(I843,$C$3:$L$6,8,0)),IF(VLOOKUP(I843,$C$3:$L$6,5,0)=Variables!$B$5,((YEAR(B843)-YEAR($B$12))*12+MONTH(B843)-MONTH($B$12)),((YEAR(B843)-YEAR(VLOOKUP(I843,$C$3:$L$6,8,0)))*12+MONTH(B843)-MONTH(VLOOKUP(I843,$C$3:$L$6,8,0))))*VLOOKUP(I843,$C$3:$L$6,7,0),0)),""),"")</f>
        <v/>
      </c>
      <c r="L843" s="29" t="str">
        <f t="shared" ca="1" si="74"/>
        <v/>
      </c>
      <c r="M843" s="10"/>
      <c r="N843" s="10"/>
    </row>
    <row r="844" spans="1:14" x14ac:dyDescent="0.25">
      <c r="A844" s="10"/>
      <c r="B844" s="14" t="str">
        <f t="shared" ca="1" si="75"/>
        <v/>
      </c>
      <c r="C844" s="14" t="str">
        <f ca="1">IF(I843&lt;&gt;Variables!$B$1,IF(H843&lt;&gt;0,C843,I843),"")</f>
        <v/>
      </c>
      <c r="D844" s="29" t="str">
        <f t="shared" ca="1" si="72"/>
        <v/>
      </c>
      <c r="E844" s="29" t="str">
        <f t="shared" ca="1" si="73"/>
        <v/>
      </c>
      <c r="F844" s="29" t="str">
        <f ca="1">IF(C844&lt;&gt;"",IF(OR(VLOOKUP(C844,$C$3:$L$6,5,0)=Variables!$B$5,B844&gt;VLOOKUP(C844,$C$3:$L$6,8,0)),-D844*VLOOKUP(C844,$C$3:$L$6,6,0)/12,0),"")</f>
        <v/>
      </c>
      <c r="G844" s="29" t="str">
        <f ca="1">IF(I844&lt;&gt;Variables!$B$1,IF(C844&lt;&gt;"",$I$9-E844-F844,""),-D844)</f>
        <v/>
      </c>
      <c r="H844" s="29" t="str">
        <f t="shared" ca="1" si="76"/>
        <v/>
      </c>
      <c r="I844" s="31" t="str">
        <f ca="1">IF(C844&lt;&gt;"",IF(D844+$I$9-E844-F844&gt;=0,IF(ISERROR(INDEX($C$3:$C$6,MATCH(C844,$C$3:$C$6,0)+1,0)),Variables!$B$1,INDEX($C$3:$C$6,MATCH(C844,$C$3:$C$6,0)+1,0)),""),"")</f>
        <v/>
      </c>
      <c r="J844" s="29" t="str">
        <f ca="1">IF(ISERROR(VLOOKUP(I844,$C$3:$L$6,5,0)),"",IF(OR(VLOOKUP(I844,$C$3:$L$6,5,0)=Variables!$B$5,B844&gt;VLOOKUP(I844,$C$3:$L$6,8,0)),IF(VLOOKUP(I844,$C$3:$L$6,5,0)=Variables!$B$5,((YEAR(B844)-YEAR($B$12))*12+MONTH(B844)-MONTH($B$12)),((YEAR(B844)-YEAR(VLOOKUP(I844,$C$3:$L$6,8,0)))*12+MONTH(B844)-MONTH(VLOOKUP(I844,$C$3:$L$6,8,0))))*(VLOOKUP(I844,$C$3:$L$6,10,0)*VLOOKUP(I844,$C$3:$L$6,6,0)/12),0))</f>
        <v/>
      </c>
      <c r="K844" s="29" t="str">
        <f ca="1">IF(C844&lt;&gt;"",IF(I844&lt;&gt;"",IF(ISERROR(VLOOKUP(I844,$C$3:$L$6,10,0)),"",VLOOKUP(I844,$C$3:$L$6,10,0)+J844+IF(OR(VLOOKUP(I844,$C$3:$L$6,5,0)=Variables!$B$5,B844&gt;VLOOKUP(I844,$C$3:$L$6,8,0)),IF(VLOOKUP(I844,$C$3:$L$6,5,0)=Variables!$B$5,((YEAR(B844)-YEAR($B$12))*12+MONTH(B844)-MONTH($B$12)),((YEAR(B844)-YEAR(VLOOKUP(I844,$C$3:$L$6,8,0)))*12+MONTH(B844)-MONTH(VLOOKUP(I844,$C$3:$L$6,8,0))))*VLOOKUP(I844,$C$3:$L$6,7,0),0)),""),"")</f>
        <v/>
      </c>
      <c r="L844" s="29" t="str">
        <f t="shared" ca="1" si="74"/>
        <v/>
      </c>
      <c r="M844" s="10"/>
      <c r="N844" s="10"/>
    </row>
    <row r="845" spans="1:14" x14ac:dyDescent="0.25">
      <c r="A845" s="10"/>
      <c r="B845" s="14" t="str">
        <f t="shared" ca="1" si="75"/>
        <v/>
      </c>
      <c r="C845" s="14" t="str">
        <f ca="1">IF(I844&lt;&gt;Variables!$B$1,IF(H844&lt;&gt;0,C844,I844),"")</f>
        <v/>
      </c>
      <c r="D845" s="29" t="str">
        <f t="shared" ca="1" si="72"/>
        <v/>
      </c>
      <c r="E845" s="29" t="str">
        <f t="shared" ca="1" si="73"/>
        <v/>
      </c>
      <c r="F845" s="29" t="str">
        <f ca="1">IF(C845&lt;&gt;"",IF(OR(VLOOKUP(C845,$C$3:$L$6,5,0)=Variables!$B$5,B845&gt;VLOOKUP(C845,$C$3:$L$6,8,0)),-D845*VLOOKUP(C845,$C$3:$L$6,6,0)/12,0),"")</f>
        <v/>
      </c>
      <c r="G845" s="29" t="str">
        <f ca="1">IF(I845&lt;&gt;Variables!$B$1,IF(C845&lt;&gt;"",$I$9-E845-F845,""),-D845)</f>
        <v/>
      </c>
      <c r="H845" s="29" t="str">
        <f t="shared" ca="1" si="76"/>
        <v/>
      </c>
      <c r="I845" s="31" t="str">
        <f ca="1">IF(C845&lt;&gt;"",IF(D845+$I$9-E845-F845&gt;=0,IF(ISERROR(INDEX($C$3:$C$6,MATCH(C845,$C$3:$C$6,0)+1,0)),Variables!$B$1,INDEX($C$3:$C$6,MATCH(C845,$C$3:$C$6,0)+1,0)),""),"")</f>
        <v/>
      </c>
      <c r="J845" s="29" t="str">
        <f ca="1">IF(ISERROR(VLOOKUP(I845,$C$3:$L$6,5,0)),"",IF(OR(VLOOKUP(I845,$C$3:$L$6,5,0)=Variables!$B$5,B845&gt;VLOOKUP(I845,$C$3:$L$6,8,0)),IF(VLOOKUP(I845,$C$3:$L$6,5,0)=Variables!$B$5,((YEAR(B845)-YEAR($B$12))*12+MONTH(B845)-MONTH($B$12)),((YEAR(B845)-YEAR(VLOOKUP(I845,$C$3:$L$6,8,0)))*12+MONTH(B845)-MONTH(VLOOKUP(I845,$C$3:$L$6,8,0))))*(VLOOKUP(I845,$C$3:$L$6,10,0)*VLOOKUP(I845,$C$3:$L$6,6,0)/12),0))</f>
        <v/>
      </c>
      <c r="K845" s="29" t="str">
        <f ca="1">IF(C845&lt;&gt;"",IF(I845&lt;&gt;"",IF(ISERROR(VLOOKUP(I845,$C$3:$L$6,10,0)),"",VLOOKUP(I845,$C$3:$L$6,10,0)+J845+IF(OR(VLOOKUP(I845,$C$3:$L$6,5,0)=Variables!$B$5,B845&gt;VLOOKUP(I845,$C$3:$L$6,8,0)),IF(VLOOKUP(I845,$C$3:$L$6,5,0)=Variables!$B$5,((YEAR(B845)-YEAR($B$12))*12+MONTH(B845)-MONTH($B$12)),((YEAR(B845)-YEAR(VLOOKUP(I845,$C$3:$L$6,8,0)))*12+MONTH(B845)-MONTH(VLOOKUP(I845,$C$3:$L$6,8,0))))*VLOOKUP(I845,$C$3:$L$6,7,0),0)),""),"")</f>
        <v/>
      </c>
      <c r="L845" s="29" t="str">
        <f t="shared" ca="1" si="74"/>
        <v/>
      </c>
      <c r="M845" s="10"/>
      <c r="N845" s="10"/>
    </row>
    <row r="846" spans="1:14" x14ac:dyDescent="0.25">
      <c r="A846" s="10"/>
      <c r="B846" s="14" t="str">
        <f t="shared" ca="1" si="75"/>
        <v/>
      </c>
      <c r="C846" s="14" t="str">
        <f ca="1">IF(I845&lt;&gt;Variables!$B$1,IF(H845&lt;&gt;0,C845,I845),"")</f>
        <v/>
      </c>
      <c r="D846" s="29" t="str">
        <f t="shared" ca="1" si="72"/>
        <v/>
      </c>
      <c r="E846" s="29" t="str">
        <f t="shared" ca="1" si="73"/>
        <v/>
      </c>
      <c r="F846" s="29" t="str">
        <f ca="1">IF(C846&lt;&gt;"",IF(OR(VLOOKUP(C846,$C$3:$L$6,5,0)=Variables!$B$5,B846&gt;VLOOKUP(C846,$C$3:$L$6,8,0)),-D846*VLOOKUP(C846,$C$3:$L$6,6,0)/12,0),"")</f>
        <v/>
      </c>
      <c r="G846" s="29" t="str">
        <f ca="1">IF(I846&lt;&gt;Variables!$B$1,IF(C846&lt;&gt;"",$I$9-E846-F846,""),-D846)</f>
        <v/>
      </c>
      <c r="H846" s="29" t="str">
        <f t="shared" ca="1" si="76"/>
        <v/>
      </c>
      <c r="I846" s="31" t="str">
        <f ca="1">IF(C846&lt;&gt;"",IF(D846+$I$9-E846-F846&gt;=0,IF(ISERROR(INDEX($C$3:$C$6,MATCH(C846,$C$3:$C$6,0)+1,0)),Variables!$B$1,INDEX($C$3:$C$6,MATCH(C846,$C$3:$C$6,0)+1,0)),""),"")</f>
        <v/>
      </c>
      <c r="J846" s="29" t="str">
        <f ca="1">IF(ISERROR(VLOOKUP(I846,$C$3:$L$6,5,0)),"",IF(OR(VLOOKUP(I846,$C$3:$L$6,5,0)=Variables!$B$5,B846&gt;VLOOKUP(I846,$C$3:$L$6,8,0)),IF(VLOOKUP(I846,$C$3:$L$6,5,0)=Variables!$B$5,((YEAR(B846)-YEAR($B$12))*12+MONTH(B846)-MONTH($B$12)),((YEAR(B846)-YEAR(VLOOKUP(I846,$C$3:$L$6,8,0)))*12+MONTH(B846)-MONTH(VLOOKUP(I846,$C$3:$L$6,8,0))))*(VLOOKUP(I846,$C$3:$L$6,10,0)*VLOOKUP(I846,$C$3:$L$6,6,0)/12),0))</f>
        <v/>
      </c>
      <c r="K846" s="29" t="str">
        <f ca="1">IF(C846&lt;&gt;"",IF(I846&lt;&gt;"",IF(ISERROR(VLOOKUP(I846,$C$3:$L$6,10,0)),"",VLOOKUP(I846,$C$3:$L$6,10,0)+J846+IF(OR(VLOOKUP(I846,$C$3:$L$6,5,0)=Variables!$B$5,B846&gt;VLOOKUP(I846,$C$3:$L$6,8,0)),IF(VLOOKUP(I846,$C$3:$L$6,5,0)=Variables!$B$5,((YEAR(B846)-YEAR($B$12))*12+MONTH(B846)-MONTH($B$12)),((YEAR(B846)-YEAR(VLOOKUP(I846,$C$3:$L$6,8,0)))*12+MONTH(B846)-MONTH(VLOOKUP(I846,$C$3:$L$6,8,0))))*VLOOKUP(I846,$C$3:$L$6,7,0),0)),""),"")</f>
        <v/>
      </c>
      <c r="L846" s="29" t="str">
        <f t="shared" ca="1" si="74"/>
        <v/>
      </c>
      <c r="M846" s="10"/>
      <c r="N846" s="10"/>
    </row>
    <row r="847" spans="1:14" x14ac:dyDescent="0.25">
      <c r="A847" s="10"/>
      <c r="B847" s="14" t="str">
        <f t="shared" ca="1" si="75"/>
        <v/>
      </c>
      <c r="C847" s="14" t="str">
        <f ca="1">IF(I846&lt;&gt;Variables!$B$1,IF(H846&lt;&gt;0,C846,I846),"")</f>
        <v/>
      </c>
      <c r="D847" s="29" t="str">
        <f t="shared" ca="1" si="72"/>
        <v/>
      </c>
      <c r="E847" s="29" t="str">
        <f t="shared" ca="1" si="73"/>
        <v/>
      </c>
      <c r="F847" s="29" t="str">
        <f ca="1">IF(C847&lt;&gt;"",IF(OR(VLOOKUP(C847,$C$3:$L$6,5,0)=Variables!$B$5,B847&gt;VLOOKUP(C847,$C$3:$L$6,8,0)),-D847*VLOOKUP(C847,$C$3:$L$6,6,0)/12,0),"")</f>
        <v/>
      </c>
      <c r="G847" s="29" t="str">
        <f ca="1">IF(I847&lt;&gt;Variables!$B$1,IF(C847&lt;&gt;"",$I$9-E847-F847,""),-D847)</f>
        <v/>
      </c>
      <c r="H847" s="29" t="str">
        <f t="shared" ca="1" si="76"/>
        <v/>
      </c>
      <c r="I847" s="31" t="str">
        <f ca="1">IF(C847&lt;&gt;"",IF(D847+$I$9-E847-F847&gt;=0,IF(ISERROR(INDEX($C$3:$C$6,MATCH(C847,$C$3:$C$6,0)+1,0)),Variables!$B$1,INDEX($C$3:$C$6,MATCH(C847,$C$3:$C$6,0)+1,0)),""),"")</f>
        <v/>
      </c>
      <c r="J847" s="29" t="str">
        <f ca="1">IF(ISERROR(VLOOKUP(I847,$C$3:$L$6,5,0)),"",IF(OR(VLOOKUP(I847,$C$3:$L$6,5,0)=Variables!$B$5,B847&gt;VLOOKUP(I847,$C$3:$L$6,8,0)),IF(VLOOKUP(I847,$C$3:$L$6,5,0)=Variables!$B$5,((YEAR(B847)-YEAR($B$12))*12+MONTH(B847)-MONTH($B$12)),((YEAR(B847)-YEAR(VLOOKUP(I847,$C$3:$L$6,8,0)))*12+MONTH(B847)-MONTH(VLOOKUP(I847,$C$3:$L$6,8,0))))*(VLOOKUP(I847,$C$3:$L$6,10,0)*VLOOKUP(I847,$C$3:$L$6,6,0)/12),0))</f>
        <v/>
      </c>
      <c r="K847" s="29" t="str">
        <f ca="1">IF(C847&lt;&gt;"",IF(I847&lt;&gt;"",IF(ISERROR(VLOOKUP(I847,$C$3:$L$6,10,0)),"",VLOOKUP(I847,$C$3:$L$6,10,0)+J847+IF(OR(VLOOKUP(I847,$C$3:$L$6,5,0)=Variables!$B$5,B847&gt;VLOOKUP(I847,$C$3:$L$6,8,0)),IF(VLOOKUP(I847,$C$3:$L$6,5,0)=Variables!$B$5,((YEAR(B847)-YEAR($B$12))*12+MONTH(B847)-MONTH($B$12)),((YEAR(B847)-YEAR(VLOOKUP(I847,$C$3:$L$6,8,0)))*12+MONTH(B847)-MONTH(VLOOKUP(I847,$C$3:$L$6,8,0))))*VLOOKUP(I847,$C$3:$L$6,7,0),0)),""),"")</f>
        <v/>
      </c>
      <c r="L847" s="29" t="str">
        <f t="shared" ca="1" si="74"/>
        <v/>
      </c>
      <c r="M847" s="10"/>
      <c r="N847" s="10"/>
    </row>
    <row r="848" spans="1:14" x14ac:dyDescent="0.25">
      <c r="A848" s="10"/>
      <c r="B848" s="14" t="str">
        <f t="shared" ca="1" si="75"/>
        <v/>
      </c>
      <c r="C848" s="14" t="str">
        <f ca="1">IF(I847&lt;&gt;Variables!$B$1,IF(H847&lt;&gt;0,C847,I847),"")</f>
        <v/>
      </c>
      <c r="D848" s="29" t="str">
        <f t="shared" ca="1" si="72"/>
        <v/>
      </c>
      <c r="E848" s="29" t="str">
        <f t="shared" ca="1" si="73"/>
        <v/>
      </c>
      <c r="F848" s="29" t="str">
        <f ca="1">IF(C848&lt;&gt;"",IF(OR(VLOOKUP(C848,$C$3:$L$6,5,0)=Variables!$B$5,B848&gt;VLOOKUP(C848,$C$3:$L$6,8,0)),-D848*VLOOKUP(C848,$C$3:$L$6,6,0)/12,0),"")</f>
        <v/>
      </c>
      <c r="G848" s="29" t="str">
        <f ca="1">IF(I848&lt;&gt;Variables!$B$1,IF(C848&lt;&gt;"",$I$9-E848-F848,""),-D848)</f>
        <v/>
      </c>
      <c r="H848" s="29" t="str">
        <f t="shared" ca="1" si="76"/>
        <v/>
      </c>
      <c r="I848" s="31" t="str">
        <f ca="1">IF(C848&lt;&gt;"",IF(D848+$I$9-E848-F848&gt;=0,IF(ISERROR(INDEX($C$3:$C$6,MATCH(C848,$C$3:$C$6,0)+1,0)),Variables!$B$1,INDEX($C$3:$C$6,MATCH(C848,$C$3:$C$6,0)+1,0)),""),"")</f>
        <v/>
      </c>
      <c r="J848" s="29" t="str">
        <f ca="1">IF(ISERROR(VLOOKUP(I848,$C$3:$L$6,5,0)),"",IF(OR(VLOOKUP(I848,$C$3:$L$6,5,0)=Variables!$B$5,B848&gt;VLOOKUP(I848,$C$3:$L$6,8,0)),IF(VLOOKUP(I848,$C$3:$L$6,5,0)=Variables!$B$5,((YEAR(B848)-YEAR($B$12))*12+MONTH(B848)-MONTH($B$12)),((YEAR(B848)-YEAR(VLOOKUP(I848,$C$3:$L$6,8,0)))*12+MONTH(B848)-MONTH(VLOOKUP(I848,$C$3:$L$6,8,0))))*(VLOOKUP(I848,$C$3:$L$6,10,0)*VLOOKUP(I848,$C$3:$L$6,6,0)/12),0))</f>
        <v/>
      </c>
      <c r="K848" s="29" t="str">
        <f ca="1">IF(C848&lt;&gt;"",IF(I848&lt;&gt;"",IF(ISERROR(VLOOKUP(I848,$C$3:$L$6,10,0)),"",VLOOKUP(I848,$C$3:$L$6,10,0)+J848+IF(OR(VLOOKUP(I848,$C$3:$L$6,5,0)=Variables!$B$5,B848&gt;VLOOKUP(I848,$C$3:$L$6,8,0)),IF(VLOOKUP(I848,$C$3:$L$6,5,0)=Variables!$B$5,((YEAR(B848)-YEAR($B$12))*12+MONTH(B848)-MONTH($B$12)),((YEAR(B848)-YEAR(VLOOKUP(I848,$C$3:$L$6,8,0)))*12+MONTH(B848)-MONTH(VLOOKUP(I848,$C$3:$L$6,8,0))))*VLOOKUP(I848,$C$3:$L$6,7,0),0)),""),"")</f>
        <v/>
      </c>
      <c r="L848" s="29" t="str">
        <f t="shared" ca="1" si="74"/>
        <v/>
      </c>
      <c r="M848" s="10"/>
      <c r="N848" s="10"/>
    </row>
    <row r="849" spans="1:14" x14ac:dyDescent="0.25">
      <c r="A849" s="10"/>
      <c r="B849" s="14" t="str">
        <f t="shared" ca="1" si="75"/>
        <v/>
      </c>
      <c r="C849" s="14" t="str">
        <f ca="1">IF(I848&lt;&gt;Variables!$B$1,IF(H848&lt;&gt;0,C848,I848),"")</f>
        <v/>
      </c>
      <c r="D849" s="29" t="str">
        <f t="shared" ca="1" si="72"/>
        <v/>
      </c>
      <c r="E849" s="29" t="str">
        <f t="shared" ca="1" si="73"/>
        <v/>
      </c>
      <c r="F849" s="29" t="str">
        <f ca="1">IF(C849&lt;&gt;"",IF(OR(VLOOKUP(C849,$C$3:$L$6,5,0)=Variables!$B$5,B849&gt;VLOOKUP(C849,$C$3:$L$6,8,0)),-D849*VLOOKUP(C849,$C$3:$L$6,6,0)/12,0),"")</f>
        <v/>
      </c>
      <c r="G849" s="29" t="str">
        <f ca="1">IF(I849&lt;&gt;Variables!$B$1,IF(C849&lt;&gt;"",$I$9-E849-F849,""),-D849)</f>
        <v/>
      </c>
      <c r="H849" s="29" t="str">
        <f t="shared" ca="1" si="76"/>
        <v/>
      </c>
      <c r="I849" s="31" t="str">
        <f ca="1">IF(C849&lt;&gt;"",IF(D849+$I$9-E849-F849&gt;=0,IF(ISERROR(INDEX($C$3:$C$6,MATCH(C849,$C$3:$C$6,0)+1,0)),Variables!$B$1,INDEX($C$3:$C$6,MATCH(C849,$C$3:$C$6,0)+1,0)),""),"")</f>
        <v/>
      </c>
      <c r="J849" s="29" t="str">
        <f ca="1">IF(ISERROR(VLOOKUP(I849,$C$3:$L$6,5,0)),"",IF(OR(VLOOKUP(I849,$C$3:$L$6,5,0)=Variables!$B$5,B849&gt;VLOOKUP(I849,$C$3:$L$6,8,0)),IF(VLOOKUP(I849,$C$3:$L$6,5,0)=Variables!$B$5,((YEAR(B849)-YEAR($B$12))*12+MONTH(B849)-MONTH($B$12)),((YEAR(B849)-YEAR(VLOOKUP(I849,$C$3:$L$6,8,0)))*12+MONTH(B849)-MONTH(VLOOKUP(I849,$C$3:$L$6,8,0))))*(VLOOKUP(I849,$C$3:$L$6,10,0)*VLOOKUP(I849,$C$3:$L$6,6,0)/12),0))</f>
        <v/>
      </c>
      <c r="K849" s="29" t="str">
        <f ca="1">IF(C849&lt;&gt;"",IF(I849&lt;&gt;"",IF(ISERROR(VLOOKUP(I849,$C$3:$L$6,10,0)),"",VLOOKUP(I849,$C$3:$L$6,10,0)+J849+IF(OR(VLOOKUP(I849,$C$3:$L$6,5,0)=Variables!$B$5,B849&gt;VLOOKUP(I849,$C$3:$L$6,8,0)),IF(VLOOKUP(I849,$C$3:$L$6,5,0)=Variables!$B$5,((YEAR(B849)-YEAR($B$12))*12+MONTH(B849)-MONTH($B$12)),((YEAR(B849)-YEAR(VLOOKUP(I849,$C$3:$L$6,8,0)))*12+MONTH(B849)-MONTH(VLOOKUP(I849,$C$3:$L$6,8,0))))*VLOOKUP(I849,$C$3:$L$6,7,0),0)),""),"")</f>
        <v/>
      </c>
      <c r="L849" s="29" t="str">
        <f t="shared" ca="1" si="74"/>
        <v/>
      </c>
      <c r="M849" s="10"/>
      <c r="N849" s="10"/>
    </row>
    <row r="850" spans="1:14" x14ac:dyDescent="0.25">
      <c r="A850" s="10"/>
      <c r="B850" s="14" t="str">
        <f t="shared" ca="1" si="75"/>
        <v/>
      </c>
      <c r="C850" s="14" t="str">
        <f ca="1">IF(I849&lt;&gt;Variables!$B$1,IF(H849&lt;&gt;0,C849,I849),"")</f>
        <v/>
      </c>
      <c r="D850" s="29" t="str">
        <f t="shared" ca="1" si="72"/>
        <v/>
      </c>
      <c r="E850" s="29" t="str">
        <f t="shared" ca="1" si="73"/>
        <v/>
      </c>
      <c r="F850" s="29" t="str">
        <f ca="1">IF(C850&lt;&gt;"",IF(OR(VLOOKUP(C850,$C$3:$L$6,5,0)=Variables!$B$5,B850&gt;VLOOKUP(C850,$C$3:$L$6,8,0)),-D850*VLOOKUP(C850,$C$3:$L$6,6,0)/12,0),"")</f>
        <v/>
      </c>
      <c r="G850" s="29" t="str">
        <f ca="1">IF(I850&lt;&gt;Variables!$B$1,IF(C850&lt;&gt;"",$I$9-E850-F850,""),-D850)</f>
        <v/>
      </c>
      <c r="H850" s="29" t="str">
        <f t="shared" ca="1" si="76"/>
        <v/>
      </c>
      <c r="I850" s="31" t="str">
        <f ca="1">IF(C850&lt;&gt;"",IF(D850+$I$9-E850-F850&gt;=0,IF(ISERROR(INDEX($C$3:$C$6,MATCH(C850,$C$3:$C$6,0)+1,0)),Variables!$B$1,INDEX($C$3:$C$6,MATCH(C850,$C$3:$C$6,0)+1,0)),""),"")</f>
        <v/>
      </c>
      <c r="J850" s="29" t="str">
        <f ca="1">IF(ISERROR(VLOOKUP(I850,$C$3:$L$6,5,0)),"",IF(OR(VLOOKUP(I850,$C$3:$L$6,5,0)=Variables!$B$5,B850&gt;VLOOKUP(I850,$C$3:$L$6,8,0)),IF(VLOOKUP(I850,$C$3:$L$6,5,0)=Variables!$B$5,((YEAR(B850)-YEAR($B$12))*12+MONTH(B850)-MONTH($B$12)),((YEAR(B850)-YEAR(VLOOKUP(I850,$C$3:$L$6,8,0)))*12+MONTH(B850)-MONTH(VLOOKUP(I850,$C$3:$L$6,8,0))))*(VLOOKUP(I850,$C$3:$L$6,10,0)*VLOOKUP(I850,$C$3:$L$6,6,0)/12),0))</f>
        <v/>
      </c>
      <c r="K850" s="29" t="str">
        <f ca="1">IF(C850&lt;&gt;"",IF(I850&lt;&gt;"",IF(ISERROR(VLOOKUP(I850,$C$3:$L$6,10,0)),"",VLOOKUP(I850,$C$3:$L$6,10,0)+J850+IF(OR(VLOOKUP(I850,$C$3:$L$6,5,0)=Variables!$B$5,B850&gt;VLOOKUP(I850,$C$3:$L$6,8,0)),IF(VLOOKUP(I850,$C$3:$L$6,5,0)=Variables!$B$5,((YEAR(B850)-YEAR($B$12))*12+MONTH(B850)-MONTH($B$12)),((YEAR(B850)-YEAR(VLOOKUP(I850,$C$3:$L$6,8,0)))*12+MONTH(B850)-MONTH(VLOOKUP(I850,$C$3:$L$6,8,0))))*VLOOKUP(I850,$C$3:$L$6,7,0),0)),""),"")</f>
        <v/>
      </c>
      <c r="L850" s="29" t="str">
        <f t="shared" ca="1" si="74"/>
        <v/>
      </c>
      <c r="M850" s="10"/>
      <c r="N850" s="10"/>
    </row>
    <row r="851" spans="1:14" x14ac:dyDescent="0.25">
      <c r="A851" s="10"/>
      <c r="B851" s="14" t="str">
        <f t="shared" ca="1" si="75"/>
        <v/>
      </c>
      <c r="C851" s="14" t="str">
        <f ca="1">IF(I850&lt;&gt;Variables!$B$1,IF(H850&lt;&gt;0,C850,I850),"")</f>
        <v/>
      </c>
      <c r="D851" s="29" t="str">
        <f t="shared" ca="1" si="72"/>
        <v/>
      </c>
      <c r="E851" s="29" t="str">
        <f t="shared" ca="1" si="73"/>
        <v/>
      </c>
      <c r="F851" s="29" t="str">
        <f ca="1">IF(C851&lt;&gt;"",IF(OR(VLOOKUP(C851,$C$3:$L$6,5,0)=Variables!$B$5,B851&gt;VLOOKUP(C851,$C$3:$L$6,8,0)),-D851*VLOOKUP(C851,$C$3:$L$6,6,0)/12,0),"")</f>
        <v/>
      </c>
      <c r="G851" s="29" t="str">
        <f ca="1">IF(I851&lt;&gt;Variables!$B$1,IF(C851&lt;&gt;"",$I$9-E851-F851,""),-D851)</f>
        <v/>
      </c>
      <c r="H851" s="29" t="str">
        <f t="shared" ca="1" si="76"/>
        <v/>
      </c>
      <c r="I851" s="31" t="str">
        <f ca="1">IF(C851&lt;&gt;"",IF(D851+$I$9-E851-F851&gt;=0,IF(ISERROR(INDEX($C$3:$C$6,MATCH(C851,$C$3:$C$6,0)+1,0)),Variables!$B$1,INDEX($C$3:$C$6,MATCH(C851,$C$3:$C$6,0)+1,0)),""),"")</f>
        <v/>
      </c>
      <c r="J851" s="29" t="str">
        <f ca="1">IF(ISERROR(VLOOKUP(I851,$C$3:$L$6,5,0)),"",IF(OR(VLOOKUP(I851,$C$3:$L$6,5,0)=Variables!$B$5,B851&gt;VLOOKUP(I851,$C$3:$L$6,8,0)),IF(VLOOKUP(I851,$C$3:$L$6,5,0)=Variables!$B$5,((YEAR(B851)-YEAR($B$12))*12+MONTH(B851)-MONTH($B$12)),((YEAR(B851)-YEAR(VLOOKUP(I851,$C$3:$L$6,8,0)))*12+MONTH(B851)-MONTH(VLOOKUP(I851,$C$3:$L$6,8,0))))*(VLOOKUP(I851,$C$3:$L$6,10,0)*VLOOKUP(I851,$C$3:$L$6,6,0)/12),0))</f>
        <v/>
      </c>
      <c r="K851" s="29" t="str">
        <f ca="1">IF(C851&lt;&gt;"",IF(I851&lt;&gt;"",IF(ISERROR(VLOOKUP(I851,$C$3:$L$6,10,0)),"",VLOOKUP(I851,$C$3:$L$6,10,0)+J851+IF(OR(VLOOKUP(I851,$C$3:$L$6,5,0)=Variables!$B$5,B851&gt;VLOOKUP(I851,$C$3:$L$6,8,0)),IF(VLOOKUP(I851,$C$3:$L$6,5,0)=Variables!$B$5,((YEAR(B851)-YEAR($B$12))*12+MONTH(B851)-MONTH($B$12)),((YEAR(B851)-YEAR(VLOOKUP(I851,$C$3:$L$6,8,0)))*12+MONTH(B851)-MONTH(VLOOKUP(I851,$C$3:$L$6,8,0))))*VLOOKUP(I851,$C$3:$L$6,7,0),0)),""),"")</f>
        <v/>
      </c>
      <c r="L851" s="29" t="str">
        <f t="shared" ca="1" si="74"/>
        <v/>
      </c>
      <c r="M851" s="10"/>
      <c r="N851" s="10"/>
    </row>
    <row r="852" spans="1:14" x14ac:dyDescent="0.25">
      <c r="A852" s="10"/>
      <c r="B852" s="14" t="str">
        <f t="shared" ca="1" si="75"/>
        <v/>
      </c>
      <c r="C852" s="14" t="str">
        <f ca="1">IF(I851&lt;&gt;Variables!$B$1,IF(H851&lt;&gt;0,C851,I851),"")</f>
        <v/>
      </c>
      <c r="D852" s="29" t="str">
        <f t="shared" ca="1" si="72"/>
        <v/>
      </c>
      <c r="E852" s="29" t="str">
        <f t="shared" ca="1" si="73"/>
        <v/>
      </c>
      <c r="F852" s="29" t="str">
        <f ca="1">IF(C852&lt;&gt;"",IF(OR(VLOOKUP(C852,$C$3:$L$6,5,0)=Variables!$B$5,B852&gt;VLOOKUP(C852,$C$3:$L$6,8,0)),-D852*VLOOKUP(C852,$C$3:$L$6,6,0)/12,0),"")</f>
        <v/>
      </c>
      <c r="G852" s="29" t="str">
        <f ca="1">IF(I852&lt;&gt;Variables!$B$1,IF(C852&lt;&gt;"",$I$9-E852-F852,""),-D852)</f>
        <v/>
      </c>
      <c r="H852" s="29" t="str">
        <f t="shared" ca="1" si="76"/>
        <v/>
      </c>
      <c r="I852" s="31" t="str">
        <f ca="1">IF(C852&lt;&gt;"",IF(D852+$I$9-E852-F852&gt;=0,IF(ISERROR(INDEX($C$3:$C$6,MATCH(C852,$C$3:$C$6,0)+1,0)),Variables!$B$1,INDEX($C$3:$C$6,MATCH(C852,$C$3:$C$6,0)+1,0)),""),"")</f>
        <v/>
      </c>
      <c r="J852" s="29" t="str">
        <f ca="1">IF(ISERROR(VLOOKUP(I852,$C$3:$L$6,5,0)),"",IF(OR(VLOOKUP(I852,$C$3:$L$6,5,0)=Variables!$B$5,B852&gt;VLOOKUP(I852,$C$3:$L$6,8,0)),IF(VLOOKUP(I852,$C$3:$L$6,5,0)=Variables!$B$5,((YEAR(B852)-YEAR($B$12))*12+MONTH(B852)-MONTH($B$12)),((YEAR(B852)-YEAR(VLOOKUP(I852,$C$3:$L$6,8,0)))*12+MONTH(B852)-MONTH(VLOOKUP(I852,$C$3:$L$6,8,0))))*(VLOOKUP(I852,$C$3:$L$6,10,0)*VLOOKUP(I852,$C$3:$L$6,6,0)/12),0))</f>
        <v/>
      </c>
      <c r="K852" s="29" t="str">
        <f ca="1">IF(C852&lt;&gt;"",IF(I852&lt;&gt;"",IF(ISERROR(VLOOKUP(I852,$C$3:$L$6,10,0)),"",VLOOKUP(I852,$C$3:$L$6,10,0)+J852+IF(OR(VLOOKUP(I852,$C$3:$L$6,5,0)=Variables!$B$5,B852&gt;VLOOKUP(I852,$C$3:$L$6,8,0)),IF(VLOOKUP(I852,$C$3:$L$6,5,0)=Variables!$B$5,((YEAR(B852)-YEAR($B$12))*12+MONTH(B852)-MONTH($B$12)),((YEAR(B852)-YEAR(VLOOKUP(I852,$C$3:$L$6,8,0)))*12+MONTH(B852)-MONTH(VLOOKUP(I852,$C$3:$L$6,8,0))))*VLOOKUP(I852,$C$3:$L$6,7,0),0)),""),"")</f>
        <v/>
      </c>
      <c r="L852" s="29" t="str">
        <f t="shared" ca="1" si="74"/>
        <v/>
      </c>
      <c r="M852" s="10"/>
      <c r="N852" s="10"/>
    </row>
    <row r="853" spans="1:14" x14ac:dyDescent="0.25">
      <c r="A853" s="10"/>
      <c r="B853" s="14" t="str">
        <f t="shared" ca="1" si="75"/>
        <v/>
      </c>
      <c r="C853" s="14" t="str">
        <f ca="1">IF(I852&lt;&gt;Variables!$B$1,IF(H852&lt;&gt;0,C852,I852),"")</f>
        <v/>
      </c>
      <c r="D853" s="29" t="str">
        <f t="shared" ca="1" si="72"/>
        <v/>
      </c>
      <c r="E853" s="29" t="str">
        <f t="shared" ca="1" si="73"/>
        <v/>
      </c>
      <c r="F853" s="29" t="str">
        <f ca="1">IF(C853&lt;&gt;"",IF(OR(VLOOKUP(C853,$C$3:$L$6,5,0)=Variables!$B$5,B853&gt;VLOOKUP(C853,$C$3:$L$6,8,0)),-D853*VLOOKUP(C853,$C$3:$L$6,6,0)/12,0),"")</f>
        <v/>
      </c>
      <c r="G853" s="29" t="str">
        <f ca="1">IF(I853&lt;&gt;Variables!$B$1,IF(C853&lt;&gt;"",$I$9-E853-F853,""),-D853)</f>
        <v/>
      </c>
      <c r="H853" s="29" t="str">
        <f t="shared" ca="1" si="76"/>
        <v/>
      </c>
      <c r="I853" s="31" t="str">
        <f ca="1">IF(C853&lt;&gt;"",IF(D853+$I$9-E853-F853&gt;=0,IF(ISERROR(INDEX($C$3:$C$6,MATCH(C853,$C$3:$C$6,0)+1,0)),Variables!$B$1,INDEX($C$3:$C$6,MATCH(C853,$C$3:$C$6,0)+1,0)),""),"")</f>
        <v/>
      </c>
      <c r="J853" s="29" t="str">
        <f ca="1">IF(ISERROR(VLOOKUP(I853,$C$3:$L$6,5,0)),"",IF(OR(VLOOKUP(I853,$C$3:$L$6,5,0)=Variables!$B$5,B853&gt;VLOOKUP(I853,$C$3:$L$6,8,0)),IF(VLOOKUP(I853,$C$3:$L$6,5,0)=Variables!$B$5,((YEAR(B853)-YEAR($B$12))*12+MONTH(B853)-MONTH($B$12)),((YEAR(B853)-YEAR(VLOOKUP(I853,$C$3:$L$6,8,0)))*12+MONTH(B853)-MONTH(VLOOKUP(I853,$C$3:$L$6,8,0))))*(VLOOKUP(I853,$C$3:$L$6,10,0)*VLOOKUP(I853,$C$3:$L$6,6,0)/12),0))</f>
        <v/>
      </c>
      <c r="K853" s="29" t="str">
        <f ca="1">IF(C853&lt;&gt;"",IF(I853&lt;&gt;"",IF(ISERROR(VLOOKUP(I853,$C$3:$L$6,10,0)),"",VLOOKUP(I853,$C$3:$L$6,10,0)+J853+IF(OR(VLOOKUP(I853,$C$3:$L$6,5,0)=Variables!$B$5,B853&gt;VLOOKUP(I853,$C$3:$L$6,8,0)),IF(VLOOKUP(I853,$C$3:$L$6,5,0)=Variables!$B$5,((YEAR(B853)-YEAR($B$12))*12+MONTH(B853)-MONTH($B$12)),((YEAR(B853)-YEAR(VLOOKUP(I853,$C$3:$L$6,8,0)))*12+MONTH(B853)-MONTH(VLOOKUP(I853,$C$3:$L$6,8,0))))*VLOOKUP(I853,$C$3:$L$6,7,0),0)),""),"")</f>
        <v/>
      </c>
      <c r="L853" s="29" t="str">
        <f t="shared" ca="1" si="74"/>
        <v/>
      </c>
      <c r="M853" s="10"/>
      <c r="N853" s="10"/>
    </row>
    <row r="854" spans="1:14" x14ac:dyDescent="0.25">
      <c r="A854" s="10"/>
      <c r="B854" s="14" t="str">
        <f t="shared" ca="1" si="75"/>
        <v/>
      </c>
      <c r="C854" s="14" t="str">
        <f ca="1">IF(I853&lt;&gt;Variables!$B$1,IF(H853&lt;&gt;0,C853,I853),"")</f>
        <v/>
      </c>
      <c r="D854" s="29" t="str">
        <f t="shared" ca="1" si="72"/>
        <v/>
      </c>
      <c r="E854" s="29" t="str">
        <f t="shared" ca="1" si="73"/>
        <v/>
      </c>
      <c r="F854" s="29" t="str">
        <f ca="1">IF(C854&lt;&gt;"",IF(OR(VLOOKUP(C854,$C$3:$L$6,5,0)=Variables!$B$5,B854&gt;VLOOKUP(C854,$C$3:$L$6,8,0)),-D854*VLOOKUP(C854,$C$3:$L$6,6,0)/12,0),"")</f>
        <v/>
      </c>
      <c r="G854" s="29" t="str">
        <f ca="1">IF(I854&lt;&gt;Variables!$B$1,IF(C854&lt;&gt;"",$I$9-E854-F854,""),-D854)</f>
        <v/>
      </c>
      <c r="H854" s="29" t="str">
        <f t="shared" ca="1" si="76"/>
        <v/>
      </c>
      <c r="I854" s="31" t="str">
        <f ca="1">IF(C854&lt;&gt;"",IF(D854+$I$9-E854-F854&gt;=0,IF(ISERROR(INDEX($C$3:$C$6,MATCH(C854,$C$3:$C$6,0)+1,0)),Variables!$B$1,INDEX($C$3:$C$6,MATCH(C854,$C$3:$C$6,0)+1,0)),""),"")</f>
        <v/>
      </c>
      <c r="J854" s="29" t="str">
        <f ca="1">IF(ISERROR(VLOOKUP(I854,$C$3:$L$6,5,0)),"",IF(OR(VLOOKUP(I854,$C$3:$L$6,5,0)=Variables!$B$5,B854&gt;VLOOKUP(I854,$C$3:$L$6,8,0)),IF(VLOOKUP(I854,$C$3:$L$6,5,0)=Variables!$B$5,((YEAR(B854)-YEAR($B$12))*12+MONTH(B854)-MONTH($B$12)),((YEAR(B854)-YEAR(VLOOKUP(I854,$C$3:$L$6,8,0)))*12+MONTH(B854)-MONTH(VLOOKUP(I854,$C$3:$L$6,8,0))))*(VLOOKUP(I854,$C$3:$L$6,10,0)*VLOOKUP(I854,$C$3:$L$6,6,0)/12),0))</f>
        <v/>
      </c>
      <c r="K854" s="29" t="str">
        <f ca="1">IF(C854&lt;&gt;"",IF(I854&lt;&gt;"",IF(ISERROR(VLOOKUP(I854,$C$3:$L$6,10,0)),"",VLOOKUP(I854,$C$3:$L$6,10,0)+J854+IF(OR(VLOOKUP(I854,$C$3:$L$6,5,0)=Variables!$B$5,B854&gt;VLOOKUP(I854,$C$3:$L$6,8,0)),IF(VLOOKUP(I854,$C$3:$L$6,5,0)=Variables!$B$5,((YEAR(B854)-YEAR($B$12))*12+MONTH(B854)-MONTH($B$12)),((YEAR(B854)-YEAR(VLOOKUP(I854,$C$3:$L$6,8,0)))*12+MONTH(B854)-MONTH(VLOOKUP(I854,$C$3:$L$6,8,0))))*VLOOKUP(I854,$C$3:$L$6,7,0),0)),""),"")</f>
        <v/>
      </c>
      <c r="L854" s="29" t="str">
        <f t="shared" ca="1" si="74"/>
        <v/>
      </c>
      <c r="M854" s="10"/>
      <c r="N854" s="10"/>
    </row>
    <row r="855" spans="1:14" x14ac:dyDescent="0.25">
      <c r="A855" s="10"/>
      <c r="B855" s="14" t="str">
        <f t="shared" ca="1" si="75"/>
        <v/>
      </c>
      <c r="C855" s="14" t="str">
        <f ca="1">IF(I854&lt;&gt;Variables!$B$1,IF(H854&lt;&gt;0,C854,I854),"")</f>
        <v/>
      </c>
      <c r="D855" s="29" t="str">
        <f t="shared" ca="1" si="72"/>
        <v/>
      </c>
      <c r="E855" s="29" t="str">
        <f t="shared" ca="1" si="73"/>
        <v/>
      </c>
      <c r="F855" s="29" t="str">
        <f ca="1">IF(C855&lt;&gt;"",IF(OR(VLOOKUP(C855,$C$3:$L$6,5,0)=Variables!$B$5,B855&gt;VLOOKUP(C855,$C$3:$L$6,8,0)),-D855*VLOOKUP(C855,$C$3:$L$6,6,0)/12,0),"")</f>
        <v/>
      </c>
      <c r="G855" s="29" t="str">
        <f ca="1">IF(I855&lt;&gt;Variables!$B$1,IF(C855&lt;&gt;"",$I$9-E855-F855,""),-D855)</f>
        <v/>
      </c>
      <c r="H855" s="29" t="str">
        <f t="shared" ca="1" si="76"/>
        <v/>
      </c>
      <c r="I855" s="31" t="str">
        <f ca="1">IF(C855&lt;&gt;"",IF(D855+$I$9-E855-F855&gt;=0,IF(ISERROR(INDEX($C$3:$C$6,MATCH(C855,$C$3:$C$6,0)+1,0)),Variables!$B$1,INDEX($C$3:$C$6,MATCH(C855,$C$3:$C$6,0)+1,0)),""),"")</f>
        <v/>
      </c>
      <c r="J855" s="29" t="str">
        <f ca="1">IF(ISERROR(VLOOKUP(I855,$C$3:$L$6,5,0)),"",IF(OR(VLOOKUP(I855,$C$3:$L$6,5,0)=Variables!$B$5,B855&gt;VLOOKUP(I855,$C$3:$L$6,8,0)),IF(VLOOKUP(I855,$C$3:$L$6,5,0)=Variables!$B$5,((YEAR(B855)-YEAR($B$12))*12+MONTH(B855)-MONTH($B$12)),((YEAR(B855)-YEAR(VLOOKUP(I855,$C$3:$L$6,8,0)))*12+MONTH(B855)-MONTH(VLOOKUP(I855,$C$3:$L$6,8,0))))*(VLOOKUP(I855,$C$3:$L$6,10,0)*VLOOKUP(I855,$C$3:$L$6,6,0)/12),0))</f>
        <v/>
      </c>
      <c r="K855" s="29" t="str">
        <f ca="1">IF(C855&lt;&gt;"",IF(I855&lt;&gt;"",IF(ISERROR(VLOOKUP(I855,$C$3:$L$6,10,0)),"",VLOOKUP(I855,$C$3:$L$6,10,0)+J855+IF(OR(VLOOKUP(I855,$C$3:$L$6,5,0)=Variables!$B$5,B855&gt;VLOOKUP(I855,$C$3:$L$6,8,0)),IF(VLOOKUP(I855,$C$3:$L$6,5,0)=Variables!$B$5,((YEAR(B855)-YEAR($B$12))*12+MONTH(B855)-MONTH($B$12)),((YEAR(B855)-YEAR(VLOOKUP(I855,$C$3:$L$6,8,0)))*12+MONTH(B855)-MONTH(VLOOKUP(I855,$C$3:$L$6,8,0))))*VLOOKUP(I855,$C$3:$L$6,7,0),0)),""),"")</f>
        <v/>
      </c>
      <c r="L855" s="29" t="str">
        <f t="shared" ca="1" si="74"/>
        <v/>
      </c>
      <c r="M855" s="10"/>
      <c r="N855" s="10"/>
    </row>
    <row r="856" spans="1:14" x14ac:dyDescent="0.25">
      <c r="A856" s="10"/>
      <c r="B856" s="14" t="str">
        <f t="shared" ca="1" si="75"/>
        <v/>
      </c>
      <c r="C856" s="14" t="str">
        <f ca="1">IF(I855&lt;&gt;Variables!$B$1,IF(H855&lt;&gt;0,C855,I855),"")</f>
        <v/>
      </c>
      <c r="D856" s="29" t="str">
        <f t="shared" ca="1" si="72"/>
        <v/>
      </c>
      <c r="E856" s="29" t="str">
        <f t="shared" ca="1" si="73"/>
        <v/>
      </c>
      <c r="F856" s="29" t="str">
        <f ca="1">IF(C856&lt;&gt;"",IF(OR(VLOOKUP(C856,$C$3:$L$6,5,0)=Variables!$B$5,B856&gt;VLOOKUP(C856,$C$3:$L$6,8,0)),-D856*VLOOKUP(C856,$C$3:$L$6,6,0)/12,0),"")</f>
        <v/>
      </c>
      <c r="G856" s="29" t="str">
        <f ca="1">IF(I856&lt;&gt;Variables!$B$1,IF(C856&lt;&gt;"",$I$9-E856-F856,""),-D856)</f>
        <v/>
      </c>
      <c r="H856" s="29" t="str">
        <f t="shared" ca="1" si="76"/>
        <v/>
      </c>
      <c r="I856" s="31" t="str">
        <f ca="1">IF(C856&lt;&gt;"",IF(D856+$I$9-E856-F856&gt;=0,IF(ISERROR(INDEX($C$3:$C$6,MATCH(C856,$C$3:$C$6,0)+1,0)),Variables!$B$1,INDEX($C$3:$C$6,MATCH(C856,$C$3:$C$6,0)+1,0)),""),"")</f>
        <v/>
      </c>
      <c r="J856" s="29" t="str">
        <f ca="1">IF(ISERROR(VLOOKUP(I856,$C$3:$L$6,5,0)),"",IF(OR(VLOOKUP(I856,$C$3:$L$6,5,0)=Variables!$B$5,B856&gt;VLOOKUP(I856,$C$3:$L$6,8,0)),IF(VLOOKUP(I856,$C$3:$L$6,5,0)=Variables!$B$5,((YEAR(B856)-YEAR($B$12))*12+MONTH(B856)-MONTH($B$12)),((YEAR(B856)-YEAR(VLOOKUP(I856,$C$3:$L$6,8,0)))*12+MONTH(B856)-MONTH(VLOOKUP(I856,$C$3:$L$6,8,0))))*(VLOOKUP(I856,$C$3:$L$6,10,0)*VLOOKUP(I856,$C$3:$L$6,6,0)/12),0))</f>
        <v/>
      </c>
      <c r="K856" s="29" t="str">
        <f ca="1">IF(C856&lt;&gt;"",IF(I856&lt;&gt;"",IF(ISERROR(VLOOKUP(I856,$C$3:$L$6,10,0)),"",VLOOKUP(I856,$C$3:$L$6,10,0)+J856+IF(OR(VLOOKUP(I856,$C$3:$L$6,5,0)=Variables!$B$5,B856&gt;VLOOKUP(I856,$C$3:$L$6,8,0)),IF(VLOOKUP(I856,$C$3:$L$6,5,0)=Variables!$B$5,((YEAR(B856)-YEAR($B$12))*12+MONTH(B856)-MONTH($B$12)),((YEAR(B856)-YEAR(VLOOKUP(I856,$C$3:$L$6,8,0)))*12+MONTH(B856)-MONTH(VLOOKUP(I856,$C$3:$L$6,8,0))))*VLOOKUP(I856,$C$3:$L$6,7,0),0)),""),"")</f>
        <v/>
      </c>
      <c r="L856" s="29" t="str">
        <f t="shared" ca="1" si="74"/>
        <v/>
      </c>
      <c r="M856" s="10"/>
      <c r="N856" s="10"/>
    </row>
    <row r="857" spans="1:14" x14ac:dyDescent="0.25">
      <c r="A857" s="10"/>
      <c r="B857" s="14" t="str">
        <f t="shared" ca="1" si="75"/>
        <v/>
      </c>
      <c r="C857" s="14" t="str">
        <f ca="1">IF(I856&lt;&gt;Variables!$B$1,IF(H856&lt;&gt;0,C856,I856),"")</f>
        <v/>
      </c>
      <c r="D857" s="29" t="str">
        <f t="shared" ca="1" si="72"/>
        <v/>
      </c>
      <c r="E857" s="29" t="str">
        <f t="shared" ca="1" si="73"/>
        <v/>
      </c>
      <c r="F857" s="29" t="str">
        <f ca="1">IF(C857&lt;&gt;"",IF(OR(VLOOKUP(C857,$C$3:$L$6,5,0)=Variables!$B$5,B857&gt;VLOOKUP(C857,$C$3:$L$6,8,0)),-D857*VLOOKUP(C857,$C$3:$L$6,6,0)/12,0),"")</f>
        <v/>
      </c>
      <c r="G857" s="29" t="str">
        <f ca="1">IF(I857&lt;&gt;Variables!$B$1,IF(C857&lt;&gt;"",$I$9-E857-F857,""),-D857)</f>
        <v/>
      </c>
      <c r="H857" s="29" t="str">
        <f t="shared" ca="1" si="76"/>
        <v/>
      </c>
      <c r="I857" s="31" t="str">
        <f ca="1">IF(C857&lt;&gt;"",IF(D857+$I$9-E857-F857&gt;=0,IF(ISERROR(INDEX($C$3:$C$6,MATCH(C857,$C$3:$C$6,0)+1,0)),Variables!$B$1,INDEX($C$3:$C$6,MATCH(C857,$C$3:$C$6,0)+1,0)),""),"")</f>
        <v/>
      </c>
      <c r="J857" s="29" t="str">
        <f ca="1">IF(ISERROR(VLOOKUP(I857,$C$3:$L$6,5,0)),"",IF(OR(VLOOKUP(I857,$C$3:$L$6,5,0)=Variables!$B$5,B857&gt;VLOOKUP(I857,$C$3:$L$6,8,0)),IF(VLOOKUP(I857,$C$3:$L$6,5,0)=Variables!$B$5,((YEAR(B857)-YEAR($B$12))*12+MONTH(B857)-MONTH($B$12)),((YEAR(B857)-YEAR(VLOOKUP(I857,$C$3:$L$6,8,0)))*12+MONTH(B857)-MONTH(VLOOKUP(I857,$C$3:$L$6,8,0))))*(VLOOKUP(I857,$C$3:$L$6,10,0)*VLOOKUP(I857,$C$3:$L$6,6,0)/12),0))</f>
        <v/>
      </c>
      <c r="K857" s="29" t="str">
        <f ca="1">IF(C857&lt;&gt;"",IF(I857&lt;&gt;"",IF(ISERROR(VLOOKUP(I857,$C$3:$L$6,10,0)),"",VLOOKUP(I857,$C$3:$L$6,10,0)+J857+IF(OR(VLOOKUP(I857,$C$3:$L$6,5,0)=Variables!$B$5,B857&gt;VLOOKUP(I857,$C$3:$L$6,8,0)),IF(VLOOKUP(I857,$C$3:$L$6,5,0)=Variables!$B$5,((YEAR(B857)-YEAR($B$12))*12+MONTH(B857)-MONTH($B$12)),((YEAR(B857)-YEAR(VLOOKUP(I857,$C$3:$L$6,8,0)))*12+MONTH(B857)-MONTH(VLOOKUP(I857,$C$3:$L$6,8,0))))*VLOOKUP(I857,$C$3:$L$6,7,0),0)),""),"")</f>
        <v/>
      </c>
      <c r="L857" s="29" t="str">
        <f t="shared" ca="1" si="74"/>
        <v/>
      </c>
      <c r="M857" s="10"/>
      <c r="N857" s="10"/>
    </row>
    <row r="858" spans="1:14" x14ac:dyDescent="0.25">
      <c r="A858" s="10"/>
      <c r="B858" s="14" t="str">
        <f t="shared" ca="1" si="75"/>
        <v/>
      </c>
      <c r="C858" s="14" t="str">
        <f ca="1">IF(I857&lt;&gt;Variables!$B$1,IF(H857&lt;&gt;0,C857,I857),"")</f>
        <v/>
      </c>
      <c r="D858" s="29" t="str">
        <f t="shared" ca="1" si="72"/>
        <v/>
      </c>
      <c r="E858" s="29" t="str">
        <f t="shared" ca="1" si="73"/>
        <v/>
      </c>
      <c r="F858" s="29" t="str">
        <f ca="1">IF(C858&lt;&gt;"",IF(OR(VLOOKUP(C858,$C$3:$L$6,5,0)=Variables!$B$5,B858&gt;VLOOKUP(C858,$C$3:$L$6,8,0)),-D858*VLOOKUP(C858,$C$3:$L$6,6,0)/12,0),"")</f>
        <v/>
      </c>
      <c r="G858" s="29" t="str">
        <f ca="1">IF(I858&lt;&gt;Variables!$B$1,IF(C858&lt;&gt;"",$I$9-E858-F858,""),-D858)</f>
        <v/>
      </c>
      <c r="H858" s="29" t="str">
        <f t="shared" ca="1" si="76"/>
        <v/>
      </c>
      <c r="I858" s="31" t="str">
        <f ca="1">IF(C858&lt;&gt;"",IF(D858+$I$9-E858-F858&gt;=0,IF(ISERROR(INDEX($C$3:$C$6,MATCH(C858,$C$3:$C$6,0)+1,0)),Variables!$B$1,INDEX($C$3:$C$6,MATCH(C858,$C$3:$C$6,0)+1,0)),""),"")</f>
        <v/>
      </c>
      <c r="J858" s="29" t="str">
        <f ca="1">IF(ISERROR(VLOOKUP(I858,$C$3:$L$6,5,0)),"",IF(OR(VLOOKUP(I858,$C$3:$L$6,5,0)=Variables!$B$5,B858&gt;VLOOKUP(I858,$C$3:$L$6,8,0)),IF(VLOOKUP(I858,$C$3:$L$6,5,0)=Variables!$B$5,((YEAR(B858)-YEAR($B$12))*12+MONTH(B858)-MONTH($B$12)),((YEAR(B858)-YEAR(VLOOKUP(I858,$C$3:$L$6,8,0)))*12+MONTH(B858)-MONTH(VLOOKUP(I858,$C$3:$L$6,8,0))))*(VLOOKUP(I858,$C$3:$L$6,10,0)*VLOOKUP(I858,$C$3:$L$6,6,0)/12),0))</f>
        <v/>
      </c>
      <c r="K858" s="29" t="str">
        <f ca="1">IF(C858&lt;&gt;"",IF(I858&lt;&gt;"",IF(ISERROR(VLOOKUP(I858,$C$3:$L$6,10,0)),"",VLOOKUP(I858,$C$3:$L$6,10,0)+J858+IF(OR(VLOOKUP(I858,$C$3:$L$6,5,0)=Variables!$B$5,B858&gt;VLOOKUP(I858,$C$3:$L$6,8,0)),IF(VLOOKUP(I858,$C$3:$L$6,5,0)=Variables!$B$5,((YEAR(B858)-YEAR($B$12))*12+MONTH(B858)-MONTH($B$12)),((YEAR(B858)-YEAR(VLOOKUP(I858,$C$3:$L$6,8,0)))*12+MONTH(B858)-MONTH(VLOOKUP(I858,$C$3:$L$6,8,0))))*VLOOKUP(I858,$C$3:$L$6,7,0),0)),""),"")</f>
        <v/>
      </c>
      <c r="L858" s="29" t="str">
        <f t="shared" ca="1" si="74"/>
        <v/>
      </c>
      <c r="M858" s="10"/>
      <c r="N858" s="10"/>
    </row>
    <row r="859" spans="1:14" x14ac:dyDescent="0.25">
      <c r="A859" s="10"/>
      <c r="B859" s="14" t="str">
        <f t="shared" ca="1" si="75"/>
        <v/>
      </c>
      <c r="C859" s="14" t="str">
        <f ca="1">IF(I858&lt;&gt;Variables!$B$1,IF(H858&lt;&gt;0,C858,I858),"")</f>
        <v/>
      </c>
      <c r="D859" s="29" t="str">
        <f t="shared" ca="1" si="72"/>
        <v/>
      </c>
      <c r="E859" s="29" t="str">
        <f t="shared" ca="1" si="73"/>
        <v/>
      </c>
      <c r="F859" s="29" t="str">
        <f ca="1">IF(C859&lt;&gt;"",IF(OR(VLOOKUP(C859,$C$3:$L$6,5,0)=Variables!$B$5,B859&gt;VLOOKUP(C859,$C$3:$L$6,8,0)),-D859*VLOOKUP(C859,$C$3:$L$6,6,0)/12,0),"")</f>
        <v/>
      </c>
      <c r="G859" s="29" t="str">
        <f ca="1">IF(I859&lt;&gt;Variables!$B$1,IF(C859&lt;&gt;"",$I$9-E859-F859,""),-D859)</f>
        <v/>
      </c>
      <c r="H859" s="29" t="str">
        <f t="shared" ca="1" si="76"/>
        <v/>
      </c>
      <c r="I859" s="31" t="str">
        <f ca="1">IF(C859&lt;&gt;"",IF(D859+$I$9-E859-F859&gt;=0,IF(ISERROR(INDEX($C$3:$C$6,MATCH(C859,$C$3:$C$6,0)+1,0)),Variables!$B$1,INDEX($C$3:$C$6,MATCH(C859,$C$3:$C$6,0)+1,0)),""),"")</f>
        <v/>
      </c>
      <c r="J859" s="29" t="str">
        <f ca="1">IF(ISERROR(VLOOKUP(I859,$C$3:$L$6,5,0)),"",IF(OR(VLOOKUP(I859,$C$3:$L$6,5,0)=Variables!$B$5,B859&gt;VLOOKUP(I859,$C$3:$L$6,8,0)),IF(VLOOKUP(I859,$C$3:$L$6,5,0)=Variables!$B$5,((YEAR(B859)-YEAR($B$12))*12+MONTH(B859)-MONTH($B$12)),((YEAR(B859)-YEAR(VLOOKUP(I859,$C$3:$L$6,8,0)))*12+MONTH(B859)-MONTH(VLOOKUP(I859,$C$3:$L$6,8,0))))*(VLOOKUP(I859,$C$3:$L$6,10,0)*VLOOKUP(I859,$C$3:$L$6,6,0)/12),0))</f>
        <v/>
      </c>
      <c r="K859" s="29" t="str">
        <f ca="1">IF(C859&lt;&gt;"",IF(I859&lt;&gt;"",IF(ISERROR(VLOOKUP(I859,$C$3:$L$6,10,0)),"",VLOOKUP(I859,$C$3:$L$6,10,0)+J859+IF(OR(VLOOKUP(I859,$C$3:$L$6,5,0)=Variables!$B$5,B859&gt;VLOOKUP(I859,$C$3:$L$6,8,0)),IF(VLOOKUP(I859,$C$3:$L$6,5,0)=Variables!$B$5,((YEAR(B859)-YEAR($B$12))*12+MONTH(B859)-MONTH($B$12)),((YEAR(B859)-YEAR(VLOOKUP(I859,$C$3:$L$6,8,0)))*12+MONTH(B859)-MONTH(VLOOKUP(I859,$C$3:$L$6,8,0))))*VLOOKUP(I859,$C$3:$L$6,7,0),0)),""),"")</f>
        <v/>
      </c>
      <c r="L859" s="29" t="str">
        <f t="shared" ca="1" si="74"/>
        <v/>
      </c>
      <c r="M859" s="10"/>
      <c r="N859" s="10"/>
    </row>
    <row r="860" spans="1:14" x14ac:dyDescent="0.25">
      <c r="A860" s="10"/>
      <c r="B860" s="14" t="str">
        <f t="shared" ca="1" si="75"/>
        <v/>
      </c>
      <c r="C860" s="14" t="str">
        <f ca="1">IF(I859&lt;&gt;Variables!$B$1,IF(H859&lt;&gt;0,C859,I859),"")</f>
        <v/>
      </c>
      <c r="D860" s="29" t="str">
        <f t="shared" ref="D860:D923" ca="1" si="77">IF(C860&lt;&gt;"",IF(H859&lt;&gt;0,H859,L859),"")</f>
        <v/>
      </c>
      <c r="E860" s="29" t="str">
        <f t="shared" ref="E860:E923" ca="1" si="78">IF(C860&lt;&gt;"",MINPAYMENT(C860,ROW(B860),COLUMN(B860)),"")</f>
        <v/>
      </c>
      <c r="F860" s="29" t="str">
        <f ca="1">IF(C860&lt;&gt;"",IF(OR(VLOOKUP(C860,$C$3:$L$6,5,0)=Variables!$B$5,B860&gt;VLOOKUP(C860,$C$3:$L$6,8,0)),-D860*VLOOKUP(C860,$C$3:$L$6,6,0)/12,0),"")</f>
        <v/>
      </c>
      <c r="G860" s="29" t="str">
        <f ca="1">IF(I860&lt;&gt;Variables!$B$1,IF(C860&lt;&gt;"",$I$9-E860-F860,""),-D860)</f>
        <v/>
      </c>
      <c r="H860" s="29" t="str">
        <f t="shared" ca="1" si="76"/>
        <v/>
      </c>
      <c r="I860" s="31" t="str">
        <f ca="1">IF(C860&lt;&gt;"",IF(D860+$I$9-E860-F860&gt;=0,IF(ISERROR(INDEX($C$3:$C$6,MATCH(C860,$C$3:$C$6,0)+1,0)),Variables!$B$1,INDEX($C$3:$C$6,MATCH(C860,$C$3:$C$6,0)+1,0)),""),"")</f>
        <v/>
      </c>
      <c r="J860" s="29" t="str">
        <f ca="1">IF(ISERROR(VLOOKUP(I860,$C$3:$L$6,5,0)),"",IF(OR(VLOOKUP(I860,$C$3:$L$6,5,0)=Variables!$B$5,B860&gt;VLOOKUP(I860,$C$3:$L$6,8,0)),IF(VLOOKUP(I860,$C$3:$L$6,5,0)=Variables!$B$5,((YEAR(B860)-YEAR($B$12))*12+MONTH(B860)-MONTH($B$12)),((YEAR(B860)-YEAR(VLOOKUP(I860,$C$3:$L$6,8,0)))*12+MONTH(B860)-MONTH(VLOOKUP(I860,$C$3:$L$6,8,0))))*(VLOOKUP(I860,$C$3:$L$6,10,0)*VLOOKUP(I860,$C$3:$L$6,6,0)/12),0))</f>
        <v/>
      </c>
      <c r="K860" s="29" t="str">
        <f ca="1">IF(C860&lt;&gt;"",IF(I860&lt;&gt;"",IF(ISERROR(VLOOKUP(I860,$C$3:$L$6,10,0)),"",VLOOKUP(I860,$C$3:$L$6,10,0)+J860+IF(OR(VLOOKUP(I860,$C$3:$L$6,5,0)=Variables!$B$5,B860&gt;VLOOKUP(I860,$C$3:$L$6,8,0)),IF(VLOOKUP(I860,$C$3:$L$6,5,0)=Variables!$B$5,((YEAR(B860)-YEAR($B$12))*12+MONTH(B860)-MONTH($B$12)),((YEAR(B860)-YEAR(VLOOKUP(I860,$C$3:$L$6,8,0)))*12+MONTH(B860)-MONTH(VLOOKUP(I860,$C$3:$L$6,8,0))))*VLOOKUP(I860,$C$3:$L$6,7,0),0)),""),"")</f>
        <v/>
      </c>
      <c r="L860" s="29" t="str">
        <f t="shared" ref="L860:L923" ca="1" si="79">IF(C860&lt;&gt;"",IF(ISERROR(IF(D860+G860&gt;=0,K860+D860+G860,"")),"",IF(D860+G860&gt;=0,K860+D860+G860,"")),"")</f>
        <v/>
      </c>
      <c r="M860" s="10"/>
      <c r="N860" s="10"/>
    </row>
    <row r="861" spans="1:14" x14ac:dyDescent="0.25">
      <c r="A861" s="10"/>
      <c r="B861" s="14" t="str">
        <f t="shared" ref="B861:B924" ca="1" si="80">IF(C861&lt;&gt;"",DATE(YEAR(B860),MONTH(B860)+1,DAY(B860)),"")</f>
        <v/>
      </c>
      <c r="C861" s="14" t="str">
        <f ca="1">IF(I860&lt;&gt;Variables!$B$1,IF(H860&lt;&gt;0,C860,I860),"")</f>
        <v/>
      </c>
      <c r="D861" s="29" t="str">
        <f t="shared" ca="1" si="77"/>
        <v/>
      </c>
      <c r="E861" s="29" t="str">
        <f t="shared" ca="1" si="78"/>
        <v/>
      </c>
      <c r="F861" s="29" t="str">
        <f ca="1">IF(C861&lt;&gt;"",IF(OR(VLOOKUP(C861,$C$3:$L$6,5,0)=Variables!$B$5,B861&gt;VLOOKUP(C861,$C$3:$L$6,8,0)),-D861*VLOOKUP(C861,$C$3:$L$6,6,0)/12,0),"")</f>
        <v/>
      </c>
      <c r="G861" s="29" t="str">
        <f ca="1">IF(I861&lt;&gt;Variables!$B$1,IF(C861&lt;&gt;"",$I$9-E861-F861,""),-D861)</f>
        <v/>
      </c>
      <c r="H861" s="29" t="str">
        <f t="shared" ref="H861:H924" ca="1" si="81">IF(C861&lt;&gt;"",IF(D861+G861&lt;0,D861+G861,0),"")</f>
        <v/>
      </c>
      <c r="I861" s="31" t="str">
        <f ca="1">IF(C861&lt;&gt;"",IF(D861+$I$9-E861-F861&gt;=0,IF(ISERROR(INDEX($C$3:$C$6,MATCH(C861,$C$3:$C$6,0)+1,0)),Variables!$B$1,INDEX($C$3:$C$6,MATCH(C861,$C$3:$C$6,0)+1,0)),""),"")</f>
        <v/>
      </c>
      <c r="J861" s="29" t="str">
        <f ca="1">IF(ISERROR(VLOOKUP(I861,$C$3:$L$6,5,0)),"",IF(OR(VLOOKUP(I861,$C$3:$L$6,5,0)=Variables!$B$5,B861&gt;VLOOKUP(I861,$C$3:$L$6,8,0)),IF(VLOOKUP(I861,$C$3:$L$6,5,0)=Variables!$B$5,((YEAR(B861)-YEAR($B$12))*12+MONTH(B861)-MONTH($B$12)),((YEAR(B861)-YEAR(VLOOKUP(I861,$C$3:$L$6,8,0)))*12+MONTH(B861)-MONTH(VLOOKUP(I861,$C$3:$L$6,8,0))))*(VLOOKUP(I861,$C$3:$L$6,10,0)*VLOOKUP(I861,$C$3:$L$6,6,0)/12),0))</f>
        <v/>
      </c>
      <c r="K861" s="29" t="str">
        <f ca="1">IF(C861&lt;&gt;"",IF(I861&lt;&gt;"",IF(ISERROR(VLOOKUP(I861,$C$3:$L$6,10,0)),"",VLOOKUP(I861,$C$3:$L$6,10,0)+J861+IF(OR(VLOOKUP(I861,$C$3:$L$6,5,0)=Variables!$B$5,B861&gt;VLOOKUP(I861,$C$3:$L$6,8,0)),IF(VLOOKUP(I861,$C$3:$L$6,5,0)=Variables!$B$5,((YEAR(B861)-YEAR($B$12))*12+MONTH(B861)-MONTH($B$12)),((YEAR(B861)-YEAR(VLOOKUP(I861,$C$3:$L$6,8,0)))*12+MONTH(B861)-MONTH(VLOOKUP(I861,$C$3:$L$6,8,0))))*VLOOKUP(I861,$C$3:$L$6,7,0),0)),""),"")</f>
        <v/>
      </c>
      <c r="L861" s="29" t="str">
        <f t="shared" ca="1" si="79"/>
        <v/>
      </c>
      <c r="M861" s="10"/>
      <c r="N861" s="10"/>
    </row>
    <row r="862" spans="1:14" x14ac:dyDescent="0.25">
      <c r="A862" s="10"/>
      <c r="B862" s="14" t="str">
        <f t="shared" ca="1" si="80"/>
        <v/>
      </c>
      <c r="C862" s="14" t="str">
        <f ca="1">IF(I861&lt;&gt;Variables!$B$1,IF(H861&lt;&gt;0,C861,I861),"")</f>
        <v/>
      </c>
      <c r="D862" s="29" t="str">
        <f t="shared" ca="1" si="77"/>
        <v/>
      </c>
      <c r="E862" s="29" t="str">
        <f t="shared" ca="1" si="78"/>
        <v/>
      </c>
      <c r="F862" s="29" t="str">
        <f ca="1">IF(C862&lt;&gt;"",IF(OR(VLOOKUP(C862,$C$3:$L$6,5,0)=Variables!$B$5,B862&gt;VLOOKUP(C862,$C$3:$L$6,8,0)),-D862*VLOOKUP(C862,$C$3:$L$6,6,0)/12,0),"")</f>
        <v/>
      </c>
      <c r="G862" s="29" t="str">
        <f ca="1">IF(I862&lt;&gt;Variables!$B$1,IF(C862&lt;&gt;"",$I$9-E862-F862,""),-D862)</f>
        <v/>
      </c>
      <c r="H862" s="29" t="str">
        <f t="shared" ca="1" si="81"/>
        <v/>
      </c>
      <c r="I862" s="31" t="str">
        <f ca="1">IF(C862&lt;&gt;"",IF(D862+$I$9-E862-F862&gt;=0,IF(ISERROR(INDEX($C$3:$C$6,MATCH(C862,$C$3:$C$6,0)+1,0)),Variables!$B$1,INDEX($C$3:$C$6,MATCH(C862,$C$3:$C$6,0)+1,0)),""),"")</f>
        <v/>
      </c>
      <c r="J862" s="29" t="str">
        <f ca="1">IF(ISERROR(VLOOKUP(I862,$C$3:$L$6,5,0)),"",IF(OR(VLOOKUP(I862,$C$3:$L$6,5,0)=Variables!$B$5,B862&gt;VLOOKUP(I862,$C$3:$L$6,8,0)),IF(VLOOKUP(I862,$C$3:$L$6,5,0)=Variables!$B$5,((YEAR(B862)-YEAR($B$12))*12+MONTH(B862)-MONTH($B$12)),((YEAR(B862)-YEAR(VLOOKUP(I862,$C$3:$L$6,8,0)))*12+MONTH(B862)-MONTH(VLOOKUP(I862,$C$3:$L$6,8,0))))*(VLOOKUP(I862,$C$3:$L$6,10,0)*VLOOKUP(I862,$C$3:$L$6,6,0)/12),0))</f>
        <v/>
      </c>
      <c r="K862" s="29" t="str">
        <f ca="1">IF(C862&lt;&gt;"",IF(I862&lt;&gt;"",IF(ISERROR(VLOOKUP(I862,$C$3:$L$6,10,0)),"",VLOOKUP(I862,$C$3:$L$6,10,0)+J862+IF(OR(VLOOKUP(I862,$C$3:$L$6,5,0)=Variables!$B$5,B862&gt;VLOOKUP(I862,$C$3:$L$6,8,0)),IF(VLOOKUP(I862,$C$3:$L$6,5,0)=Variables!$B$5,((YEAR(B862)-YEAR($B$12))*12+MONTH(B862)-MONTH($B$12)),((YEAR(B862)-YEAR(VLOOKUP(I862,$C$3:$L$6,8,0)))*12+MONTH(B862)-MONTH(VLOOKUP(I862,$C$3:$L$6,8,0))))*VLOOKUP(I862,$C$3:$L$6,7,0),0)),""),"")</f>
        <v/>
      </c>
      <c r="L862" s="29" t="str">
        <f t="shared" ca="1" si="79"/>
        <v/>
      </c>
      <c r="M862" s="10"/>
      <c r="N862" s="10"/>
    </row>
    <row r="863" spans="1:14" x14ac:dyDescent="0.25">
      <c r="A863" s="10"/>
      <c r="B863" s="14" t="str">
        <f t="shared" ca="1" si="80"/>
        <v/>
      </c>
      <c r="C863" s="14" t="str">
        <f ca="1">IF(I862&lt;&gt;Variables!$B$1,IF(H862&lt;&gt;0,C862,I862),"")</f>
        <v/>
      </c>
      <c r="D863" s="29" t="str">
        <f t="shared" ca="1" si="77"/>
        <v/>
      </c>
      <c r="E863" s="29" t="str">
        <f t="shared" ca="1" si="78"/>
        <v/>
      </c>
      <c r="F863" s="29" t="str">
        <f ca="1">IF(C863&lt;&gt;"",IF(OR(VLOOKUP(C863,$C$3:$L$6,5,0)=Variables!$B$5,B863&gt;VLOOKUP(C863,$C$3:$L$6,8,0)),-D863*VLOOKUP(C863,$C$3:$L$6,6,0)/12,0),"")</f>
        <v/>
      </c>
      <c r="G863" s="29" t="str">
        <f ca="1">IF(I863&lt;&gt;Variables!$B$1,IF(C863&lt;&gt;"",$I$9-E863-F863,""),-D863)</f>
        <v/>
      </c>
      <c r="H863" s="29" t="str">
        <f t="shared" ca="1" si="81"/>
        <v/>
      </c>
      <c r="I863" s="31" t="str">
        <f ca="1">IF(C863&lt;&gt;"",IF(D863+$I$9-E863-F863&gt;=0,IF(ISERROR(INDEX($C$3:$C$6,MATCH(C863,$C$3:$C$6,0)+1,0)),Variables!$B$1,INDEX($C$3:$C$6,MATCH(C863,$C$3:$C$6,0)+1,0)),""),"")</f>
        <v/>
      </c>
      <c r="J863" s="29" t="str">
        <f ca="1">IF(ISERROR(VLOOKUP(I863,$C$3:$L$6,5,0)),"",IF(OR(VLOOKUP(I863,$C$3:$L$6,5,0)=Variables!$B$5,B863&gt;VLOOKUP(I863,$C$3:$L$6,8,0)),IF(VLOOKUP(I863,$C$3:$L$6,5,0)=Variables!$B$5,((YEAR(B863)-YEAR($B$12))*12+MONTH(B863)-MONTH($B$12)),((YEAR(B863)-YEAR(VLOOKUP(I863,$C$3:$L$6,8,0)))*12+MONTH(B863)-MONTH(VLOOKUP(I863,$C$3:$L$6,8,0))))*(VLOOKUP(I863,$C$3:$L$6,10,0)*VLOOKUP(I863,$C$3:$L$6,6,0)/12),0))</f>
        <v/>
      </c>
      <c r="K863" s="29" t="str">
        <f ca="1">IF(C863&lt;&gt;"",IF(I863&lt;&gt;"",IF(ISERROR(VLOOKUP(I863,$C$3:$L$6,10,0)),"",VLOOKUP(I863,$C$3:$L$6,10,0)+J863+IF(OR(VLOOKUP(I863,$C$3:$L$6,5,0)=Variables!$B$5,B863&gt;VLOOKUP(I863,$C$3:$L$6,8,0)),IF(VLOOKUP(I863,$C$3:$L$6,5,0)=Variables!$B$5,((YEAR(B863)-YEAR($B$12))*12+MONTH(B863)-MONTH($B$12)),((YEAR(B863)-YEAR(VLOOKUP(I863,$C$3:$L$6,8,0)))*12+MONTH(B863)-MONTH(VLOOKUP(I863,$C$3:$L$6,8,0))))*VLOOKUP(I863,$C$3:$L$6,7,0),0)),""),"")</f>
        <v/>
      </c>
      <c r="L863" s="29" t="str">
        <f t="shared" ca="1" si="79"/>
        <v/>
      </c>
      <c r="M863" s="10"/>
      <c r="N863" s="10"/>
    </row>
    <row r="864" spans="1:14" x14ac:dyDescent="0.25">
      <c r="A864" s="10"/>
      <c r="B864" s="14" t="str">
        <f t="shared" ca="1" si="80"/>
        <v/>
      </c>
      <c r="C864" s="14" t="str">
        <f ca="1">IF(I863&lt;&gt;Variables!$B$1,IF(H863&lt;&gt;0,C863,I863),"")</f>
        <v/>
      </c>
      <c r="D864" s="29" t="str">
        <f t="shared" ca="1" si="77"/>
        <v/>
      </c>
      <c r="E864" s="29" t="str">
        <f t="shared" ca="1" si="78"/>
        <v/>
      </c>
      <c r="F864" s="29" t="str">
        <f ca="1">IF(C864&lt;&gt;"",IF(OR(VLOOKUP(C864,$C$3:$L$6,5,0)=Variables!$B$5,B864&gt;VLOOKUP(C864,$C$3:$L$6,8,0)),-D864*VLOOKUP(C864,$C$3:$L$6,6,0)/12,0),"")</f>
        <v/>
      </c>
      <c r="G864" s="29" t="str">
        <f ca="1">IF(I864&lt;&gt;Variables!$B$1,IF(C864&lt;&gt;"",$I$9-E864-F864,""),-D864)</f>
        <v/>
      </c>
      <c r="H864" s="29" t="str">
        <f t="shared" ca="1" si="81"/>
        <v/>
      </c>
      <c r="I864" s="31" t="str">
        <f ca="1">IF(C864&lt;&gt;"",IF(D864+$I$9-E864-F864&gt;=0,IF(ISERROR(INDEX($C$3:$C$6,MATCH(C864,$C$3:$C$6,0)+1,0)),Variables!$B$1,INDEX($C$3:$C$6,MATCH(C864,$C$3:$C$6,0)+1,0)),""),"")</f>
        <v/>
      </c>
      <c r="J864" s="29" t="str">
        <f ca="1">IF(ISERROR(VLOOKUP(I864,$C$3:$L$6,5,0)),"",IF(OR(VLOOKUP(I864,$C$3:$L$6,5,0)=Variables!$B$5,B864&gt;VLOOKUP(I864,$C$3:$L$6,8,0)),IF(VLOOKUP(I864,$C$3:$L$6,5,0)=Variables!$B$5,((YEAR(B864)-YEAR($B$12))*12+MONTH(B864)-MONTH($B$12)),((YEAR(B864)-YEAR(VLOOKUP(I864,$C$3:$L$6,8,0)))*12+MONTH(B864)-MONTH(VLOOKUP(I864,$C$3:$L$6,8,0))))*(VLOOKUP(I864,$C$3:$L$6,10,0)*VLOOKUP(I864,$C$3:$L$6,6,0)/12),0))</f>
        <v/>
      </c>
      <c r="K864" s="29" t="str">
        <f ca="1">IF(C864&lt;&gt;"",IF(I864&lt;&gt;"",IF(ISERROR(VLOOKUP(I864,$C$3:$L$6,10,0)),"",VLOOKUP(I864,$C$3:$L$6,10,0)+J864+IF(OR(VLOOKUP(I864,$C$3:$L$6,5,0)=Variables!$B$5,B864&gt;VLOOKUP(I864,$C$3:$L$6,8,0)),IF(VLOOKUP(I864,$C$3:$L$6,5,0)=Variables!$B$5,((YEAR(B864)-YEAR($B$12))*12+MONTH(B864)-MONTH($B$12)),((YEAR(B864)-YEAR(VLOOKUP(I864,$C$3:$L$6,8,0)))*12+MONTH(B864)-MONTH(VLOOKUP(I864,$C$3:$L$6,8,0))))*VLOOKUP(I864,$C$3:$L$6,7,0),0)),""),"")</f>
        <v/>
      </c>
      <c r="L864" s="29" t="str">
        <f t="shared" ca="1" si="79"/>
        <v/>
      </c>
      <c r="M864" s="10"/>
      <c r="N864" s="10"/>
    </row>
    <row r="865" spans="1:14" x14ac:dyDescent="0.25">
      <c r="A865" s="10"/>
      <c r="B865" s="14" t="str">
        <f t="shared" ca="1" si="80"/>
        <v/>
      </c>
      <c r="C865" s="14" t="str">
        <f ca="1">IF(I864&lt;&gt;Variables!$B$1,IF(H864&lt;&gt;0,C864,I864),"")</f>
        <v/>
      </c>
      <c r="D865" s="29" t="str">
        <f t="shared" ca="1" si="77"/>
        <v/>
      </c>
      <c r="E865" s="29" t="str">
        <f t="shared" ca="1" si="78"/>
        <v/>
      </c>
      <c r="F865" s="29" t="str">
        <f ca="1">IF(C865&lt;&gt;"",IF(OR(VLOOKUP(C865,$C$3:$L$6,5,0)=Variables!$B$5,B865&gt;VLOOKUP(C865,$C$3:$L$6,8,0)),-D865*VLOOKUP(C865,$C$3:$L$6,6,0)/12,0),"")</f>
        <v/>
      </c>
      <c r="G865" s="29" t="str">
        <f ca="1">IF(I865&lt;&gt;Variables!$B$1,IF(C865&lt;&gt;"",$I$9-E865-F865,""),-D865)</f>
        <v/>
      </c>
      <c r="H865" s="29" t="str">
        <f t="shared" ca="1" si="81"/>
        <v/>
      </c>
      <c r="I865" s="31" t="str">
        <f ca="1">IF(C865&lt;&gt;"",IF(D865+$I$9-E865-F865&gt;=0,IF(ISERROR(INDEX($C$3:$C$6,MATCH(C865,$C$3:$C$6,0)+1,0)),Variables!$B$1,INDEX($C$3:$C$6,MATCH(C865,$C$3:$C$6,0)+1,0)),""),"")</f>
        <v/>
      </c>
      <c r="J865" s="29" t="str">
        <f ca="1">IF(ISERROR(VLOOKUP(I865,$C$3:$L$6,5,0)),"",IF(OR(VLOOKUP(I865,$C$3:$L$6,5,0)=Variables!$B$5,B865&gt;VLOOKUP(I865,$C$3:$L$6,8,0)),IF(VLOOKUP(I865,$C$3:$L$6,5,0)=Variables!$B$5,((YEAR(B865)-YEAR($B$12))*12+MONTH(B865)-MONTH($B$12)),((YEAR(B865)-YEAR(VLOOKUP(I865,$C$3:$L$6,8,0)))*12+MONTH(B865)-MONTH(VLOOKUP(I865,$C$3:$L$6,8,0))))*(VLOOKUP(I865,$C$3:$L$6,10,0)*VLOOKUP(I865,$C$3:$L$6,6,0)/12),0))</f>
        <v/>
      </c>
      <c r="K865" s="29" t="str">
        <f ca="1">IF(C865&lt;&gt;"",IF(I865&lt;&gt;"",IF(ISERROR(VLOOKUP(I865,$C$3:$L$6,10,0)),"",VLOOKUP(I865,$C$3:$L$6,10,0)+J865+IF(OR(VLOOKUP(I865,$C$3:$L$6,5,0)=Variables!$B$5,B865&gt;VLOOKUP(I865,$C$3:$L$6,8,0)),IF(VLOOKUP(I865,$C$3:$L$6,5,0)=Variables!$B$5,((YEAR(B865)-YEAR($B$12))*12+MONTH(B865)-MONTH($B$12)),((YEAR(B865)-YEAR(VLOOKUP(I865,$C$3:$L$6,8,0)))*12+MONTH(B865)-MONTH(VLOOKUP(I865,$C$3:$L$6,8,0))))*VLOOKUP(I865,$C$3:$L$6,7,0),0)),""),"")</f>
        <v/>
      </c>
      <c r="L865" s="29" t="str">
        <f t="shared" ca="1" si="79"/>
        <v/>
      </c>
      <c r="M865" s="10"/>
      <c r="N865" s="10"/>
    </row>
    <row r="866" spans="1:14" x14ac:dyDescent="0.25">
      <c r="A866" s="10"/>
      <c r="B866" s="14" t="str">
        <f t="shared" ca="1" si="80"/>
        <v/>
      </c>
      <c r="C866" s="14" t="str">
        <f ca="1">IF(I865&lt;&gt;Variables!$B$1,IF(H865&lt;&gt;0,C865,I865),"")</f>
        <v/>
      </c>
      <c r="D866" s="29" t="str">
        <f t="shared" ca="1" si="77"/>
        <v/>
      </c>
      <c r="E866" s="29" t="str">
        <f t="shared" ca="1" si="78"/>
        <v/>
      </c>
      <c r="F866" s="29" t="str">
        <f ca="1">IF(C866&lt;&gt;"",IF(OR(VLOOKUP(C866,$C$3:$L$6,5,0)=Variables!$B$5,B866&gt;VLOOKUP(C866,$C$3:$L$6,8,0)),-D866*VLOOKUP(C866,$C$3:$L$6,6,0)/12,0),"")</f>
        <v/>
      </c>
      <c r="G866" s="29" t="str">
        <f ca="1">IF(I866&lt;&gt;Variables!$B$1,IF(C866&lt;&gt;"",$I$9-E866-F866,""),-D866)</f>
        <v/>
      </c>
      <c r="H866" s="29" t="str">
        <f t="shared" ca="1" si="81"/>
        <v/>
      </c>
      <c r="I866" s="31" t="str">
        <f ca="1">IF(C866&lt;&gt;"",IF(D866+$I$9-E866-F866&gt;=0,IF(ISERROR(INDEX($C$3:$C$6,MATCH(C866,$C$3:$C$6,0)+1,0)),Variables!$B$1,INDEX($C$3:$C$6,MATCH(C866,$C$3:$C$6,0)+1,0)),""),"")</f>
        <v/>
      </c>
      <c r="J866" s="29" t="str">
        <f ca="1">IF(ISERROR(VLOOKUP(I866,$C$3:$L$6,5,0)),"",IF(OR(VLOOKUP(I866,$C$3:$L$6,5,0)=Variables!$B$5,B866&gt;VLOOKUP(I866,$C$3:$L$6,8,0)),IF(VLOOKUP(I866,$C$3:$L$6,5,0)=Variables!$B$5,((YEAR(B866)-YEAR($B$12))*12+MONTH(B866)-MONTH($B$12)),((YEAR(B866)-YEAR(VLOOKUP(I866,$C$3:$L$6,8,0)))*12+MONTH(B866)-MONTH(VLOOKUP(I866,$C$3:$L$6,8,0))))*(VLOOKUP(I866,$C$3:$L$6,10,0)*VLOOKUP(I866,$C$3:$L$6,6,0)/12),0))</f>
        <v/>
      </c>
      <c r="K866" s="29" t="str">
        <f ca="1">IF(C866&lt;&gt;"",IF(I866&lt;&gt;"",IF(ISERROR(VLOOKUP(I866,$C$3:$L$6,10,0)),"",VLOOKUP(I866,$C$3:$L$6,10,0)+J866+IF(OR(VLOOKUP(I866,$C$3:$L$6,5,0)=Variables!$B$5,B866&gt;VLOOKUP(I866,$C$3:$L$6,8,0)),IF(VLOOKUP(I866,$C$3:$L$6,5,0)=Variables!$B$5,((YEAR(B866)-YEAR($B$12))*12+MONTH(B866)-MONTH($B$12)),((YEAR(B866)-YEAR(VLOOKUP(I866,$C$3:$L$6,8,0)))*12+MONTH(B866)-MONTH(VLOOKUP(I866,$C$3:$L$6,8,0))))*VLOOKUP(I866,$C$3:$L$6,7,0),0)),""),"")</f>
        <v/>
      </c>
      <c r="L866" s="29" t="str">
        <f t="shared" ca="1" si="79"/>
        <v/>
      </c>
      <c r="M866" s="10"/>
      <c r="N866" s="10"/>
    </row>
    <row r="867" spans="1:14" x14ac:dyDescent="0.25">
      <c r="A867" s="10"/>
      <c r="B867" s="14" t="str">
        <f t="shared" ca="1" si="80"/>
        <v/>
      </c>
      <c r="C867" s="14" t="str">
        <f ca="1">IF(I866&lt;&gt;Variables!$B$1,IF(H866&lt;&gt;0,C866,I866),"")</f>
        <v/>
      </c>
      <c r="D867" s="29" t="str">
        <f t="shared" ca="1" si="77"/>
        <v/>
      </c>
      <c r="E867" s="29" t="str">
        <f t="shared" ca="1" si="78"/>
        <v/>
      </c>
      <c r="F867" s="29" t="str">
        <f ca="1">IF(C867&lt;&gt;"",IF(OR(VLOOKUP(C867,$C$3:$L$6,5,0)=Variables!$B$5,B867&gt;VLOOKUP(C867,$C$3:$L$6,8,0)),-D867*VLOOKUP(C867,$C$3:$L$6,6,0)/12,0),"")</f>
        <v/>
      </c>
      <c r="G867" s="29" t="str">
        <f ca="1">IF(I867&lt;&gt;Variables!$B$1,IF(C867&lt;&gt;"",$I$9-E867-F867,""),-D867)</f>
        <v/>
      </c>
      <c r="H867" s="29" t="str">
        <f t="shared" ca="1" si="81"/>
        <v/>
      </c>
      <c r="I867" s="31" t="str">
        <f ca="1">IF(C867&lt;&gt;"",IF(D867+$I$9-E867-F867&gt;=0,IF(ISERROR(INDEX($C$3:$C$6,MATCH(C867,$C$3:$C$6,0)+1,0)),Variables!$B$1,INDEX($C$3:$C$6,MATCH(C867,$C$3:$C$6,0)+1,0)),""),"")</f>
        <v/>
      </c>
      <c r="J867" s="29" t="str">
        <f ca="1">IF(ISERROR(VLOOKUP(I867,$C$3:$L$6,5,0)),"",IF(OR(VLOOKUP(I867,$C$3:$L$6,5,0)=Variables!$B$5,B867&gt;VLOOKUP(I867,$C$3:$L$6,8,0)),IF(VLOOKUP(I867,$C$3:$L$6,5,0)=Variables!$B$5,((YEAR(B867)-YEAR($B$12))*12+MONTH(B867)-MONTH($B$12)),((YEAR(B867)-YEAR(VLOOKUP(I867,$C$3:$L$6,8,0)))*12+MONTH(B867)-MONTH(VLOOKUP(I867,$C$3:$L$6,8,0))))*(VLOOKUP(I867,$C$3:$L$6,10,0)*VLOOKUP(I867,$C$3:$L$6,6,0)/12),0))</f>
        <v/>
      </c>
      <c r="K867" s="29" t="str">
        <f ca="1">IF(C867&lt;&gt;"",IF(I867&lt;&gt;"",IF(ISERROR(VLOOKUP(I867,$C$3:$L$6,10,0)),"",VLOOKUP(I867,$C$3:$L$6,10,0)+J867+IF(OR(VLOOKUP(I867,$C$3:$L$6,5,0)=Variables!$B$5,B867&gt;VLOOKUP(I867,$C$3:$L$6,8,0)),IF(VLOOKUP(I867,$C$3:$L$6,5,0)=Variables!$B$5,((YEAR(B867)-YEAR($B$12))*12+MONTH(B867)-MONTH($B$12)),((YEAR(B867)-YEAR(VLOOKUP(I867,$C$3:$L$6,8,0)))*12+MONTH(B867)-MONTH(VLOOKUP(I867,$C$3:$L$6,8,0))))*VLOOKUP(I867,$C$3:$L$6,7,0),0)),""),"")</f>
        <v/>
      </c>
      <c r="L867" s="29" t="str">
        <f t="shared" ca="1" si="79"/>
        <v/>
      </c>
      <c r="M867" s="10"/>
      <c r="N867" s="10"/>
    </row>
    <row r="868" spans="1:14" x14ac:dyDescent="0.25">
      <c r="A868" s="10"/>
      <c r="B868" s="14" t="str">
        <f t="shared" ca="1" si="80"/>
        <v/>
      </c>
      <c r="C868" s="14" t="str">
        <f ca="1">IF(I867&lt;&gt;Variables!$B$1,IF(H867&lt;&gt;0,C867,I867),"")</f>
        <v/>
      </c>
      <c r="D868" s="29" t="str">
        <f t="shared" ca="1" si="77"/>
        <v/>
      </c>
      <c r="E868" s="29" t="str">
        <f t="shared" ca="1" si="78"/>
        <v/>
      </c>
      <c r="F868" s="29" t="str">
        <f ca="1">IF(C868&lt;&gt;"",IF(OR(VLOOKUP(C868,$C$3:$L$6,5,0)=Variables!$B$5,B868&gt;VLOOKUP(C868,$C$3:$L$6,8,0)),-D868*VLOOKUP(C868,$C$3:$L$6,6,0)/12,0),"")</f>
        <v/>
      </c>
      <c r="G868" s="29" t="str">
        <f ca="1">IF(I868&lt;&gt;Variables!$B$1,IF(C868&lt;&gt;"",$I$9-E868-F868,""),-D868)</f>
        <v/>
      </c>
      <c r="H868" s="29" t="str">
        <f t="shared" ca="1" si="81"/>
        <v/>
      </c>
      <c r="I868" s="31" t="str">
        <f ca="1">IF(C868&lt;&gt;"",IF(D868+$I$9-E868-F868&gt;=0,IF(ISERROR(INDEX($C$3:$C$6,MATCH(C868,$C$3:$C$6,0)+1,0)),Variables!$B$1,INDEX($C$3:$C$6,MATCH(C868,$C$3:$C$6,0)+1,0)),""),"")</f>
        <v/>
      </c>
      <c r="J868" s="29" t="str">
        <f ca="1">IF(ISERROR(VLOOKUP(I868,$C$3:$L$6,5,0)),"",IF(OR(VLOOKUP(I868,$C$3:$L$6,5,0)=Variables!$B$5,B868&gt;VLOOKUP(I868,$C$3:$L$6,8,0)),IF(VLOOKUP(I868,$C$3:$L$6,5,0)=Variables!$B$5,((YEAR(B868)-YEAR($B$12))*12+MONTH(B868)-MONTH($B$12)),((YEAR(B868)-YEAR(VLOOKUP(I868,$C$3:$L$6,8,0)))*12+MONTH(B868)-MONTH(VLOOKUP(I868,$C$3:$L$6,8,0))))*(VLOOKUP(I868,$C$3:$L$6,10,0)*VLOOKUP(I868,$C$3:$L$6,6,0)/12),0))</f>
        <v/>
      </c>
      <c r="K868" s="29" t="str">
        <f ca="1">IF(C868&lt;&gt;"",IF(I868&lt;&gt;"",IF(ISERROR(VLOOKUP(I868,$C$3:$L$6,10,0)),"",VLOOKUP(I868,$C$3:$L$6,10,0)+J868+IF(OR(VLOOKUP(I868,$C$3:$L$6,5,0)=Variables!$B$5,B868&gt;VLOOKUP(I868,$C$3:$L$6,8,0)),IF(VLOOKUP(I868,$C$3:$L$6,5,0)=Variables!$B$5,((YEAR(B868)-YEAR($B$12))*12+MONTH(B868)-MONTH($B$12)),((YEAR(B868)-YEAR(VLOOKUP(I868,$C$3:$L$6,8,0)))*12+MONTH(B868)-MONTH(VLOOKUP(I868,$C$3:$L$6,8,0))))*VLOOKUP(I868,$C$3:$L$6,7,0),0)),""),"")</f>
        <v/>
      </c>
      <c r="L868" s="29" t="str">
        <f t="shared" ca="1" si="79"/>
        <v/>
      </c>
      <c r="M868" s="10"/>
      <c r="N868" s="10"/>
    </row>
    <row r="869" spans="1:14" x14ac:dyDescent="0.25">
      <c r="A869" s="10"/>
      <c r="B869" s="14" t="str">
        <f t="shared" ca="1" si="80"/>
        <v/>
      </c>
      <c r="C869" s="14" t="str">
        <f ca="1">IF(I868&lt;&gt;Variables!$B$1,IF(H868&lt;&gt;0,C868,I868),"")</f>
        <v/>
      </c>
      <c r="D869" s="29" t="str">
        <f t="shared" ca="1" si="77"/>
        <v/>
      </c>
      <c r="E869" s="29" t="str">
        <f t="shared" ca="1" si="78"/>
        <v/>
      </c>
      <c r="F869" s="29" t="str">
        <f ca="1">IF(C869&lt;&gt;"",IF(OR(VLOOKUP(C869,$C$3:$L$6,5,0)=Variables!$B$5,B869&gt;VLOOKUP(C869,$C$3:$L$6,8,0)),-D869*VLOOKUP(C869,$C$3:$L$6,6,0)/12,0),"")</f>
        <v/>
      </c>
      <c r="G869" s="29" t="str">
        <f ca="1">IF(I869&lt;&gt;Variables!$B$1,IF(C869&lt;&gt;"",$I$9-E869-F869,""),-D869)</f>
        <v/>
      </c>
      <c r="H869" s="29" t="str">
        <f t="shared" ca="1" si="81"/>
        <v/>
      </c>
      <c r="I869" s="31" t="str">
        <f ca="1">IF(C869&lt;&gt;"",IF(D869+$I$9-E869-F869&gt;=0,IF(ISERROR(INDEX($C$3:$C$6,MATCH(C869,$C$3:$C$6,0)+1,0)),Variables!$B$1,INDEX($C$3:$C$6,MATCH(C869,$C$3:$C$6,0)+1,0)),""),"")</f>
        <v/>
      </c>
      <c r="J869" s="29" t="str">
        <f ca="1">IF(ISERROR(VLOOKUP(I869,$C$3:$L$6,5,0)),"",IF(OR(VLOOKUP(I869,$C$3:$L$6,5,0)=Variables!$B$5,B869&gt;VLOOKUP(I869,$C$3:$L$6,8,0)),IF(VLOOKUP(I869,$C$3:$L$6,5,0)=Variables!$B$5,((YEAR(B869)-YEAR($B$12))*12+MONTH(B869)-MONTH($B$12)),((YEAR(B869)-YEAR(VLOOKUP(I869,$C$3:$L$6,8,0)))*12+MONTH(B869)-MONTH(VLOOKUP(I869,$C$3:$L$6,8,0))))*(VLOOKUP(I869,$C$3:$L$6,10,0)*VLOOKUP(I869,$C$3:$L$6,6,0)/12),0))</f>
        <v/>
      </c>
      <c r="K869" s="29" t="str">
        <f ca="1">IF(C869&lt;&gt;"",IF(I869&lt;&gt;"",IF(ISERROR(VLOOKUP(I869,$C$3:$L$6,10,0)),"",VLOOKUP(I869,$C$3:$L$6,10,0)+J869+IF(OR(VLOOKUP(I869,$C$3:$L$6,5,0)=Variables!$B$5,B869&gt;VLOOKUP(I869,$C$3:$L$6,8,0)),IF(VLOOKUP(I869,$C$3:$L$6,5,0)=Variables!$B$5,((YEAR(B869)-YEAR($B$12))*12+MONTH(B869)-MONTH($B$12)),((YEAR(B869)-YEAR(VLOOKUP(I869,$C$3:$L$6,8,0)))*12+MONTH(B869)-MONTH(VLOOKUP(I869,$C$3:$L$6,8,0))))*VLOOKUP(I869,$C$3:$L$6,7,0),0)),""),"")</f>
        <v/>
      </c>
      <c r="L869" s="29" t="str">
        <f t="shared" ca="1" si="79"/>
        <v/>
      </c>
      <c r="M869" s="10"/>
      <c r="N869" s="10"/>
    </row>
    <row r="870" spans="1:14" x14ac:dyDescent="0.25">
      <c r="A870" s="10"/>
      <c r="B870" s="14" t="str">
        <f t="shared" ca="1" si="80"/>
        <v/>
      </c>
      <c r="C870" s="14" t="str">
        <f ca="1">IF(I869&lt;&gt;Variables!$B$1,IF(H869&lt;&gt;0,C869,I869),"")</f>
        <v/>
      </c>
      <c r="D870" s="29" t="str">
        <f t="shared" ca="1" si="77"/>
        <v/>
      </c>
      <c r="E870" s="29" t="str">
        <f t="shared" ca="1" si="78"/>
        <v/>
      </c>
      <c r="F870" s="29" t="str">
        <f ca="1">IF(C870&lt;&gt;"",IF(OR(VLOOKUP(C870,$C$3:$L$6,5,0)=Variables!$B$5,B870&gt;VLOOKUP(C870,$C$3:$L$6,8,0)),-D870*VLOOKUP(C870,$C$3:$L$6,6,0)/12,0),"")</f>
        <v/>
      </c>
      <c r="G870" s="29" t="str">
        <f ca="1">IF(I870&lt;&gt;Variables!$B$1,IF(C870&lt;&gt;"",$I$9-E870-F870,""),-D870)</f>
        <v/>
      </c>
      <c r="H870" s="29" t="str">
        <f t="shared" ca="1" si="81"/>
        <v/>
      </c>
      <c r="I870" s="31" t="str">
        <f ca="1">IF(C870&lt;&gt;"",IF(D870+$I$9-E870-F870&gt;=0,IF(ISERROR(INDEX($C$3:$C$6,MATCH(C870,$C$3:$C$6,0)+1,0)),Variables!$B$1,INDEX($C$3:$C$6,MATCH(C870,$C$3:$C$6,0)+1,0)),""),"")</f>
        <v/>
      </c>
      <c r="J870" s="29" t="str">
        <f ca="1">IF(ISERROR(VLOOKUP(I870,$C$3:$L$6,5,0)),"",IF(OR(VLOOKUP(I870,$C$3:$L$6,5,0)=Variables!$B$5,B870&gt;VLOOKUP(I870,$C$3:$L$6,8,0)),IF(VLOOKUP(I870,$C$3:$L$6,5,0)=Variables!$B$5,((YEAR(B870)-YEAR($B$12))*12+MONTH(B870)-MONTH($B$12)),((YEAR(B870)-YEAR(VLOOKUP(I870,$C$3:$L$6,8,0)))*12+MONTH(B870)-MONTH(VLOOKUP(I870,$C$3:$L$6,8,0))))*(VLOOKUP(I870,$C$3:$L$6,10,0)*VLOOKUP(I870,$C$3:$L$6,6,0)/12),0))</f>
        <v/>
      </c>
      <c r="K870" s="29" t="str">
        <f ca="1">IF(C870&lt;&gt;"",IF(I870&lt;&gt;"",IF(ISERROR(VLOOKUP(I870,$C$3:$L$6,10,0)),"",VLOOKUP(I870,$C$3:$L$6,10,0)+J870+IF(OR(VLOOKUP(I870,$C$3:$L$6,5,0)=Variables!$B$5,B870&gt;VLOOKUP(I870,$C$3:$L$6,8,0)),IF(VLOOKUP(I870,$C$3:$L$6,5,0)=Variables!$B$5,((YEAR(B870)-YEAR($B$12))*12+MONTH(B870)-MONTH($B$12)),((YEAR(B870)-YEAR(VLOOKUP(I870,$C$3:$L$6,8,0)))*12+MONTH(B870)-MONTH(VLOOKUP(I870,$C$3:$L$6,8,0))))*VLOOKUP(I870,$C$3:$L$6,7,0),0)),""),"")</f>
        <v/>
      </c>
      <c r="L870" s="29" t="str">
        <f t="shared" ca="1" si="79"/>
        <v/>
      </c>
      <c r="M870" s="10"/>
      <c r="N870" s="10"/>
    </row>
    <row r="871" spans="1:14" x14ac:dyDescent="0.25">
      <c r="A871" s="10"/>
      <c r="B871" s="14" t="str">
        <f t="shared" ca="1" si="80"/>
        <v/>
      </c>
      <c r="C871" s="14" t="str">
        <f ca="1">IF(I870&lt;&gt;Variables!$B$1,IF(H870&lt;&gt;0,C870,I870),"")</f>
        <v/>
      </c>
      <c r="D871" s="29" t="str">
        <f t="shared" ca="1" si="77"/>
        <v/>
      </c>
      <c r="E871" s="29" t="str">
        <f t="shared" ca="1" si="78"/>
        <v/>
      </c>
      <c r="F871" s="29" t="str">
        <f ca="1">IF(C871&lt;&gt;"",IF(OR(VLOOKUP(C871,$C$3:$L$6,5,0)=Variables!$B$5,B871&gt;VLOOKUP(C871,$C$3:$L$6,8,0)),-D871*VLOOKUP(C871,$C$3:$L$6,6,0)/12,0),"")</f>
        <v/>
      </c>
      <c r="G871" s="29" t="str">
        <f ca="1">IF(I871&lt;&gt;Variables!$B$1,IF(C871&lt;&gt;"",$I$9-E871-F871,""),-D871)</f>
        <v/>
      </c>
      <c r="H871" s="29" t="str">
        <f t="shared" ca="1" si="81"/>
        <v/>
      </c>
      <c r="I871" s="31" t="str">
        <f ca="1">IF(C871&lt;&gt;"",IF(D871+$I$9-E871-F871&gt;=0,IF(ISERROR(INDEX($C$3:$C$6,MATCH(C871,$C$3:$C$6,0)+1,0)),Variables!$B$1,INDEX($C$3:$C$6,MATCH(C871,$C$3:$C$6,0)+1,0)),""),"")</f>
        <v/>
      </c>
      <c r="J871" s="29" t="str">
        <f ca="1">IF(ISERROR(VLOOKUP(I871,$C$3:$L$6,5,0)),"",IF(OR(VLOOKUP(I871,$C$3:$L$6,5,0)=Variables!$B$5,B871&gt;VLOOKUP(I871,$C$3:$L$6,8,0)),IF(VLOOKUP(I871,$C$3:$L$6,5,0)=Variables!$B$5,((YEAR(B871)-YEAR($B$12))*12+MONTH(B871)-MONTH($B$12)),((YEAR(B871)-YEAR(VLOOKUP(I871,$C$3:$L$6,8,0)))*12+MONTH(B871)-MONTH(VLOOKUP(I871,$C$3:$L$6,8,0))))*(VLOOKUP(I871,$C$3:$L$6,10,0)*VLOOKUP(I871,$C$3:$L$6,6,0)/12),0))</f>
        <v/>
      </c>
      <c r="K871" s="29" t="str">
        <f ca="1">IF(C871&lt;&gt;"",IF(I871&lt;&gt;"",IF(ISERROR(VLOOKUP(I871,$C$3:$L$6,10,0)),"",VLOOKUP(I871,$C$3:$L$6,10,0)+J871+IF(OR(VLOOKUP(I871,$C$3:$L$6,5,0)=Variables!$B$5,B871&gt;VLOOKUP(I871,$C$3:$L$6,8,0)),IF(VLOOKUP(I871,$C$3:$L$6,5,0)=Variables!$B$5,((YEAR(B871)-YEAR($B$12))*12+MONTH(B871)-MONTH($B$12)),((YEAR(B871)-YEAR(VLOOKUP(I871,$C$3:$L$6,8,0)))*12+MONTH(B871)-MONTH(VLOOKUP(I871,$C$3:$L$6,8,0))))*VLOOKUP(I871,$C$3:$L$6,7,0),0)),""),"")</f>
        <v/>
      </c>
      <c r="L871" s="29" t="str">
        <f t="shared" ca="1" si="79"/>
        <v/>
      </c>
      <c r="M871" s="10"/>
      <c r="N871" s="10"/>
    </row>
    <row r="872" spans="1:14" x14ac:dyDescent="0.25">
      <c r="A872" s="10"/>
      <c r="B872" s="14" t="str">
        <f t="shared" ca="1" si="80"/>
        <v/>
      </c>
      <c r="C872" s="14" t="str">
        <f ca="1">IF(I871&lt;&gt;Variables!$B$1,IF(H871&lt;&gt;0,C871,I871),"")</f>
        <v/>
      </c>
      <c r="D872" s="29" t="str">
        <f t="shared" ca="1" si="77"/>
        <v/>
      </c>
      <c r="E872" s="29" t="str">
        <f t="shared" ca="1" si="78"/>
        <v/>
      </c>
      <c r="F872" s="29" t="str">
        <f ca="1">IF(C872&lt;&gt;"",IF(OR(VLOOKUP(C872,$C$3:$L$6,5,0)=Variables!$B$5,B872&gt;VLOOKUP(C872,$C$3:$L$6,8,0)),-D872*VLOOKUP(C872,$C$3:$L$6,6,0)/12,0),"")</f>
        <v/>
      </c>
      <c r="G872" s="29" t="str">
        <f ca="1">IF(I872&lt;&gt;Variables!$B$1,IF(C872&lt;&gt;"",$I$9-E872-F872,""),-D872)</f>
        <v/>
      </c>
      <c r="H872" s="29" t="str">
        <f t="shared" ca="1" si="81"/>
        <v/>
      </c>
      <c r="I872" s="31" t="str">
        <f ca="1">IF(C872&lt;&gt;"",IF(D872+$I$9-E872-F872&gt;=0,IF(ISERROR(INDEX($C$3:$C$6,MATCH(C872,$C$3:$C$6,0)+1,0)),Variables!$B$1,INDEX($C$3:$C$6,MATCH(C872,$C$3:$C$6,0)+1,0)),""),"")</f>
        <v/>
      </c>
      <c r="J872" s="29" t="str">
        <f ca="1">IF(ISERROR(VLOOKUP(I872,$C$3:$L$6,5,0)),"",IF(OR(VLOOKUP(I872,$C$3:$L$6,5,0)=Variables!$B$5,B872&gt;VLOOKUP(I872,$C$3:$L$6,8,0)),IF(VLOOKUP(I872,$C$3:$L$6,5,0)=Variables!$B$5,((YEAR(B872)-YEAR($B$12))*12+MONTH(B872)-MONTH($B$12)),((YEAR(B872)-YEAR(VLOOKUP(I872,$C$3:$L$6,8,0)))*12+MONTH(B872)-MONTH(VLOOKUP(I872,$C$3:$L$6,8,0))))*(VLOOKUP(I872,$C$3:$L$6,10,0)*VLOOKUP(I872,$C$3:$L$6,6,0)/12),0))</f>
        <v/>
      </c>
      <c r="K872" s="29" t="str">
        <f ca="1">IF(C872&lt;&gt;"",IF(I872&lt;&gt;"",IF(ISERROR(VLOOKUP(I872,$C$3:$L$6,10,0)),"",VLOOKUP(I872,$C$3:$L$6,10,0)+J872+IF(OR(VLOOKUP(I872,$C$3:$L$6,5,0)=Variables!$B$5,B872&gt;VLOOKUP(I872,$C$3:$L$6,8,0)),IF(VLOOKUP(I872,$C$3:$L$6,5,0)=Variables!$B$5,((YEAR(B872)-YEAR($B$12))*12+MONTH(B872)-MONTH($B$12)),((YEAR(B872)-YEAR(VLOOKUP(I872,$C$3:$L$6,8,0)))*12+MONTH(B872)-MONTH(VLOOKUP(I872,$C$3:$L$6,8,0))))*VLOOKUP(I872,$C$3:$L$6,7,0),0)),""),"")</f>
        <v/>
      </c>
      <c r="L872" s="29" t="str">
        <f t="shared" ca="1" si="79"/>
        <v/>
      </c>
      <c r="M872" s="10"/>
      <c r="N872" s="10"/>
    </row>
    <row r="873" spans="1:14" x14ac:dyDescent="0.25">
      <c r="A873" s="10"/>
      <c r="B873" s="14" t="str">
        <f t="shared" ca="1" si="80"/>
        <v/>
      </c>
      <c r="C873" s="14" t="str">
        <f ca="1">IF(I872&lt;&gt;Variables!$B$1,IF(H872&lt;&gt;0,C872,I872),"")</f>
        <v/>
      </c>
      <c r="D873" s="29" t="str">
        <f t="shared" ca="1" si="77"/>
        <v/>
      </c>
      <c r="E873" s="29" t="str">
        <f t="shared" ca="1" si="78"/>
        <v/>
      </c>
      <c r="F873" s="29" t="str">
        <f ca="1">IF(C873&lt;&gt;"",IF(OR(VLOOKUP(C873,$C$3:$L$6,5,0)=Variables!$B$5,B873&gt;VLOOKUP(C873,$C$3:$L$6,8,0)),-D873*VLOOKUP(C873,$C$3:$L$6,6,0)/12,0),"")</f>
        <v/>
      </c>
      <c r="G873" s="29" t="str">
        <f ca="1">IF(I873&lt;&gt;Variables!$B$1,IF(C873&lt;&gt;"",$I$9-E873-F873,""),-D873)</f>
        <v/>
      </c>
      <c r="H873" s="29" t="str">
        <f t="shared" ca="1" si="81"/>
        <v/>
      </c>
      <c r="I873" s="31" t="str">
        <f ca="1">IF(C873&lt;&gt;"",IF(D873+$I$9-E873-F873&gt;=0,IF(ISERROR(INDEX($C$3:$C$6,MATCH(C873,$C$3:$C$6,0)+1,0)),Variables!$B$1,INDEX($C$3:$C$6,MATCH(C873,$C$3:$C$6,0)+1,0)),""),"")</f>
        <v/>
      </c>
      <c r="J873" s="29" t="str">
        <f ca="1">IF(ISERROR(VLOOKUP(I873,$C$3:$L$6,5,0)),"",IF(OR(VLOOKUP(I873,$C$3:$L$6,5,0)=Variables!$B$5,B873&gt;VLOOKUP(I873,$C$3:$L$6,8,0)),IF(VLOOKUP(I873,$C$3:$L$6,5,0)=Variables!$B$5,((YEAR(B873)-YEAR($B$12))*12+MONTH(B873)-MONTH($B$12)),((YEAR(B873)-YEAR(VLOOKUP(I873,$C$3:$L$6,8,0)))*12+MONTH(B873)-MONTH(VLOOKUP(I873,$C$3:$L$6,8,0))))*(VLOOKUP(I873,$C$3:$L$6,10,0)*VLOOKUP(I873,$C$3:$L$6,6,0)/12),0))</f>
        <v/>
      </c>
      <c r="K873" s="29" t="str">
        <f ca="1">IF(C873&lt;&gt;"",IF(I873&lt;&gt;"",IF(ISERROR(VLOOKUP(I873,$C$3:$L$6,10,0)),"",VLOOKUP(I873,$C$3:$L$6,10,0)+J873+IF(OR(VLOOKUP(I873,$C$3:$L$6,5,0)=Variables!$B$5,B873&gt;VLOOKUP(I873,$C$3:$L$6,8,0)),IF(VLOOKUP(I873,$C$3:$L$6,5,0)=Variables!$B$5,((YEAR(B873)-YEAR($B$12))*12+MONTH(B873)-MONTH($B$12)),((YEAR(B873)-YEAR(VLOOKUP(I873,$C$3:$L$6,8,0)))*12+MONTH(B873)-MONTH(VLOOKUP(I873,$C$3:$L$6,8,0))))*VLOOKUP(I873,$C$3:$L$6,7,0),0)),""),"")</f>
        <v/>
      </c>
      <c r="L873" s="29" t="str">
        <f t="shared" ca="1" si="79"/>
        <v/>
      </c>
      <c r="M873" s="10"/>
      <c r="N873" s="10"/>
    </row>
    <row r="874" spans="1:14" x14ac:dyDescent="0.25">
      <c r="A874" s="10"/>
      <c r="B874" s="14" t="str">
        <f t="shared" ca="1" si="80"/>
        <v/>
      </c>
      <c r="C874" s="14" t="str">
        <f ca="1">IF(I873&lt;&gt;Variables!$B$1,IF(H873&lt;&gt;0,C873,I873),"")</f>
        <v/>
      </c>
      <c r="D874" s="29" t="str">
        <f t="shared" ca="1" si="77"/>
        <v/>
      </c>
      <c r="E874" s="29" t="str">
        <f t="shared" ca="1" si="78"/>
        <v/>
      </c>
      <c r="F874" s="29" t="str">
        <f ca="1">IF(C874&lt;&gt;"",IF(OR(VLOOKUP(C874,$C$3:$L$6,5,0)=Variables!$B$5,B874&gt;VLOOKUP(C874,$C$3:$L$6,8,0)),-D874*VLOOKUP(C874,$C$3:$L$6,6,0)/12,0),"")</f>
        <v/>
      </c>
      <c r="G874" s="29" t="str">
        <f ca="1">IF(I874&lt;&gt;Variables!$B$1,IF(C874&lt;&gt;"",$I$9-E874-F874,""),-D874)</f>
        <v/>
      </c>
      <c r="H874" s="29" t="str">
        <f t="shared" ca="1" si="81"/>
        <v/>
      </c>
      <c r="I874" s="31" t="str">
        <f ca="1">IF(C874&lt;&gt;"",IF(D874+$I$9-E874-F874&gt;=0,IF(ISERROR(INDEX($C$3:$C$6,MATCH(C874,$C$3:$C$6,0)+1,0)),Variables!$B$1,INDEX($C$3:$C$6,MATCH(C874,$C$3:$C$6,0)+1,0)),""),"")</f>
        <v/>
      </c>
      <c r="J874" s="29" t="str">
        <f ca="1">IF(ISERROR(VLOOKUP(I874,$C$3:$L$6,5,0)),"",IF(OR(VLOOKUP(I874,$C$3:$L$6,5,0)=Variables!$B$5,B874&gt;VLOOKUP(I874,$C$3:$L$6,8,0)),IF(VLOOKUP(I874,$C$3:$L$6,5,0)=Variables!$B$5,((YEAR(B874)-YEAR($B$12))*12+MONTH(B874)-MONTH($B$12)),((YEAR(B874)-YEAR(VLOOKUP(I874,$C$3:$L$6,8,0)))*12+MONTH(B874)-MONTH(VLOOKUP(I874,$C$3:$L$6,8,0))))*(VLOOKUP(I874,$C$3:$L$6,10,0)*VLOOKUP(I874,$C$3:$L$6,6,0)/12),0))</f>
        <v/>
      </c>
      <c r="K874" s="29" t="str">
        <f ca="1">IF(C874&lt;&gt;"",IF(I874&lt;&gt;"",IF(ISERROR(VLOOKUP(I874,$C$3:$L$6,10,0)),"",VLOOKUP(I874,$C$3:$L$6,10,0)+J874+IF(OR(VLOOKUP(I874,$C$3:$L$6,5,0)=Variables!$B$5,B874&gt;VLOOKUP(I874,$C$3:$L$6,8,0)),IF(VLOOKUP(I874,$C$3:$L$6,5,0)=Variables!$B$5,((YEAR(B874)-YEAR($B$12))*12+MONTH(B874)-MONTH($B$12)),((YEAR(B874)-YEAR(VLOOKUP(I874,$C$3:$L$6,8,0)))*12+MONTH(B874)-MONTH(VLOOKUP(I874,$C$3:$L$6,8,0))))*VLOOKUP(I874,$C$3:$L$6,7,0),0)),""),"")</f>
        <v/>
      </c>
      <c r="L874" s="29" t="str">
        <f t="shared" ca="1" si="79"/>
        <v/>
      </c>
      <c r="M874" s="10"/>
      <c r="N874" s="10"/>
    </row>
    <row r="875" spans="1:14" x14ac:dyDescent="0.25">
      <c r="A875" s="10"/>
      <c r="B875" s="14" t="str">
        <f t="shared" ca="1" si="80"/>
        <v/>
      </c>
      <c r="C875" s="14" t="str">
        <f ca="1">IF(I874&lt;&gt;Variables!$B$1,IF(H874&lt;&gt;0,C874,I874),"")</f>
        <v/>
      </c>
      <c r="D875" s="29" t="str">
        <f t="shared" ca="1" si="77"/>
        <v/>
      </c>
      <c r="E875" s="29" t="str">
        <f t="shared" ca="1" si="78"/>
        <v/>
      </c>
      <c r="F875" s="29" t="str">
        <f ca="1">IF(C875&lt;&gt;"",IF(OR(VLOOKUP(C875,$C$3:$L$6,5,0)=Variables!$B$5,B875&gt;VLOOKUP(C875,$C$3:$L$6,8,0)),-D875*VLOOKUP(C875,$C$3:$L$6,6,0)/12,0),"")</f>
        <v/>
      </c>
      <c r="G875" s="29" t="str">
        <f ca="1">IF(I875&lt;&gt;Variables!$B$1,IF(C875&lt;&gt;"",$I$9-E875-F875,""),-D875)</f>
        <v/>
      </c>
      <c r="H875" s="29" t="str">
        <f t="shared" ca="1" si="81"/>
        <v/>
      </c>
      <c r="I875" s="31" t="str">
        <f ca="1">IF(C875&lt;&gt;"",IF(D875+$I$9-E875-F875&gt;=0,IF(ISERROR(INDEX($C$3:$C$6,MATCH(C875,$C$3:$C$6,0)+1,0)),Variables!$B$1,INDEX($C$3:$C$6,MATCH(C875,$C$3:$C$6,0)+1,0)),""),"")</f>
        <v/>
      </c>
      <c r="J875" s="29" t="str">
        <f ca="1">IF(ISERROR(VLOOKUP(I875,$C$3:$L$6,5,0)),"",IF(OR(VLOOKUP(I875,$C$3:$L$6,5,0)=Variables!$B$5,B875&gt;VLOOKUP(I875,$C$3:$L$6,8,0)),IF(VLOOKUP(I875,$C$3:$L$6,5,0)=Variables!$B$5,((YEAR(B875)-YEAR($B$12))*12+MONTH(B875)-MONTH($B$12)),((YEAR(B875)-YEAR(VLOOKUP(I875,$C$3:$L$6,8,0)))*12+MONTH(B875)-MONTH(VLOOKUP(I875,$C$3:$L$6,8,0))))*(VLOOKUP(I875,$C$3:$L$6,10,0)*VLOOKUP(I875,$C$3:$L$6,6,0)/12),0))</f>
        <v/>
      </c>
      <c r="K875" s="29" t="str">
        <f ca="1">IF(C875&lt;&gt;"",IF(I875&lt;&gt;"",IF(ISERROR(VLOOKUP(I875,$C$3:$L$6,10,0)),"",VLOOKUP(I875,$C$3:$L$6,10,0)+J875+IF(OR(VLOOKUP(I875,$C$3:$L$6,5,0)=Variables!$B$5,B875&gt;VLOOKUP(I875,$C$3:$L$6,8,0)),IF(VLOOKUP(I875,$C$3:$L$6,5,0)=Variables!$B$5,((YEAR(B875)-YEAR($B$12))*12+MONTH(B875)-MONTH($B$12)),((YEAR(B875)-YEAR(VLOOKUP(I875,$C$3:$L$6,8,0)))*12+MONTH(B875)-MONTH(VLOOKUP(I875,$C$3:$L$6,8,0))))*VLOOKUP(I875,$C$3:$L$6,7,0),0)),""),"")</f>
        <v/>
      </c>
      <c r="L875" s="29" t="str">
        <f t="shared" ca="1" si="79"/>
        <v/>
      </c>
      <c r="M875" s="10"/>
      <c r="N875" s="10"/>
    </row>
    <row r="876" spans="1:14" x14ac:dyDescent="0.25">
      <c r="A876" s="10"/>
      <c r="B876" s="14" t="str">
        <f t="shared" ca="1" si="80"/>
        <v/>
      </c>
      <c r="C876" s="14" t="str">
        <f ca="1">IF(I875&lt;&gt;Variables!$B$1,IF(H875&lt;&gt;0,C875,I875),"")</f>
        <v/>
      </c>
      <c r="D876" s="29" t="str">
        <f t="shared" ca="1" si="77"/>
        <v/>
      </c>
      <c r="E876" s="29" t="str">
        <f t="shared" ca="1" si="78"/>
        <v/>
      </c>
      <c r="F876" s="29" t="str">
        <f ca="1">IF(C876&lt;&gt;"",IF(OR(VLOOKUP(C876,$C$3:$L$6,5,0)=Variables!$B$5,B876&gt;VLOOKUP(C876,$C$3:$L$6,8,0)),-D876*VLOOKUP(C876,$C$3:$L$6,6,0)/12,0),"")</f>
        <v/>
      </c>
      <c r="G876" s="29" t="str">
        <f ca="1">IF(I876&lt;&gt;Variables!$B$1,IF(C876&lt;&gt;"",$I$9-E876-F876,""),-D876)</f>
        <v/>
      </c>
      <c r="H876" s="29" t="str">
        <f t="shared" ca="1" si="81"/>
        <v/>
      </c>
      <c r="I876" s="31" t="str">
        <f ca="1">IF(C876&lt;&gt;"",IF(D876+$I$9-E876-F876&gt;=0,IF(ISERROR(INDEX($C$3:$C$6,MATCH(C876,$C$3:$C$6,0)+1,0)),Variables!$B$1,INDEX($C$3:$C$6,MATCH(C876,$C$3:$C$6,0)+1,0)),""),"")</f>
        <v/>
      </c>
      <c r="J876" s="29" t="str">
        <f ca="1">IF(ISERROR(VLOOKUP(I876,$C$3:$L$6,5,0)),"",IF(OR(VLOOKUP(I876,$C$3:$L$6,5,0)=Variables!$B$5,B876&gt;VLOOKUP(I876,$C$3:$L$6,8,0)),IF(VLOOKUP(I876,$C$3:$L$6,5,0)=Variables!$B$5,((YEAR(B876)-YEAR($B$12))*12+MONTH(B876)-MONTH($B$12)),((YEAR(B876)-YEAR(VLOOKUP(I876,$C$3:$L$6,8,0)))*12+MONTH(B876)-MONTH(VLOOKUP(I876,$C$3:$L$6,8,0))))*(VLOOKUP(I876,$C$3:$L$6,10,0)*VLOOKUP(I876,$C$3:$L$6,6,0)/12),0))</f>
        <v/>
      </c>
      <c r="K876" s="29" t="str">
        <f ca="1">IF(C876&lt;&gt;"",IF(I876&lt;&gt;"",IF(ISERROR(VLOOKUP(I876,$C$3:$L$6,10,0)),"",VLOOKUP(I876,$C$3:$L$6,10,0)+J876+IF(OR(VLOOKUP(I876,$C$3:$L$6,5,0)=Variables!$B$5,B876&gt;VLOOKUP(I876,$C$3:$L$6,8,0)),IF(VLOOKUP(I876,$C$3:$L$6,5,0)=Variables!$B$5,((YEAR(B876)-YEAR($B$12))*12+MONTH(B876)-MONTH($B$12)),((YEAR(B876)-YEAR(VLOOKUP(I876,$C$3:$L$6,8,0)))*12+MONTH(B876)-MONTH(VLOOKUP(I876,$C$3:$L$6,8,0))))*VLOOKUP(I876,$C$3:$L$6,7,0),0)),""),"")</f>
        <v/>
      </c>
      <c r="L876" s="29" t="str">
        <f t="shared" ca="1" si="79"/>
        <v/>
      </c>
      <c r="M876" s="10"/>
      <c r="N876" s="10"/>
    </row>
    <row r="877" spans="1:14" x14ac:dyDescent="0.25">
      <c r="A877" s="10"/>
      <c r="B877" s="14" t="str">
        <f t="shared" ca="1" si="80"/>
        <v/>
      </c>
      <c r="C877" s="14" t="str">
        <f ca="1">IF(I876&lt;&gt;Variables!$B$1,IF(H876&lt;&gt;0,C876,I876),"")</f>
        <v/>
      </c>
      <c r="D877" s="29" t="str">
        <f t="shared" ca="1" si="77"/>
        <v/>
      </c>
      <c r="E877" s="29" t="str">
        <f t="shared" ca="1" si="78"/>
        <v/>
      </c>
      <c r="F877" s="29" t="str">
        <f ca="1">IF(C877&lt;&gt;"",IF(OR(VLOOKUP(C877,$C$3:$L$6,5,0)=Variables!$B$5,B877&gt;VLOOKUP(C877,$C$3:$L$6,8,0)),-D877*VLOOKUP(C877,$C$3:$L$6,6,0)/12,0),"")</f>
        <v/>
      </c>
      <c r="G877" s="29" t="str">
        <f ca="1">IF(I877&lt;&gt;Variables!$B$1,IF(C877&lt;&gt;"",$I$9-E877-F877,""),-D877)</f>
        <v/>
      </c>
      <c r="H877" s="29" t="str">
        <f t="shared" ca="1" si="81"/>
        <v/>
      </c>
      <c r="I877" s="31" t="str">
        <f ca="1">IF(C877&lt;&gt;"",IF(D877+$I$9-E877-F877&gt;=0,IF(ISERROR(INDEX($C$3:$C$6,MATCH(C877,$C$3:$C$6,0)+1,0)),Variables!$B$1,INDEX($C$3:$C$6,MATCH(C877,$C$3:$C$6,0)+1,0)),""),"")</f>
        <v/>
      </c>
      <c r="J877" s="29" t="str">
        <f ca="1">IF(ISERROR(VLOOKUP(I877,$C$3:$L$6,5,0)),"",IF(OR(VLOOKUP(I877,$C$3:$L$6,5,0)=Variables!$B$5,B877&gt;VLOOKUP(I877,$C$3:$L$6,8,0)),IF(VLOOKUP(I877,$C$3:$L$6,5,0)=Variables!$B$5,((YEAR(B877)-YEAR($B$12))*12+MONTH(B877)-MONTH($B$12)),((YEAR(B877)-YEAR(VLOOKUP(I877,$C$3:$L$6,8,0)))*12+MONTH(B877)-MONTH(VLOOKUP(I877,$C$3:$L$6,8,0))))*(VLOOKUP(I877,$C$3:$L$6,10,0)*VLOOKUP(I877,$C$3:$L$6,6,0)/12),0))</f>
        <v/>
      </c>
      <c r="K877" s="29" t="str">
        <f ca="1">IF(C877&lt;&gt;"",IF(I877&lt;&gt;"",IF(ISERROR(VLOOKUP(I877,$C$3:$L$6,10,0)),"",VLOOKUP(I877,$C$3:$L$6,10,0)+J877+IF(OR(VLOOKUP(I877,$C$3:$L$6,5,0)=Variables!$B$5,B877&gt;VLOOKUP(I877,$C$3:$L$6,8,0)),IF(VLOOKUP(I877,$C$3:$L$6,5,0)=Variables!$B$5,((YEAR(B877)-YEAR($B$12))*12+MONTH(B877)-MONTH($B$12)),((YEAR(B877)-YEAR(VLOOKUP(I877,$C$3:$L$6,8,0)))*12+MONTH(B877)-MONTH(VLOOKUP(I877,$C$3:$L$6,8,0))))*VLOOKUP(I877,$C$3:$L$6,7,0),0)),""),"")</f>
        <v/>
      </c>
      <c r="L877" s="29" t="str">
        <f t="shared" ca="1" si="79"/>
        <v/>
      </c>
      <c r="M877" s="10"/>
      <c r="N877" s="10"/>
    </row>
    <row r="878" spans="1:14" x14ac:dyDescent="0.25">
      <c r="A878" s="10"/>
      <c r="B878" s="14" t="str">
        <f t="shared" ca="1" si="80"/>
        <v/>
      </c>
      <c r="C878" s="14" t="str">
        <f ca="1">IF(I877&lt;&gt;Variables!$B$1,IF(H877&lt;&gt;0,C877,I877),"")</f>
        <v/>
      </c>
      <c r="D878" s="29" t="str">
        <f t="shared" ca="1" si="77"/>
        <v/>
      </c>
      <c r="E878" s="29" t="str">
        <f t="shared" ca="1" si="78"/>
        <v/>
      </c>
      <c r="F878" s="29" t="str">
        <f ca="1">IF(C878&lt;&gt;"",IF(OR(VLOOKUP(C878,$C$3:$L$6,5,0)=Variables!$B$5,B878&gt;VLOOKUP(C878,$C$3:$L$6,8,0)),-D878*VLOOKUP(C878,$C$3:$L$6,6,0)/12,0),"")</f>
        <v/>
      </c>
      <c r="G878" s="29" t="str">
        <f ca="1">IF(I878&lt;&gt;Variables!$B$1,IF(C878&lt;&gt;"",$I$9-E878-F878,""),-D878)</f>
        <v/>
      </c>
      <c r="H878" s="29" t="str">
        <f t="shared" ca="1" si="81"/>
        <v/>
      </c>
      <c r="I878" s="31" t="str">
        <f ca="1">IF(C878&lt;&gt;"",IF(D878+$I$9-E878-F878&gt;=0,IF(ISERROR(INDEX($C$3:$C$6,MATCH(C878,$C$3:$C$6,0)+1,0)),Variables!$B$1,INDEX($C$3:$C$6,MATCH(C878,$C$3:$C$6,0)+1,0)),""),"")</f>
        <v/>
      </c>
      <c r="J878" s="29" t="str">
        <f ca="1">IF(ISERROR(VLOOKUP(I878,$C$3:$L$6,5,0)),"",IF(OR(VLOOKUP(I878,$C$3:$L$6,5,0)=Variables!$B$5,B878&gt;VLOOKUP(I878,$C$3:$L$6,8,0)),IF(VLOOKUP(I878,$C$3:$L$6,5,0)=Variables!$B$5,((YEAR(B878)-YEAR($B$12))*12+MONTH(B878)-MONTH($B$12)),((YEAR(B878)-YEAR(VLOOKUP(I878,$C$3:$L$6,8,0)))*12+MONTH(B878)-MONTH(VLOOKUP(I878,$C$3:$L$6,8,0))))*(VLOOKUP(I878,$C$3:$L$6,10,0)*VLOOKUP(I878,$C$3:$L$6,6,0)/12),0))</f>
        <v/>
      </c>
      <c r="K878" s="29" t="str">
        <f ca="1">IF(C878&lt;&gt;"",IF(I878&lt;&gt;"",IF(ISERROR(VLOOKUP(I878,$C$3:$L$6,10,0)),"",VLOOKUP(I878,$C$3:$L$6,10,0)+J878+IF(OR(VLOOKUP(I878,$C$3:$L$6,5,0)=Variables!$B$5,B878&gt;VLOOKUP(I878,$C$3:$L$6,8,0)),IF(VLOOKUP(I878,$C$3:$L$6,5,0)=Variables!$B$5,((YEAR(B878)-YEAR($B$12))*12+MONTH(B878)-MONTH($B$12)),((YEAR(B878)-YEAR(VLOOKUP(I878,$C$3:$L$6,8,0)))*12+MONTH(B878)-MONTH(VLOOKUP(I878,$C$3:$L$6,8,0))))*VLOOKUP(I878,$C$3:$L$6,7,0),0)),""),"")</f>
        <v/>
      </c>
      <c r="L878" s="29" t="str">
        <f t="shared" ca="1" si="79"/>
        <v/>
      </c>
      <c r="M878" s="10"/>
      <c r="N878" s="10"/>
    </row>
    <row r="879" spans="1:14" x14ac:dyDescent="0.25">
      <c r="A879" s="10"/>
      <c r="B879" s="14" t="str">
        <f t="shared" ca="1" si="80"/>
        <v/>
      </c>
      <c r="C879" s="14" t="str">
        <f ca="1">IF(I878&lt;&gt;Variables!$B$1,IF(H878&lt;&gt;0,C878,I878),"")</f>
        <v/>
      </c>
      <c r="D879" s="29" t="str">
        <f t="shared" ca="1" si="77"/>
        <v/>
      </c>
      <c r="E879" s="29" t="str">
        <f t="shared" ca="1" si="78"/>
        <v/>
      </c>
      <c r="F879" s="29" t="str">
        <f ca="1">IF(C879&lt;&gt;"",IF(OR(VLOOKUP(C879,$C$3:$L$6,5,0)=Variables!$B$5,B879&gt;VLOOKUP(C879,$C$3:$L$6,8,0)),-D879*VLOOKUP(C879,$C$3:$L$6,6,0)/12,0),"")</f>
        <v/>
      </c>
      <c r="G879" s="29" t="str">
        <f ca="1">IF(I879&lt;&gt;Variables!$B$1,IF(C879&lt;&gt;"",$I$9-E879-F879,""),-D879)</f>
        <v/>
      </c>
      <c r="H879" s="29" t="str">
        <f t="shared" ca="1" si="81"/>
        <v/>
      </c>
      <c r="I879" s="31" t="str">
        <f ca="1">IF(C879&lt;&gt;"",IF(D879+$I$9-E879-F879&gt;=0,IF(ISERROR(INDEX($C$3:$C$6,MATCH(C879,$C$3:$C$6,0)+1,0)),Variables!$B$1,INDEX($C$3:$C$6,MATCH(C879,$C$3:$C$6,0)+1,0)),""),"")</f>
        <v/>
      </c>
      <c r="J879" s="29" t="str">
        <f ca="1">IF(ISERROR(VLOOKUP(I879,$C$3:$L$6,5,0)),"",IF(OR(VLOOKUP(I879,$C$3:$L$6,5,0)=Variables!$B$5,B879&gt;VLOOKUP(I879,$C$3:$L$6,8,0)),IF(VLOOKUP(I879,$C$3:$L$6,5,0)=Variables!$B$5,((YEAR(B879)-YEAR($B$12))*12+MONTH(B879)-MONTH($B$12)),((YEAR(B879)-YEAR(VLOOKUP(I879,$C$3:$L$6,8,0)))*12+MONTH(B879)-MONTH(VLOOKUP(I879,$C$3:$L$6,8,0))))*(VLOOKUP(I879,$C$3:$L$6,10,0)*VLOOKUP(I879,$C$3:$L$6,6,0)/12),0))</f>
        <v/>
      </c>
      <c r="K879" s="29" t="str">
        <f ca="1">IF(C879&lt;&gt;"",IF(I879&lt;&gt;"",IF(ISERROR(VLOOKUP(I879,$C$3:$L$6,10,0)),"",VLOOKUP(I879,$C$3:$L$6,10,0)+J879+IF(OR(VLOOKUP(I879,$C$3:$L$6,5,0)=Variables!$B$5,B879&gt;VLOOKUP(I879,$C$3:$L$6,8,0)),IF(VLOOKUP(I879,$C$3:$L$6,5,0)=Variables!$B$5,((YEAR(B879)-YEAR($B$12))*12+MONTH(B879)-MONTH($B$12)),((YEAR(B879)-YEAR(VLOOKUP(I879,$C$3:$L$6,8,0)))*12+MONTH(B879)-MONTH(VLOOKUP(I879,$C$3:$L$6,8,0))))*VLOOKUP(I879,$C$3:$L$6,7,0),0)),""),"")</f>
        <v/>
      </c>
      <c r="L879" s="29" t="str">
        <f t="shared" ca="1" si="79"/>
        <v/>
      </c>
      <c r="M879" s="10"/>
      <c r="N879" s="10"/>
    </row>
    <row r="880" spans="1:14" x14ac:dyDescent="0.25">
      <c r="A880" s="10"/>
      <c r="B880" s="14" t="str">
        <f t="shared" ca="1" si="80"/>
        <v/>
      </c>
      <c r="C880" s="14" t="str">
        <f ca="1">IF(I879&lt;&gt;Variables!$B$1,IF(H879&lt;&gt;0,C879,I879),"")</f>
        <v/>
      </c>
      <c r="D880" s="29" t="str">
        <f t="shared" ca="1" si="77"/>
        <v/>
      </c>
      <c r="E880" s="29" t="str">
        <f t="shared" ca="1" si="78"/>
        <v/>
      </c>
      <c r="F880" s="29" t="str">
        <f ca="1">IF(C880&lt;&gt;"",IF(OR(VLOOKUP(C880,$C$3:$L$6,5,0)=Variables!$B$5,B880&gt;VLOOKUP(C880,$C$3:$L$6,8,0)),-D880*VLOOKUP(C880,$C$3:$L$6,6,0)/12,0),"")</f>
        <v/>
      </c>
      <c r="G880" s="29" t="str">
        <f ca="1">IF(I880&lt;&gt;Variables!$B$1,IF(C880&lt;&gt;"",$I$9-E880-F880,""),-D880)</f>
        <v/>
      </c>
      <c r="H880" s="29" t="str">
        <f t="shared" ca="1" si="81"/>
        <v/>
      </c>
      <c r="I880" s="31" t="str">
        <f ca="1">IF(C880&lt;&gt;"",IF(D880+$I$9-E880-F880&gt;=0,IF(ISERROR(INDEX($C$3:$C$6,MATCH(C880,$C$3:$C$6,0)+1,0)),Variables!$B$1,INDEX($C$3:$C$6,MATCH(C880,$C$3:$C$6,0)+1,0)),""),"")</f>
        <v/>
      </c>
      <c r="J880" s="29" t="str">
        <f ca="1">IF(ISERROR(VLOOKUP(I880,$C$3:$L$6,5,0)),"",IF(OR(VLOOKUP(I880,$C$3:$L$6,5,0)=Variables!$B$5,B880&gt;VLOOKUP(I880,$C$3:$L$6,8,0)),IF(VLOOKUP(I880,$C$3:$L$6,5,0)=Variables!$B$5,((YEAR(B880)-YEAR($B$12))*12+MONTH(B880)-MONTH($B$12)),((YEAR(B880)-YEAR(VLOOKUP(I880,$C$3:$L$6,8,0)))*12+MONTH(B880)-MONTH(VLOOKUP(I880,$C$3:$L$6,8,0))))*(VLOOKUP(I880,$C$3:$L$6,10,0)*VLOOKUP(I880,$C$3:$L$6,6,0)/12),0))</f>
        <v/>
      </c>
      <c r="K880" s="29" t="str">
        <f ca="1">IF(C880&lt;&gt;"",IF(I880&lt;&gt;"",IF(ISERROR(VLOOKUP(I880,$C$3:$L$6,10,0)),"",VLOOKUP(I880,$C$3:$L$6,10,0)+J880+IF(OR(VLOOKUP(I880,$C$3:$L$6,5,0)=Variables!$B$5,B880&gt;VLOOKUP(I880,$C$3:$L$6,8,0)),IF(VLOOKUP(I880,$C$3:$L$6,5,0)=Variables!$B$5,((YEAR(B880)-YEAR($B$12))*12+MONTH(B880)-MONTH($B$12)),((YEAR(B880)-YEAR(VLOOKUP(I880,$C$3:$L$6,8,0)))*12+MONTH(B880)-MONTH(VLOOKUP(I880,$C$3:$L$6,8,0))))*VLOOKUP(I880,$C$3:$L$6,7,0),0)),""),"")</f>
        <v/>
      </c>
      <c r="L880" s="29" t="str">
        <f t="shared" ca="1" si="79"/>
        <v/>
      </c>
      <c r="M880" s="10"/>
      <c r="N880" s="10"/>
    </row>
    <row r="881" spans="1:14" x14ac:dyDescent="0.25">
      <c r="A881" s="10"/>
      <c r="B881" s="14" t="str">
        <f t="shared" ca="1" si="80"/>
        <v/>
      </c>
      <c r="C881" s="14" t="str">
        <f ca="1">IF(I880&lt;&gt;Variables!$B$1,IF(H880&lt;&gt;0,C880,I880),"")</f>
        <v/>
      </c>
      <c r="D881" s="29" t="str">
        <f t="shared" ca="1" si="77"/>
        <v/>
      </c>
      <c r="E881" s="29" t="str">
        <f t="shared" ca="1" si="78"/>
        <v/>
      </c>
      <c r="F881" s="29" t="str">
        <f ca="1">IF(C881&lt;&gt;"",IF(OR(VLOOKUP(C881,$C$3:$L$6,5,0)=Variables!$B$5,B881&gt;VLOOKUP(C881,$C$3:$L$6,8,0)),-D881*VLOOKUP(C881,$C$3:$L$6,6,0)/12,0),"")</f>
        <v/>
      </c>
      <c r="G881" s="29" t="str">
        <f ca="1">IF(I881&lt;&gt;Variables!$B$1,IF(C881&lt;&gt;"",$I$9-E881-F881,""),-D881)</f>
        <v/>
      </c>
      <c r="H881" s="29" t="str">
        <f t="shared" ca="1" si="81"/>
        <v/>
      </c>
      <c r="I881" s="31" t="str">
        <f ca="1">IF(C881&lt;&gt;"",IF(D881+$I$9-E881-F881&gt;=0,IF(ISERROR(INDEX($C$3:$C$6,MATCH(C881,$C$3:$C$6,0)+1,0)),Variables!$B$1,INDEX($C$3:$C$6,MATCH(C881,$C$3:$C$6,0)+1,0)),""),"")</f>
        <v/>
      </c>
      <c r="J881" s="29" t="str">
        <f ca="1">IF(ISERROR(VLOOKUP(I881,$C$3:$L$6,5,0)),"",IF(OR(VLOOKUP(I881,$C$3:$L$6,5,0)=Variables!$B$5,B881&gt;VLOOKUP(I881,$C$3:$L$6,8,0)),IF(VLOOKUP(I881,$C$3:$L$6,5,0)=Variables!$B$5,((YEAR(B881)-YEAR($B$12))*12+MONTH(B881)-MONTH($B$12)),((YEAR(B881)-YEAR(VLOOKUP(I881,$C$3:$L$6,8,0)))*12+MONTH(B881)-MONTH(VLOOKUP(I881,$C$3:$L$6,8,0))))*(VLOOKUP(I881,$C$3:$L$6,10,0)*VLOOKUP(I881,$C$3:$L$6,6,0)/12),0))</f>
        <v/>
      </c>
      <c r="K881" s="29" t="str">
        <f ca="1">IF(C881&lt;&gt;"",IF(I881&lt;&gt;"",IF(ISERROR(VLOOKUP(I881,$C$3:$L$6,10,0)),"",VLOOKUP(I881,$C$3:$L$6,10,0)+J881+IF(OR(VLOOKUP(I881,$C$3:$L$6,5,0)=Variables!$B$5,B881&gt;VLOOKUP(I881,$C$3:$L$6,8,0)),IF(VLOOKUP(I881,$C$3:$L$6,5,0)=Variables!$B$5,((YEAR(B881)-YEAR($B$12))*12+MONTH(B881)-MONTH($B$12)),((YEAR(B881)-YEAR(VLOOKUP(I881,$C$3:$L$6,8,0)))*12+MONTH(B881)-MONTH(VLOOKUP(I881,$C$3:$L$6,8,0))))*VLOOKUP(I881,$C$3:$L$6,7,0),0)),""),"")</f>
        <v/>
      </c>
      <c r="L881" s="29" t="str">
        <f t="shared" ca="1" si="79"/>
        <v/>
      </c>
      <c r="M881" s="10"/>
      <c r="N881" s="10"/>
    </row>
    <row r="882" spans="1:14" x14ac:dyDescent="0.25">
      <c r="A882" s="10"/>
      <c r="B882" s="14" t="str">
        <f t="shared" ca="1" si="80"/>
        <v/>
      </c>
      <c r="C882" s="14" t="str">
        <f ca="1">IF(I881&lt;&gt;Variables!$B$1,IF(H881&lt;&gt;0,C881,I881),"")</f>
        <v/>
      </c>
      <c r="D882" s="29" t="str">
        <f t="shared" ca="1" si="77"/>
        <v/>
      </c>
      <c r="E882" s="29" t="str">
        <f t="shared" ca="1" si="78"/>
        <v/>
      </c>
      <c r="F882" s="29" t="str">
        <f ca="1">IF(C882&lt;&gt;"",IF(OR(VLOOKUP(C882,$C$3:$L$6,5,0)=Variables!$B$5,B882&gt;VLOOKUP(C882,$C$3:$L$6,8,0)),-D882*VLOOKUP(C882,$C$3:$L$6,6,0)/12,0),"")</f>
        <v/>
      </c>
      <c r="G882" s="29" t="str">
        <f ca="1">IF(I882&lt;&gt;Variables!$B$1,IF(C882&lt;&gt;"",$I$9-E882-F882,""),-D882)</f>
        <v/>
      </c>
      <c r="H882" s="29" t="str">
        <f t="shared" ca="1" si="81"/>
        <v/>
      </c>
      <c r="I882" s="31" t="str">
        <f ca="1">IF(C882&lt;&gt;"",IF(D882+$I$9-E882-F882&gt;=0,IF(ISERROR(INDEX($C$3:$C$6,MATCH(C882,$C$3:$C$6,0)+1,0)),Variables!$B$1,INDEX($C$3:$C$6,MATCH(C882,$C$3:$C$6,0)+1,0)),""),"")</f>
        <v/>
      </c>
      <c r="J882" s="29" t="str">
        <f ca="1">IF(ISERROR(VLOOKUP(I882,$C$3:$L$6,5,0)),"",IF(OR(VLOOKUP(I882,$C$3:$L$6,5,0)=Variables!$B$5,B882&gt;VLOOKUP(I882,$C$3:$L$6,8,0)),IF(VLOOKUP(I882,$C$3:$L$6,5,0)=Variables!$B$5,((YEAR(B882)-YEAR($B$12))*12+MONTH(B882)-MONTH($B$12)),((YEAR(B882)-YEAR(VLOOKUP(I882,$C$3:$L$6,8,0)))*12+MONTH(B882)-MONTH(VLOOKUP(I882,$C$3:$L$6,8,0))))*(VLOOKUP(I882,$C$3:$L$6,10,0)*VLOOKUP(I882,$C$3:$L$6,6,0)/12),0))</f>
        <v/>
      </c>
      <c r="K882" s="29" t="str">
        <f ca="1">IF(C882&lt;&gt;"",IF(I882&lt;&gt;"",IF(ISERROR(VLOOKUP(I882,$C$3:$L$6,10,0)),"",VLOOKUP(I882,$C$3:$L$6,10,0)+J882+IF(OR(VLOOKUP(I882,$C$3:$L$6,5,0)=Variables!$B$5,B882&gt;VLOOKUP(I882,$C$3:$L$6,8,0)),IF(VLOOKUP(I882,$C$3:$L$6,5,0)=Variables!$B$5,((YEAR(B882)-YEAR($B$12))*12+MONTH(B882)-MONTH($B$12)),((YEAR(B882)-YEAR(VLOOKUP(I882,$C$3:$L$6,8,0)))*12+MONTH(B882)-MONTH(VLOOKUP(I882,$C$3:$L$6,8,0))))*VLOOKUP(I882,$C$3:$L$6,7,0),0)),""),"")</f>
        <v/>
      </c>
      <c r="L882" s="29" t="str">
        <f t="shared" ca="1" si="79"/>
        <v/>
      </c>
      <c r="M882" s="10"/>
      <c r="N882" s="10"/>
    </row>
    <row r="883" spans="1:14" x14ac:dyDescent="0.25">
      <c r="A883" s="10"/>
      <c r="B883" s="14" t="str">
        <f t="shared" ca="1" si="80"/>
        <v/>
      </c>
      <c r="C883" s="14" t="str">
        <f ca="1">IF(I882&lt;&gt;Variables!$B$1,IF(H882&lt;&gt;0,C882,I882),"")</f>
        <v/>
      </c>
      <c r="D883" s="29" t="str">
        <f t="shared" ca="1" si="77"/>
        <v/>
      </c>
      <c r="E883" s="29" t="str">
        <f t="shared" ca="1" si="78"/>
        <v/>
      </c>
      <c r="F883" s="29" t="str">
        <f ca="1">IF(C883&lt;&gt;"",IF(OR(VLOOKUP(C883,$C$3:$L$6,5,0)=Variables!$B$5,B883&gt;VLOOKUP(C883,$C$3:$L$6,8,0)),-D883*VLOOKUP(C883,$C$3:$L$6,6,0)/12,0),"")</f>
        <v/>
      </c>
      <c r="G883" s="29" t="str">
        <f ca="1">IF(I883&lt;&gt;Variables!$B$1,IF(C883&lt;&gt;"",$I$9-E883-F883,""),-D883)</f>
        <v/>
      </c>
      <c r="H883" s="29" t="str">
        <f t="shared" ca="1" si="81"/>
        <v/>
      </c>
      <c r="I883" s="31" t="str">
        <f ca="1">IF(C883&lt;&gt;"",IF(D883+$I$9-E883-F883&gt;=0,IF(ISERROR(INDEX($C$3:$C$6,MATCH(C883,$C$3:$C$6,0)+1,0)),Variables!$B$1,INDEX($C$3:$C$6,MATCH(C883,$C$3:$C$6,0)+1,0)),""),"")</f>
        <v/>
      </c>
      <c r="J883" s="29" t="str">
        <f ca="1">IF(ISERROR(VLOOKUP(I883,$C$3:$L$6,5,0)),"",IF(OR(VLOOKUP(I883,$C$3:$L$6,5,0)=Variables!$B$5,B883&gt;VLOOKUP(I883,$C$3:$L$6,8,0)),IF(VLOOKUP(I883,$C$3:$L$6,5,0)=Variables!$B$5,((YEAR(B883)-YEAR($B$12))*12+MONTH(B883)-MONTH($B$12)),((YEAR(B883)-YEAR(VLOOKUP(I883,$C$3:$L$6,8,0)))*12+MONTH(B883)-MONTH(VLOOKUP(I883,$C$3:$L$6,8,0))))*(VLOOKUP(I883,$C$3:$L$6,10,0)*VLOOKUP(I883,$C$3:$L$6,6,0)/12),0))</f>
        <v/>
      </c>
      <c r="K883" s="29" t="str">
        <f ca="1">IF(C883&lt;&gt;"",IF(I883&lt;&gt;"",IF(ISERROR(VLOOKUP(I883,$C$3:$L$6,10,0)),"",VLOOKUP(I883,$C$3:$L$6,10,0)+J883+IF(OR(VLOOKUP(I883,$C$3:$L$6,5,0)=Variables!$B$5,B883&gt;VLOOKUP(I883,$C$3:$L$6,8,0)),IF(VLOOKUP(I883,$C$3:$L$6,5,0)=Variables!$B$5,((YEAR(B883)-YEAR($B$12))*12+MONTH(B883)-MONTH($B$12)),((YEAR(B883)-YEAR(VLOOKUP(I883,$C$3:$L$6,8,0)))*12+MONTH(B883)-MONTH(VLOOKUP(I883,$C$3:$L$6,8,0))))*VLOOKUP(I883,$C$3:$L$6,7,0),0)),""),"")</f>
        <v/>
      </c>
      <c r="L883" s="29" t="str">
        <f t="shared" ca="1" si="79"/>
        <v/>
      </c>
      <c r="M883" s="10"/>
      <c r="N883" s="10"/>
    </row>
    <row r="884" spans="1:14" x14ac:dyDescent="0.25">
      <c r="A884" s="10"/>
      <c r="B884" s="14" t="str">
        <f t="shared" ca="1" si="80"/>
        <v/>
      </c>
      <c r="C884" s="14" t="str">
        <f ca="1">IF(I883&lt;&gt;Variables!$B$1,IF(H883&lt;&gt;0,C883,I883),"")</f>
        <v/>
      </c>
      <c r="D884" s="29" t="str">
        <f t="shared" ca="1" si="77"/>
        <v/>
      </c>
      <c r="E884" s="29" t="str">
        <f t="shared" ca="1" si="78"/>
        <v/>
      </c>
      <c r="F884" s="29" t="str">
        <f ca="1">IF(C884&lt;&gt;"",IF(OR(VLOOKUP(C884,$C$3:$L$6,5,0)=Variables!$B$5,B884&gt;VLOOKUP(C884,$C$3:$L$6,8,0)),-D884*VLOOKUP(C884,$C$3:$L$6,6,0)/12,0),"")</f>
        <v/>
      </c>
      <c r="G884" s="29" t="str">
        <f ca="1">IF(I884&lt;&gt;Variables!$B$1,IF(C884&lt;&gt;"",$I$9-E884-F884,""),-D884)</f>
        <v/>
      </c>
      <c r="H884" s="29" t="str">
        <f t="shared" ca="1" si="81"/>
        <v/>
      </c>
      <c r="I884" s="31" t="str">
        <f ca="1">IF(C884&lt;&gt;"",IF(D884+$I$9-E884-F884&gt;=0,IF(ISERROR(INDEX($C$3:$C$6,MATCH(C884,$C$3:$C$6,0)+1,0)),Variables!$B$1,INDEX($C$3:$C$6,MATCH(C884,$C$3:$C$6,0)+1,0)),""),"")</f>
        <v/>
      </c>
      <c r="J884" s="29" t="str">
        <f ca="1">IF(ISERROR(VLOOKUP(I884,$C$3:$L$6,5,0)),"",IF(OR(VLOOKUP(I884,$C$3:$L$6,5,0)=Variables!$B$5,B884&gt;VLOOKUP(I884,$C$3:$L$6,8,0)),IF(VLOOKUP(I884,$C$3:$L$6,5,0)=Variables!$B$5,((YEAR(B884)-YEAR($B$12))*12+MONTH(B884)-MONTH($B$12)),((YEAR(B884)-YEAR(VLOOKUP(I884,$C$3:$L$6,8,0)))*12+MONTH(B884)-MONTH(VLOOKUP(I884,$C$3:$L$6,8,0))))*(VLOOKUP(I884,$C$3:$L$6,10,0)*VLOOKUP(I884,$C$3:$L$6,6,0)/12),0))</f>
        <v/>
      </c>
      <c r="K884" s="29" t="str">
        <f ca="1">IF(C884&lt;&gt;"",IF(I884&lt;&gt;"",IF(ISERROR(VLOOKUP(I884,$C$3:$L$6,10,0)),"",VLOOKUP(I884,$C$3:$L$6,10,0)+J884+IF(OR(VLOOKUP(I884,$C$3:$L$6,5,0)=Variables!$B$5,B884&gt;VLOOKUP(I884,$C$3:$L$6,8,0)),IF(VLOOKUP(I884,$C$3:$L$6,5,0)=Variables!$B$5,((YEAR(B884)-YEAR($B$12))*12+MONTH(B884)-MONTH($B$12)),((YEAR(B884)-YEAR(VLOOKUP(I884,$C$3:$L$6,8,0)))*12+MONTH(B884)-MONTH(VLOOKUP(I884,$C$3:$L$6,8,0))))*VLOOKUP(I884,$C$3:$L$6,7,0),0)),""),"")</f>
        <v/>
      </c>
      <c r="L884" s="29" t="str">
        <f t="shared" ca="1" si="79"/>
        <v/>
      </c>
      <c r="M884" s="10"/>
      <c r="N884" s="10"/>
    </row>
    <row r="885" spans="1:14" x14ac:dyDescent="0.25">
      <c r="A885" s="10"/>
      <c r="B885" s="14" t="str">
        <f t="shared" ca="1" si="80"/>
        <v/>
      </c>
      <c r="C885" s="14" t="str">
        <f ca="1">IF(I884&lt;&gt;Variables!$B$1,IF(H884&lt;&gt;0,C884,I884),"")</f>
        <v/>
      </c>
      <c r="D885" s="29" t="str">
        <f t="shared" ca="1" si="77"/>
        <v/>
      </c>
      <c r="E885" s="29" t="str">
        <f t="shared" ca="1" si="78"/>
        <v/>
      </c>
      <c r="F885" s="29" t="str">
        <f ca="1">IF(C885&lt;&gt;"",IF(OR(VLOOKUP(C885,$C$3:$L$6,5,0)=Variables!$B$5,B885&gt;VLOOKUP(C885,$C$3:$L$6,8,0)),-D885*VLOOKUP(C885,$C$3:$L$6,6,0)/12,0),"")</f>
        <v/>
      </c>
      <c r="G885" s="29" t="str">
        <f ca="1">IF(I885&lt;&gt;Variables!$B$1,IF(C885&lt;&gt;"",$I$9-E885-F885,""),-D885)</f>
        <v/>
      </c>
      <c r="H885" s="29" t="str">
        <f t="shared" ca="1" si="81"/>
        <v/>
      </c>
      <c r="I885" s="31" t="str">
        <f ca="1">IF(C885&lt;&gt;"",IF(D885+$I$9-E885-F885&gt;=0,IF(ISERROR(INDEX($C$3:$C$6,MATCH(C885,$C$3:$C$6,0)+1,0)),Variables!$B$1,INDEX($C$3:$C$6,MATCH(C885,$C$3:$C$6,0)+1,0)),""),"")</f>
        <v/>
      </c>
      <c r="J885" s="29" t="str">
        <f ca="1">IF(ISERROR(VLOOKUP(I885,$C$3:$L$6,5,0)),"",IF(OR(VLOOKUP(I885,$C$3:$L$6,5,0)=Variables!$B$5,B885&gt;VLOOKUP(I885,$C$3:$L$6,8,0)),IF(VLOOKUP(I885,$C$3:$L$6,5,0)=Variables!$B$5,((YEAR(B885)-YEAR($B$12))*12+MONTH(B885)-MONTH($B$12)),((YEAR(B885)-YEAR(VLOOKUP(I885,$C$3:$L$6,8,0)))*12+MONTH(B885)-MONTH(VLOOKUP(I885,$C$3:$L$6,8,0))))*(VLOOKUP(I885,$C$3:$L$6,10,0)*VLOOKUP(I885,$C$3:$L$6,6,0)/12),0))</f>
        <v/>
      </c>
      <c r="K885" s="29" t="str">
        <f ca="1">IF(C885&lt;&gt;"",IF(I885&lt;&gt;"",IF(ISERROR(VLOOKUP(I885,$C$3:$L$6,10,0)),"",VLOOKUP(I885,$C$3:$L$6,10,0)+J885+IF(OR(VLOOKUP(I885,$C$3:$L$6,5,0)=Variables!$B$5,B885&gt;VLOOKUP(I885,$C$3:$L$6,8,0)),IF(VLOOKUP(I885,$C$3:$L$6,5,0)=Variables!$B$5,((YEAR(B885)-YEAR($B$12))*12+MONTH(B885)-MONTH($B$12)),((YEAR(B885)-YEAR(VLOOKUP(I885,$C$3:$L$6,8,0)))*12+MONTH(B885)-MONTH(VLOOKUP(I885,$C$3:$L$6,8,0))))*VLOOKUP(I885,$C$3:$L$6,7,0),0)),""),"")</f>
        <v/>
      </c>
      <c r="L885" s="29" t="str">
        <f t="shared" ca="1" si="79"/>
        <v/>
      </c>
      <c r="M885" s="10"/>
      <c r="N885" s="10"/>
    </row>
    <row r="886" spans="1:14" x14ac:dyDescent="0.25">
      <c r="A886" s="10"/>
      <c r="B886" s="14" t="str">
        <f t="shared" ca="1" si="80"/>
        <v/>
      </c>
      <c r="C886" s="14" t="str">
        <f ca="1">IF(I885&lt;&gt;Variables!$B$1,IF(H885&lt;&gt;0,C885,I885),"")</f>
        <v/>
      </c>
      <c r="D886" s="29" t="str">
        <f t="shared" ca="1" si="77"/>
        <v/>
      </c>
      <c r="E886" s="29" t="str">
        <f t="shared" ca="1" si="78"/>
        <v/>
      </c>
      <c r="F886" s="29" t="str">
        <f ca="1">IF(C886&lt;&gt;"",IF(OR(VLOOKUP(C886,$C$3:$L$6,5,0)=Variables!$B$5,B886&gt;VLOOKUP(C886,$C$3:$L$6,8,0)),-D886*VLOOKUP(C886,$C$3:$L$6,6,0)/12,0),"")</f>
        <v/>
      </c>
      <c r="G886" s="29" t="str">
        <f ca="1">IF(I886&lt;&gt;Variables!$B$1,IF(C886&lt;&gt;"",$I$9-E886-F886,""),-D886)</f>
        <v/>
      </c>
      <c r="H886" s="29" t="str">
        <f t="shared" ca="1" si="81"/>
        <v/>
      </c>
      <c r="I886" s="31" t="str">
        <f ca="1">IF(C886&lt;&gt;"",IF(D886+$I$9-E886-F886&gt;=0,IF(ISERROR(INDEX($C$3:$C$6,MATCH(C886,$C$3:$C$6,0)+1,0)),Variables!$B$1,INDEX($C$3:$C$6,MATCH(C886,$C$3:$C$6,0)+1,0)),""),"")</f>
        <v/>
      </c>
      <c r="J886" s="29" t="str">
        <f ca="1">IF(ISERROR(VLOOKUP(I886,$C$3:$L$6,5,0)),"",IF(OR(VLOOKUP(I886,$C$3:$L$6,5,0)=Variables!$B$5,B886&gt;VLOOKUP(I886,$C$3:$L$6,8,0)),IF(VLOOKUP(I886,$C$3:$L$6,5,0)=Variables!$B$5,((YEAR(B886)-YEAR($B$12))*12+MONTH(B886)-MONTH($B$12)),((YEAR(B886)-YEAR(VLOOKUP(I886,$C$3:$L$6,8,0)))*12+MONTH(B886)-MONTH(VLOOKUP(I886,$C$3:$L$6,8,0))))*(VLOOKUP(I886,$C$3:$L$6,10,0)*VLOOKUP(I886,$C$3:$L$6,6,0)/12),0))</f>
        <v/>
      </c>
      <c r="K886" s="29" t="str">
        <f ca="1">IF(C886&lt;&gt;"",IF(I886&lt;&gt;"",IF(ISERROR(VLOOKUP(I886,$C$3:$L$6,10,0)),"",VLOOKUP(I886,$C$3:$L$6,10,0)+J886+IF(OR(VLOOKUP(I886,$C$3:$L$6,5,0)=Variables!$B$5,B886&gt;VLOOKUP(I886,$C$3:$L$6,8,0)),IF(VLOOKUP(I886,$C$3:$L$6,5,0)=Variables!$B$5,((YEAR(B886)-YEAR($B$12))*12+MONTH(B886)-MONTH($B$12)),((YEAR(B886)-YEAR(VLOOKUP(I886,$C$3:$L$6,8,0)))*12+MONTH(B886)-MONTH(VLOOKUP(I886,$C$3:$L$6,8,0))))*VLOOKUP(I886,$C$3:$L$6,7,0),0)),""),"")</f>
        <v/>
      </c>
      <c r="L886" s="29" t="str">
        <f t="shared" ca="1" si="79"/>
        <v/>
      </c>
      <c r="M886" s="10"/>
      <c r="N886" s="10"/>
    </row>
    <row r="887" spans="1:14" x14ac:dyDescent="0.25">
      <c r="A887" s="10"/>
      <c r="B887" s="14" t="str">
        <f t="shared" ca="1" si="80"/>
        <v/>
      </c>
      <c r="C887" s="14" t="str">
        <f ca="1">IF(I886&lt;&gt;Variables!$B$1,IF(H886&lt;&gt;0,C886,I886),"")</f>
        <v/>
      </c>
      <c r="D887" s="29" t="str">
        <f t="shared" ca="1" si="77"/>
        <v/>
      </c>
      <c r="E887" s="29" t="str">
        <f t="shared" ca="1" si="78"/>
        <v/>
      </c>
      <c r="F887" s="29" t="str">
        <f ca="1">IF(C887&lt;&gt;"",IF(OR(VLOOKUP(C887,$C$3:$L$6,5,0)=Variables!$B$5,B887&gt;VLOOKUP(C887,$C$3:$L$6,8,0)),-D887*VLOOKUP(C887,$C$3:$L$6,6,0)/12,0),"")</f>
        <v/>
      </c>
      <c r="G887" s="29" t="str">
        <f ca="1">IF(I887&lt;&gt;Variables!$B$1,IF(C887&lt;&gt;"",$I$9-E887-F887,""),-D887)</f>
        <v/>
      </c>
      <c r="H887" s="29" t="str">
        <f t="shared" ca="1" si="81"/>
        <v/>
      </c>
      <c r="I887" s="31" t="str">
        <f ca="1">IF(C887&lt;&gt;"",IF(D887+$I$9-E887-F887&gt;=0,IF(ISERROR(INDEX($C$3:$C$6,MATCH(C887,$C$3:$C$6,0)+1,0)),Variables!$B$1,INDEX($C$3:$C$6,MATCH(C887,$C$3:$C$6,0)+1,0)),""),"")</f>
        <v/>
      </c>
      <c r="J887" s="29" t="str">
        <f ca="1">IF(ISERROR(VLOOKUP(I887,$C$3:$L$6,5,0)),"",IF(OR(VLOOKUP(I887,$C$3:$L$6,5,0)=Variables!$B$5,B887&gt;VLOOKUP(I887,$C$3:$L$6,8,0)),IF(VLOOKUP(I887,$C$3:$L$6,5,0)=Variables!$B$5,((YEAR(B887)-YEAR($B$12))*12+MONTH(B887)-MONTH($B$12)),((YEAR(B887)-YEAR(VLOOKUP(I887,$C$3:$L$6,8,0)))*12+MONTH(B887)-MONTH(VLOOKUP(I887,$C$3:$L$6,8,0))))*(VLOOKUP(I887,$C$3:$L$6,10,0)*VLOOKUP(I887,$C$3:$L$6,6,0)/12),0))</f>
        <v/>
      </c>
      <c r="K887" s="29" t="str">
        <f ca="1">IF(C887&lt;&gt;"",IF(I887&lt;&gt;"",IF(ISERROR(VLOOKUP(I887,$C$3:$L$6,10,0)),"",VLOOKUP(I887,$C$3:$L$6,10,0)+J887+IF(OR(VLOOKUP(I887,$C$3:$L$6,5,0)=Variables!$B$5,B887&gt;VLOOKUP(I887,$C$3:$L$6,8,0)),IF(VLOOKUP(I887,$C$3:$L$6,5,0)=Variables!$B$5,((YEAR(B887)-YEAR($B$12))*12+MONTH(B887)-MONTH($B$12)),((YEAR(B887)-YEAR(VLOOKUP(I887,$C$3:$L$6,8,0)))*12+MONTH(B887)-MONTH(VLOOKUP(I887,$C$3:$L$6,8,0))))*VLOOKUP(I887,$C$3:$L$6,7,0),0)),""),"")</f>
        <v/>
      </c>
      <c r="L887" s="29" t="str">
        <f t="shared" ca="1" si="79"/>
        <v/>
      </c>
      <c r="M887" s="10"/>
      <c r="N887" s="10"/>
    </row>
    <row r="888" spans="1:14" x14ac:dyDescent="0.25">
      <c r="A888" s="10"/>
      <c r="B888" s="14" t="str">
        <f t="shared" ca="1" si="80"/>
        <v/>
      </c>
      <c r="C888" s="14" t="str">
        <f ca="1">IF(I887&lt;&gt;Variables!$B$1,IF(H887&lt;&gt;0,C887,I887),"")</f>
        <v/>
      </c>
      <c r="D888" s="29" t="str">
        <f t="shared" ca="1" si="77"/>
        <v/>
      </c>
      <c r="E888" s="29" t="str">
        <f t="shared" ca="1" si="78"/>
        <v/>
      </c>
      <c r="F888" s="29" t="str">
        <f ca="1">IF(C888&lt;&gt;"",IF(OR(VLOOKUP(C888,$C$3:$L$6,5,0)=Variables!$B$5,B888&gt;VLOOKUP(C888,$C$3:$L$6,8,0)),-D888*VLOOKUP(C888,$C$3:$L$6,6,0)/12,0),"")</f>
        <v/>
      </c>
      <c r="G888" s="29" t="str">
        <f ca="1">IF(I888&lt;&gt;Variables!$B$1,IF(C888&lt;&gt;"",$I$9-E888-F888,""),-D888)</f>
        <v/>
      </c>
      <c r="H888" s="29" t="str">
        <f t="shared" ca="1" si="81"/>
        <v/>
      </c>
      <c r="I888" s="31" t="str">
        <f ca="1">IF(C888&lt;&gt;"",IF(D888+$I$9-E888-F888&gt;=0,IF(ISERROR(INDEX($C$3:$C$6,MATCH(C888,$C$3:$C$6,0)+1,0)),Variables!$B$1,INDEX($C$3:$C$6,MATCH(C888,$C$3:$C$6,0)+1,0)),""),"")</f>
        <v/>
      </c>
      <c r="J888" s="29" t="str">
        <f ca="1">IF(ISERROR(VLOOKUP(I888,$C$3:$L$6,5,0)),"",IF(OR(VLOOKUP(I888,$C$3:$L$6,5,0)=Variables!$B$5,B888&gt;VLOOKUP(I888,$C$3:$L$6,8,0)),IF(VLOOKUP(I888,$C$3:$L$6,5,0)=Variables!$B$5,((YEAR(B888)-YEAR($B$12))*12+MONTH(B888)-MONTH($B$12)),((YEAR(B888)-YEAR(VLOOKUP(I888,$C$3:$L$6,8,0)))*12+MONTH(B888)-MONTH(VLOOKUP(I888,$C$3:$L$6,8,0))))*(VLOOKUP(I888,$C$3:$L$6,10,0)*VLOOKUP(I888,$C$3:$L$6,6,0)/12),0))</f>
        <v/>
      </c>
      <c r="K888" s="29" t="str">
        <f ca="1">IF(C888&lt;&gt;"",IF(I888&lt;&gt;"",IF(ISERROR(VLOOKUP(I888,$C$3:$L$6,10,0)),"",VLOOKUP(I888,$C$3:$L$6,10,0)+J888+IF(OR(VLOOKUP(I888,$C$3:$L$6,5,0)=Variables!$B$5,B888&gt;VLOOKUP(I888,$C$3:$L$6,8,0)),IF(VLOOKUP(I888,$C$3:$L$6,5,0)=Variables!$B$5,((YEAR(B888)-YEAR($B$12))*12+MONTH(B888)-MONTH($B$12)),((YEAR(B888)-YEAR(VLOOKUP(I888,$C$3:$L$6,8,0)))*12+MONTH(B888)-MONTH(VLOOKUP(I888,$C$3:$L$6,8,0))))*VLOOKUP(I888,$C$3:$L$6,7,0),0)),""),"")</f>
        <v/>
      </c>
      <c r="L888" s="29" t="str">
        <f t="shared" ca="1" si="79"/>
        <v/>
      </c>
      <c r="M888" s="10"/>
      <c r="N888" s="10"/>
    </row>
    <row r="889" spans="1:14" x14ac:dyDescent="0.25">
      <c r="A889" s="10"/>
      <c r="B889" s="14" t="str">
        <f t="shared" ca="1" si="80"/>
        <v/>
      </c>
      <c r="C889" s="14" t="str">
        <f ca="1">IF(I888&lt;&gt;Variables!$B$1,IF(H888&lt;&gt;0,C888,I888),"")</f>
        <v/>
      </c>
      <c r="D889" s="29" t="str">
        <f t="shared" ca="1" si="77"/>
        <v/>
      </c>
      <c r="E889" s="29" t="str">
        <f t="shared" ca="1" si="78"/>
        <v/>
      </c>
      <c r="F889" s="29" t="str">
        <f ca="1">IF(C889&lt;&gt;"",IF(OR(VLOOKUP(C889,$C$3:$L$6,5,0)=Variables!$B$5,B889&gt;VLOOKUP(C889,$C$3:$L$6,8,0)),-D889*VLOOKUP(C889,$C$3:$L$6,6,0)/12,0),"")</f>
        <v/>
      </c>
      <c r="G889" s="29" t="str">
        <f ca="1">IF(I889&lt;&gt;Variables!$B$1,IF(C889&lt;&gt;"",$I$9-E889-F889,""),-D889)</f>
        <v/>
      </c>
      <c r="H889" s="29" t="str">
        <f t="shared" ca="1" si="81"/>
        <v/>
      </c>
      <c r="I889" s="31" t="str">
        <f ca="1">IF(C889&lt;&gt;"",IF(D889+$I$9-E889-F889&gt;=0,IF(ISERROR(INDEX($C$3:$C$6,MATCH(C889,$C$3:$C$6,0)+1,0)),Variables!$B$1,INDEX($C$3:$C$6,MATCH(C889,$C$3:$C$6,0)+1,0)),""),"")</f>
        <v/>
      </c>
      <c r="J889" s="29" t="str">
        <f ca="1">IF(ISERROR(VLOOKUP(I889,$C$3:$L$6,5,0)),"",IF(OR(VLOOKUP(I889,$C$3:$L$6,5,0)=Variables!$B$5,B889&gt;VLOOKUP(I889,$C$3:$L$6,8,0)),IF(VLOOKUP(I889,$C$3:$L$6,5,0)=Variables!$B$5,((YEAR(B889)-YEAR($B$12))*12+MONTH(B889)-MONTH($B$12)),((YEAR(B889)-YEAR(VLOOKUP(I889,$C$3:$L$6,8,0)))*12+MONTH(B889)-MONTH(VLOOKUP(I889,$C$3:$L$6,8,0))))*(VLOOKUP(I889,$C$3:$L$6,10,0)*VLOOKUP(I889,$C$3:$L$6,6,0)/12),0))</f>
        <v/>
      </c>
      <c r="K889" s="29" t="str">
        <f ca="1">IF(C889&lt;&gt;"",IF(I889&lt;&gt;"",IF(ISERROR(VLOOKUP(I889,$C$3:$L$6,10,0)),"",VLOOKUP(I889,$C$3:$L$6,10,0)+J889+IF(OR(VLOOKUP(I889,$C$3:$L$6,5,0)=Variables!$B$5,B889&gt;VLOOKUP(I889,$C$3:$L$6,8,0)),IF(VLOOKUP(I889,$C$3:$L$6,5,0)=Variables!$B$5,((YEAR(B889)-YEAR($B$12))*12+MONTH(B889)-MONTH($B$12)),((YEAR(B889)-YEAR(VLOOKUP(I889,$C$3:$L$6,8,0)))*12+MONTH(B889)-MONTH(VLOOKUP(I889,$C$3:$L$6,8,0))))*VLOOKUP(I889,$C$3:$L$6,7,0),0)),""),"")</f>
        <v/>
      </c>
      <c r="L889" s="29" t="str">
        <f t="shared" ca="1" si="79"/>
        <v/>
      </c>
      <c r="M889" s="10"/>
      <c r="N889" s="10"/>
    </row>
    <row r="890" spans="1:14" x14ac:dyDescent="0.25">
      <c r="A890" s="10"/>
      <c r="B890" s="14" t="str">
        <f t="shared" ca="1" si="80"/>
        <v/>
      </c>
      <c r="C890" s="14" t="str">
        <f ca="1">IF(I889&lt;&gt;Variables!$B$1,IF(H889&lt;&gt;0,C889,I889),"")</f>
        <v/>
      </c>
      <c r="D890" s="29" t="str">
        <f t="shared" ca="1" si="77"/>
        <v/>
      </c>
      <c r="E890" s="29" t="str">
        <f t="shared" ca="1" si="78"/>
        <v/>
      </c>
      <c r="F890" s="29" t="str">
        <f ca="1">IF(C890&lt;&gt;"",IF(OR(VLOOKUP(C890,$C$3:$L$6,5,0)=Variables!$B$5,B890&gt;VLOOKUP(C890,$C$3:$L$6,8,0)),-D890*VLOOKUP(C890,$C$3:$L$6,6,0)/12,0),"")</f>
        <v/>
      </c>
      <c r="G890" s="29" t="str">
        <f ca="1">IF(I890&lt;&gt;Variables!$B$1,IF(C890&lt;&gt;"",$I$9-E890-F890,""),-D890)</f>
        <v/>
      </c>
      <c r="H890" s="29" t="str">
        <f t="shared" ca="1" si="81"/>
        <v/>
      </c>
      <c r="I890" s="31" t="str">
        <f ca="1">IF(C890&lt;&gt;"",IF(D890+$I$9-E890-F890&gt;=0,IF(ISERROR(INDEX($C$3:$C$6,MATCH(C890,$C$3:$C$6,0)+1,0)),Variables!$B$1,INDEX($C$3:$C$6,MATCH(C890,$C$3:$C$6,0)+1,0)),""),"")</f>
        <v/>
      </c>
      <c r="J890" s="29" t="str">
        <f ca="1">IF(ISERROR(VLOOKUP(I890,$C$3:$L$6,5,0)),"",IF(OR(VLOOKUP(I890,$C$3:$L$6,5,0)=Variables!$B$5,B890&gt;VLOOKUP(I890,$C$3:$L$6,8,0)),IF(VLOOKUP(I890,$C$3:$L$6,5,0)=Variables!$B$5,((YEAR(B890)-YEAR($B$12))*12+MONTH(B890)-MONTH($B$12)),((YEAR(B890)-YEAR(VLOOKUP(I890,$C$3:$L$6,8,0)))*12+MONTH(B890)-MONTH(VLOOKUP(I890,$C$3:$L$6,8,0))))*(VLOOKUP(I890,$C$3:$L$6,10,0)*VLOOKUP(I890,$C$3:$L$6,6,0)/12),0))</f>
        <v/>
      </c>
      <c r="K890" s="29" t="str">
        <f ca="1">IF(C890&lt;&gt;"",IF(I890&lt;&gt;"",IF(ISERROR(VLOOKUP(I890,$C$3:$L$6,10,0)),"",VLOOKUP(I890,$C$3:$L$6,10,0)+J890+IF(OR(VLOOKUP(I890,$C$3:$L$6,5,0)=Variables!$B$5,B890&gt;VLOOKUP(I890,$C$3:$L$6,8,0)),IF(VLOOKUP(I890,$C$3:$L$6,5,0)=Variables!$B$5,((YEAR(B890)-YEAR($B$12))*12+MONTH(B890)-MONTH($B$12)),((YEAR(B890)-YEAR(VLOOKUP(I890,$C$3:$L$6,8,0)))*12+MONTH(B890)-MONTH(VLOOKUP(I890,$C$3:$L$6,8,0))))*VLOOKUP(I890,$C$3:$L$6,7,0),0)),""),"")</f>
        <v/>
      </c>
      <c r="L890" s="29" t="str">
        <f t="shared" ca="1" si="79"/>
        <v/>
      </c>
      <c r="M890" s="10"/>
      <c r="N890" s="10"/>
    </row>
    <row r="891" spans="1:14" x14ac:dyDescent="0.25">
      <c r="A891" s="10"/>
      <c r="B891" s="14" t="str">
        <f t="shared" ca="1" si="80"/>
        <v/>
      </c>
      <c r="C891" s="14" t="str">
        <f ca="1">IF(I890&lt;&gt;Variables!$B$1,IF(H890&lt;&gt;0,C890,I890),"")</f>
        <v/>
      </c>
      <c r="D891" s="29" t="str">
        <f t="shared" ca="1" si="77"/>
        <v/>
      </c>
      <c r="E891" s="29" t="str">
        <f t="shared" ca="1" si="78"/>
        <v/>
      </c>
      <c r="F891" s="29" t="str">
        <f ca="1">IF(C891&lt;&gt;"",IF(OR(VLOOKUP(C891,$C$3:$L$6,5,0)=Variables!$B$5,B891&gt;VLOOKUP(C891,$C$3:$L$6,8,0)),-D891*VLOOKUP(C891,$C$3:$L$6,6,0)/12,0),"")</f>
        <v/>
      </c>
      <c r="G891" s="29" t="str">
        <f ca="1">IF(I891&lt;&gt;Variables!$B$1,IF(C891&lt;&gt;"",$I$9-E891-F891,""),-D891)</f>
        <v/>
      </c>
      <c r="H891" s="29" t="str">
        <f t="shared" ca="1" si="81"/>
        <v/>
      </c>
      <c r="I891" s="31" t="str">
        <f ca="1">IF(C891&lt;&gt;"",IF(D891+$I$9-E891-F891&gt;=0,IF(ISERROR(INDEX($C$3:$C$6,MATCH(C891,$C$3:$C$6,0)+1,0)),Variables!$B$1,INDEX($C$3:$C$6,MATCH(C891,$C$3:$C$6,0)+1,0)),""),"")</f>
        <v/>
      </c>
      <c r="J891" s="29" t="str">
        <f ca="1">IF(ISERROR(VLOOKUP(I891,$C$3:$L$6,5,0)),"",IF(OR(VLOOKUP(I891,$C$3:$L$6,5,0)=Variables!$B$5,B891&gt;VLOOKUP(I891,$C$3:$L$6,8,0)),IF(VLOOKUP(I891,$C$3:$L$6,5,0)=Variables!$B$5,((YEAR(B891)-YEAR($B$12))*12+MONTH(B891)-MONTH($B$12)),((YEAR(B891)-YEAR(VLOOKUP(I891,$C$3:$L$6,8,0)))*12+MONTH(B891)-MONTH(VLOOKUP(I891,$C$3:$L$6,8,0))))*(VLOOKUP(I891,$C$3:$L$6,10,0)*VLOOKUP(I891,$C$3:$L$6,6,0)/12),0))</f>
        <v/>
      </c>
      <c r="K891" s="29" t="str">
        <f ca="1">IF(C891&lt;&gt;"",IF(I891&lt;&gt;"",IF(ISERROR(VLOOKUP(I891,$C$3:$L$6,10,0)),"",VLOOKUP(I891,$C$3:$L$6,10,0)+J891+IF(OR(VLOOKUP(I891,$C$3:$L$6,5,0)=Variables!$B$5,B891&gt;VLOOKUP(I891,$C$3:$L$6,8,0)),IF(VLOOKUP(I891,$C$3:$L$6,5,0)=Variables!$B$5,((YEAR(B891)-YEAR($B$12))*12+MONTH(B891)-MONTH($B$12)),((YEAR(B891)-YEAR(VLOOKUP(I891,$C$3:$L$6,8,0)))*12+MONTH(B891)-MONTH(VLOOKUP(I891,$C$3:$L$6,8,0))))*VLOOKUP(I891,$C$3:$L$6,7,0),0)),""),"")</f>
        <v/>
      </c>
      <c r="L891" s="29" t="str">
        <f t="shared" ca="1" si="79"/>
        <v/>
      </c>
      <c r="M891" s="10"/>
      <c r="N891" s="10"/>
    </row>
    <row r="892" spans="1:14" x14ac:dyDescent="0.25">
      <c r="A892" s="10"/>
      <c r="B892" s="14" t="str">
        <f t="shared" ca="1" si="80"/>
        <v/>
      </c>
      <c r="C892" s="14" t="str">
        <f ca="1">IF(I891&lt;&gt;Variables!$B$1,IF(H891&lt;&gt;0,C891,I891),"")</f>
        <v/>
      </c>
      <c r="D892" s="29" t="str">
        <f t="shared" ca="1" si="77"/>
        <v/>
      </c>
      <c r="E892" s="29" t="str">
        <f t="shared" ca="1" si="78"/>
        <v/>
      </c>
      <c r="F892" s="29" t="str">
        <f ca="1">IF(C892&lt;&gt;"",IF(OR(VLOOKUP(C892,$C$3:$L$6,5,0)=Variables!$B$5,B892&gt;VLOOKUP(C892,$C$3:$L$6,8,0)),-D892*VLOOKUP(C892,$C$3:$L$6,6,0)/12,0),"")</f>
        <v/>
      </c>
      <c r="G892" s="29" t="str">
        <f ca="1">IF(I892&lt;&gt;Variables!$B$1,IF(C892&lt;&gt;"",$I$9-E892-F892,""),-D892)</f>
        <v/>
      </c>
      <c r="H892" s="29" t="str">
        <f t="shared" ca="1" si="81"/>
        <v/>
      </c>
      <c r="I892" s="31" t="str">
        <f ca="1">IF(C892&lt;&gt;"",IF(D892+$I$9-E892-F892&gt;=0,IF(ISERROR(INDEX($C$3:$C$6,MATCH(C892,$C$3:$C$6,0)+1,0)),Variables!$B$1,INDEX($C$3:$C$6,MATCH(C892,$C$3:$C$6,0)+1,0)),""),"")</f>
        <v/>
      </c>
      <c r="J892" s="29" t="str">
        <f ca="1">IF(ISERROR(VLOOKUP(I892,$C$3:$L$6,5,0)),"",IF(OR(VLOOKUP(I892,$C$3:$L$6,5,0)=Variables!$B$5,B892&gt;VLOOKUP(I892,$C$3:$L$6,8,0)),IF(VLOOKUP(I892,$C$3:$L$6,5,0)=Variables!$B$5,((YEAR(B892)-YEAR($B$12))*12+MONTH(B892)-MONTH($B$12)),((YEAR(B892)-YEAR(VLOOKUP(I892,$C$3:$L$6,8,0)))*12+MONTH(B892)-MONTH(VLOOKUP(I892,$C$3:$L$6,8,0))))*(VLOOKUP(I892,$C$3:$L$6,10,0)*VLOOKUP(I892,$C$3:$L$6,6,0)/12),0))</f>
        <v/>
      </c>
      <c r="K892" s="29" t="str">
        <f ca="1">IF(C892&lt;&gt;"",IF(I892&lt;&gt;"",IF(ISERROR(VLOOKUP(I892,$C$3:$L$6,10,0)),"",VLOOKUP(I892,$C$3:$L$6,10,0)+J892+IF(OR(VLOOKUP(I892,$C$3:$L$6,5,0)=Variables!$B$5,B892&gt;VLOOKUP(I892,$C$3:$L$6,8,0)),IF(VLOOKUP(I892,$C$3:$L$6,5,0)=Variables!$B$5,((YEAR(B892)-YEAR($B$12))*12+MONTH(B892)-MONTH($B$12)),((YEAR(B892)-YEAR(VLOOKUP(I892,$C$3:$L$6,8,0)))*12+MONTH(B892)-MONTH(VLOOKUP(I892,$C$3:$L$6,8,0))))*VLOOKUP(I892,$C$3:$L$6,7,0),0)),""),"")</f>
        <v/>
      </c>
      <c r="L892" s="29" t="str">
        <f t="shared" ca="1" si="79"/>
        <v/>
      </c>
      <c r="M892" s="10"/>
      <c r="N892" s="10"/>
    </row>
    <row r="893" spans="1:14" x14ac:dyDescent="0.25">
      <c r="A893" s="10"/>
      <c r="B893" s="14" t="str">
        <f t="shared" ca="1" si="80"/>
        <v/>
      </c>
      <c r="C893" s="14" t="str">
        <f ca="1">IF(I892&lt;&gt;Variables!$B$1,IF(H892&lt;&gt;0,C892,I892),"")</f>
        <v/>
      </c>
      <c r="D893" s="29" t="str">
        <f t="shared" ca="1" si="77"/>
        <v/>
      </c>
      <c r="E893" s="29" t="str">
        <f t="shared" ca="1" si="78"/>
        <v/>
      </c>
      <c r="F893" s="29" t="str">
        <f ca="1">IF(C893&lt;&gt;"",IF(OR(VLOOKUP(C893,$C$3:$L$6,5,0)=Variables!$B$5,B893&gt;VLOOKUP(C893,$C$3:$L$6,8,0)),-D893*VLOOKUP(C893,$C$3:$L$6,6,0)/12,0),"")</f>
        <v/>
      </c>
      <c r="G893" s="29" t="str">
        <f ca="1">IF(I893&lt;&gt;Variables!$B$1,IF(C893&lt;&gt;"",$I$9-E893-F893,""),-D893)</f>
        <v/>
      </c>
      <c r="H893" s="29" t="str">
        <f t="shared" ca="1" si="81"/>
        <v/>
      </c>
      <c r="I893" s="31" t="str">
        <f ca="1">IF(C893&lt;&gt;"",IF(D893+$I$9-E893-F893&gt;=0,IF(ISERROR(INDEX($C$3:$C$6,MATCH(C893,$C$3:$C$6,0)+1,0)),Variables!$B$1,INDEX($C$3:$C$6,MATCH(C893,$C$3:$C$6,0)+1,0)),""),"")</f>
        <v/>
      </c>
      <c r="J893" s="29" t="str">
        <f ca="1">IF(ISERROR(VLOOKUP(I893,$C$3:$L$6,5,0)),"",IF(OR(VLOOKUP(I893,$C$3:$L$6,5,0)=Variables!$B$5,B893&gt;VLOOKUP(I893,$C$3:$L$6,8,0)),IF(VLOOKUP(I893,$C$3:$L$6,5,0)=Variables!$B$5,((YEAR(B893)-YEAR($B$12))*12+MONTH(B893)-MONTH($B$12)),((YEAR(B893)-YEAR(VLOOKUP(I893,$C$3:$L$6,8,0)))*12+MONTH(B893)-MONTH(VLOOKUP(I893,$C$3:$L$6,8,0))))*(VLOOKUP(I893,$C$3:$L$6,10,0)*VLOOKUP(I893,$C$3:$L$6,6,0)/12),0))</f>
        <v/>
      </c>
      <c r="K893" s="29" t="str">
        <f ca="1">IF(C893&lt;&gt;"",IF(I893&lt;&gt;"",IF(ISERROR(VLOOKUP(I893,$C$3:$L$6,10,0)),"",VLOOKUP(I893,$C$3:$L$6,10,0)+J893+IF(OR(VLOOKUP(I893,$C$3:$L$6,5,0)=Variables!$B$5,B893&gt;VLOOKUP(I893,$C$3:$L$6,8,0)),IF(VLOOKUP(I893,$C$3:$L$6,5,0)=Variables!$B$5,((YEAR(B893)-YEAR($B$12))*12+MONTH(B893)-MONTH($B$12)),((YEAR(B893)-YEAR(VLOOKUP(I893,$C$3:$L$6,8,0)))*12+MONTH(B893)-MONTH(VLOOKUP(I893,$C$3:$L$6,8,0))))*VLOOKUP(I893,$C$3:$L$6,7,0),0)),""),"")</f>
        <v/>
      </c>
      <c r="L893" s="29" t="str">
        <f t="shared" ca="1" si="79"/>
        <v/>
      </c>
      <c r="M893" s="10"/>
      <c r="N893" s="10"/>
    </row>
    <row r="894" spans="1:14" x14ac:dyDescent="0.25">
      <c r="A894" s="10"/>
      <c r="B894" s="14" t="str">
        <f t="shared" ca="1" si="80"/>
        <v/>
      </c>
      <c r="C894" s="14" t="str">
        <f ca="1">IF(I893&lt;&gt;Variables!$B$1,IF(H893&lt;&gt;0,C893,I893),"")</f>
        <v/>
      </c>
      <c r="D894" s="29" t="str">
        <f t="shared" ca="1" si="77"/>
        <v/>
      </c>
      <c r="E894" s="29" t="str">
        <f t="shared" ca="1" si="78"/>
        <v/>
      </c>
      <c r="F894" s="29" t="str">
        <f ca="1">IF(C894&lt;&gt;"",IF(OR(VLOOKUP(C894,$C$3:$L$6,5,0)=Variables!$B$5,B894&gt;VLOOKUP(C894,$C$3:$L$6,8,0)),-D894*VLOOKUP(C894,$C$3:$L$6,6,0)/12,0),"")</f>
        <v/>
      </c>
      <c r="G894" s="29" t="str">
        <f ca="1">IF(I894&lt;&gt;Variables!$B$1,IF(C894&lt;&gt;"",$I$9-E894-F894,""),-D894)</f>
        <v/>
      </c>
      <c r="H894" s="29" t="str">
        <f t="shared" ca="1" si="81"/>
        <v/>
      </c>
      <c r="I894" s="31" t="str">
        <f ca="1">IF(C894&lt;&gt;"",IF(D894+$I$9-E894-F894&gt;=0,IF(ISERROR(INDEX($C$3:$C$6,MATCH(C894,$C$3:$C$6,0)+1,0)),Variables!$B$1,INDEX($C$3:$C$6,MATCH(C894,$C$3:$C$6,0)+1,0)),""),"")</f>
        <v/>
      </c>
      <c r="J894" s="29" t="str">
        <f ca="1">IF(ISERROR(VLOOKUP(I894,$C$3:$L$6,5,0)),"",IF(OR(VLOOKUP(I894,$C$3:$L$6,5,0)=Variables!$B$5,B894&gt;VLOOKUP(I894,$C$3:$L$6,8,0)),IF(VLOOKUP(I894,$C$3:$L$6,5,0)=Variables!$B$5,((YEAR(B894)-YEAR($B$12))*12+MONTH(B894)-MONTH($B$12)),((YEAR(B894)-YEAR(VLOOKUP(I894,$C$3:$L$6,8,0)))*12+MONTH(B894)-MONTH(VLOOKUP(I894,$C$3:$L$6,8,0))))*(VLOOKUP(I894,$C$3:$L$6,10,0)*VLOOKUP(I894,$C$3:$L$6,6,0)/12),0))</f>
        <v/>
      </c>
      <c r="K894" s="29" t="str">
        <f ca="1">IF(C894&lt;&gt;"",IF(I894&lt;&gt;"",IF(ISERROR(VLOOKUP(I894,$C$3:$L$6,10,0)),"",VLOOKUP(I894,$C$3:$L$6,10,0)+J894+IF(OR(VLOOKUP(I894,$C$3:$L$6,5,0)=Variables!$B$5,B894&gt;VLOOKUP(I894,$C$3:$L$6,8,0)),IF(VLOOKUP(I894,$C$3:$L$6,5,0)=Variables!$B$5,((YEAR(B894)-YEAR($B$12))*12+MONTH(B894)-MONTH($B$12)),((YEAR(B894)-YEAR(VLOOKUP(I894,$C$3:$L$6,8,0)))*12+MONTH(B894)-MONTH(VLOOKUP(I894,$C$3:$L$6,8,0))))*VLOOKUP(I894,$C$3:$L$6,7,0),0)),""),"")</f>
        <v/>
      </c>
      <c r="L894" s="29" t="str">
        <f t="shared" ca="1" si="79"/>
        <v/>
      </c>
      <c r="M894" s="10"/>
      <c r="N894" s="10"/>
    </row>
    <row r="895" spans="1:14" x14ac:dyDescent="0.25">
      <c r="A895" s="10"/>
      <c r="B895" s="14" t="str">
        <f t="shared" ca="1" si="80"/>
        <v/>
      </c>
      <c r="C895" s="14" t="str">
        <f ca="1">IF(I894&lt;&gt;Variables!$B$1,IF(H894&lt;&gt;0,C894,I894),"")</f>
        <v/>
      </c>
      <c r="D895" s="29" t="str">
        <f t="shared" ca="1" si="77"/>
        <v/>
      </c>
      <c r="E895" s="29" t="str">
        <f t="shared" ca="1" si="78"/>
        <v/>
      </c>
      <c r="F895" s="29" t="str">
        <f ca="1">IF(C895&lt;&gt;"",IF(OR(VLOOKUP(C895,$C$3:$L$6,5,0)=Variables!$B$5,B895&gt;VLOOKUP(C895,$C$3:$L$6,8,0)),-D895*VLOOKUP(C895,$C$3:$L$6,6,0)/12,0),"")</f>
        <v/>
      </c>
      <c r="G895" s="29" t="str">
        <f ca="1">IF(I895&lt;&gt;Variables!$B$1,IF(C895&lt;&gt;"",$I$9-E895-F895,""),-D895)</f>
        <v/>
      </c>
      <c r="H895" s="29" t="str">
        <f t="shared" ca="1" si="81"/>
        <v/>
      </c>
      <c r="I895" s="31" t="str">
        <f ca="1">IF(C895&lt;&gt;"",IF(D895+$I$9-E895-F895&gt;=0,IF(ISERROR(INDEX($C$3:$C$6,MATCH(C895,$C$3:$C$6,0)+1,0)),Variables!$B$1,INDEX($C$3:$C$6,MATCH(C895,$C$3:$C$6,0)+1,0)),""),"")</f>
        <v/>
      </c>
      <c r="J895" s="29" t="str">
        <f ca="1">IF(ISERROR(VLOOKUP(I895,$C$3:$L$6,5,0)),"",IF(OR(VLOOKUP(I895,$C$3:$L$6,5,0)=Variables!$B$5,B895&gt;VLOOKUP(I895,$C$3:$L$6,8,0)),IF(VLOOKUP(I895,$C$3:$L$6,5,0)=Variables!$B$5,((YEAR(B895)-YEAR($B$12))*12+MONTH(B895)-MONTH($B$12)),((YEAR(B895)-YEAR(VLOOKUP(I895,$C$3:$L$6,8,0)))*12+MONTH(B895)-MONTH(VLOOKUP(I895,$C$3:$L$6,8,0))))*(VLOOKUP(I895,$C$3:$L$6,10,0)*VLOOKUP(I895,$C$3:$L$6,6,0)/12),0))</f>
        <v/>
      </c>
      <c r="K895" s="29" t="str">
        <f ca="1">IF(C895&lt;&gt;"",IF(I895&lt;&gt;"",IF(ISERROR(VLOOKUP(I895,$C$3:$L$6,10,0)),"",VLOOKUP(I895,$C$3:$L$6,10,0)+J895+IF(OR(VLOOKUP(I895,$C$3:$L$6,5,0)=Variables!$B$5,B895&gt;VLOOKUP(I895,$C$3:$L$6,8,0)),IF(VLOOKUP(I895,$C$3:$L$6,5,0)=Variables!$B$5,((YEAR(B895)-YEAR($B$12))*12+MONTH(B895)-MONTH($B$12)),((YEAR(B895)-YEAR(VLOOKUP(I895,$C$3:$L$6,8,0)))*12+MONTH(B895)-MONTH(VLOOKUP(I895,$C$3:$L$6,8,0))))*VLOOKUP(I895,$C$3:$L$6,7,0),0)),""),"")</f>
        <v/>
      </c>
      <c r="L895" s="29" t="str">
        <f t="shared" ca="1" si="79"/>
        <v/>
      </c>
      <c r="M895" s="10"/>
      <c r="N895" s="10"/>
    </row>
    <row r="896" spans="1:14" x14ac:dyDescent="0.25">
      <c r="A896" s="10"/>
      <c r="B896" s="14" t="str">
        <f t="shared" ca="1" si="80"/>
        <v/>
      </c>
      <c r="C896" s="14" t="str">
        <f ca="1">IF(I895&lt;&gt;Variables!$B$1,IF(H895&lt;&gt;0,C895,I895),"")</f>
        <v/>
      </c>
      <c r="D896" s="29" t="str">
        <f t="shared" ca="1" si="77"/>
        <v/>
      </c>
      <c r="E896" s="29" t="str">
        <f t="shared" ca="1" si="78"/>
        <v/>
      </c>
      <c r="F896" s="29" t="str">
        <f ca="1">IF(C896&lt;&gt;"",IF(OR(VLOOKUP(C896,$C$3:$L$6,5,0)=Variables!$B$5,B896&gt;VLOOKUP(C896,$C$3:$L$6,8,0)),-D896*VLOOKUP(C896,$C$3:$L$6,6,0)/12,0),"")</f>
        <v/>
      </c>
      <c r="G896" s="29" t="str">
        <f ca="1">IF(I896&lt;&gt;Variables!$B$1,IF(C896&lt;&gt;"",$I$9-E896-F896,""),-D896)</f>
        <v/>
      </c>
      <c r="H896" s="29" t="str">
        <f t="shared" ca="1" si="81"/>
        <v/>
      </c>
      <c r="I896" s="31" t="str">
        <f ca="1">IF(C896&lt;&gt;"",IF(D896+$I$9-E896-F896&gt;=0,IF(ISERROR(INDEX($C$3:$C$6,MATCH(C896,$C$3:$C$6,0)+1,0)),Variables!$B$1,INDEX($C$3:$C$6,MATCH(C896,$C$3:$C$6,0)+1,0)),""),"")</f>
        <v/>
      </c>
      <c r="J896" s="29" t="str">
        <f ca="1">IF(ISERROR(VLOOKUP(I896,$C$3:$L$6,5,0)),"",IF(OR(VLOOKUP(I896,$C$3:$L$6,5,0)=Variables!$B$5,B896&gt;VLOOKUP(I896,$C$3:$L$6,8,0)),IF(VLOOKUP(I896,$C$3:$L$6,5,0)=Variables!$B$5,((YEAR(B896)-YEAR($B$12))*12+MONTH(B896)-MONTH($B$12)),((YEAR(B896)-YEAR(VLOOKUP(I896,$C$3:$L$6,8,0)))*12+MONTH(B896)-MONTH(VLOOKUP(I896,$C$3:$L$6,8,0))))*(VLOOKUP(I896,$C$3:$L$6,10,0)*VLOOKUP(I896,$C$3:$L$6,6,0)/12),0))</f>
        <v/>
      </c>
      <c r="K896" s="29" t="str">
        <f ca="1">IF(C896&lt;&gt;"",IF(I896&lt;&gt;"",IF(ISERROR(VLOOKUP(I896,$C$3:$L$6,10,0)),"",VLOOKUP(I896,$C$3:$L$6,10,0)+J896+IF(OR(VLOOKUP(I896,$C$3:$L$6,5,0)=Variables!$B$5,B896&gt;VLOOKUP(I896,$C$3:$L$6,8,0)),IF(VLOOKUP(I896,$C$3:$L$6,5,0)=Variables!$B$5,((YEAR(B896)-YEAR($B$12))*12+MONTH(B896)-MONTH($B$12)),((YEAR(B896)-YEAR(VLOOKUP(I896,$C$3:$L$6,8,0)))*12+MONTH(B896)-MONTH(VLOOKUP(I896,$C$3:$L$6,8,0))))*VLOOKUP(I896,$C$3:$L$6,7,0),0)),""),"")</f>
        <v/>
      </c>
      <c r="L896" s="29" t="str">
        <f t="shared" ca="1" si="79"/>
        <v/>
      </c>
      <c r="M896" s="10"/>
      <c r="N896" s="10"/>
    </row>
    <row r="897" spans="1:14" x14ac:dyDescent="0.25">
      <c r="A897" s="10"/>
      <c r="B897" s="14" t="str">
        <f t="shared" ca="1" si="80"/>
        <v/>
      </c>
      <c r="C897" s="14" t="str">
        <f ca="1">IF(I896&lt;&gt;Variables!$B$1,IF(H896&lt;&gt;0,C896,I896),"")</f>
        <v/>
      </c>
      <c r="D897" s="29" t="str">
        <f t="shared" ca="1" si="77"/>
        <v/>
      </c>
      <c r="E897" s="29" t="str">
        <f t="shared" ca="1" si="78"/>
        <v/>
      </c>
      <c r="F897" s="29" t="str">
        <f ca="1">IF(C897&lt;&gt;"",IF(OR(VLOOKUP(C897,$C$3:$L$6,5,0)=Variables!$B$5,B897&gt;VLOOKUP(C897,$C$3:$L$6,8,0)),-D897*VLOOKUP(C897,$C$3:$L$6,6,0)/12,0),"")</f>
        <v/>
      </c>
      <c r="G897" s="29" t="str">
        <f ca="1">IF(I897&lt;&gt;Variables!$B$1,IF(C897&lt;&gt;"",$I$9-E897-F897,""),-D897)</f>
        <v/>
      </c>
      <c r="H897" s="29" t="str">
        <f t="shared" ca="1" si="81"/>
        <v/>
      </c>
      <c r="I897" s="31" t="str">
        <f ca="1">IF(C897&lt;&gt;"",IF(D897+$I$9-E897-F897&gt;=0,IF(ISERROR(INDEX($C$3:$C$6,MATCH(C897,$C$3:$C$6,0)+1,0)),Variables!$B$1,INDEX($C$3:$C$6,MATCH(C897,$C$3:$C$6,0)+1,0)),""),"")</f>
        <v/>
      </c>
      <c r="J897" s="29" t="str">
        <f ca="1">IF(ISERROR(VLOOKUP(I897,$C$3:$L$6,5,0)),"",IF(OR(VLOOKUP(I897,$C$3:$L$6,5,0)=Variables!$B$5,B897&gt;VLOOKUP(I897,$C$3:$L$6,8,0)),IF(VLOOKUP(I897,$C$3:$L$6,5,0)=Variables!$B$5,((YEAR(B897)-YEAR($B$12))*12+MONTH(B897)-MONTH($B$12)),((YEAR(B897)-YEAR(VLOOKUP(I897,$C$3:$L$6,8,0)))*12+MONTH(B897)-MONTH(VLOOKUP(I897,$C$3:$L$6,8,0))))*(VLOOKUP(I897,$C$3:$L$6,10,0)*VLOOKUP(I897,$C$3:$L$6,6,0)/12),0))</f>
        <v/>
      </c>
      <c r="K897" s="29" t="str">
        <f ca="1">IF(C897&lt;&gt;"",IF(I897&lt;&gt;"",IF(ISERROR(VLOOKUP(I897,$C$3:$L$6,10,0)),"",VLOOKUP(I897,$C$3:$L$6,10,0)+J897+IF(OR(VLOOKUP(I897,$C$3:$L$6,5,0)=Variables!$B$5,B897&gt;VLOOKUP(I897,$C$3:$L$6,8,0)),IF(VLOOKUP(I897,$C$3:$L$6,5,0)=Variables!$B$5,((YEAR(B897)-YEAR($B$12))*12+MONTH(B897)-MONTH($B$12)),((YEAR(B897)-YEAR(VLOOKUP(I897,$C$3:$L$6,8,0)))*12+MONTH(B897)-MONTH(VLOOKUP(I897,$C$3:$L$6,8,0))))*VLOOKUP(I897,$C$3:$L$6,7,0),0)),""),"")</f>
        <v/>
      </c>
      <c r="L897" s="29" t="str">
        <f t="shared" ca="1" si="79"/>
        <v/>
      </c>
      <c r="M897" s="10"/>
      <c r="N897" s="10"/>
    </row>
    <row r="898" spans="1:14" x14ac:dyDescent="0.25">
      <c r="A898" s="10"/>
      <c r="B898" s="14" t="str">
        <f t="shared" ca="1" si="80"/>
        <v/>
      </c>
      <c r="C898" s="14" t="str">
        <f ca="1">IF(I897&lt;&gt;Variables!$B$1,IF(H897&lt;&gt;0,C897,I897),"")</f>
        <v/>
      </c>
      <c r="D898" s="29" t="str">
        <f t="shared" ca="1" si="77"/>
        <v/>
      </c>
      <c r="E898" s="29" t="str">
        <f t="shared" ca="1" si="78"/>
        <v/>
      </c>
      <c r="F898" s="29" t="str">
        <f ca="1">IF(C898&lt;&gt;"",IF(OR(VLOOKUP(C898,$C$3:$L$6,5,0)=Variables!$B$5,B898&gt;VLOOKUP(C898,$C$3:$L$6,8,0)),-D898*VLOOKUP(C898,$C$3:$L$6,6,0)/12,0),"")</f>
        <v/>
      </c>
      <c r="G898" s="29" t="str">
        <f ca="1">IF(I898&lt;&gt;Variables!$B$1,IF(C898&lt;&gt;"",$I$9-E898-F898,""),-D898)</f>
        <v/>
      </c>
      <c r="H898" s="29" t="str">
        <f t="shared" ca="1" si="81"/>
        <v/>
      </c>
      <c r="I898" s="31" t="str">
        <f ca="1">IF(C898&lt;&gt;"",IF(D898+$I$9-E898-F898&gt;=0,IF(ISERROR(INDEX($C$3:$C$6,MATCH(C898,$C$3:$C$6,0)+1,0)),Variables!$B$1,INDEX($C$3:$C$6,MATCH(C898,$C$3:$C$6,0)+1,0)),""),"")</f>
        <v/>
      </c>
      <c r="J898" s="29" t="str">
        <f ca="1">IF(ISERROR(VLOOKUP(I898,$C$3:$L$6,5,0)),"",IF(OR(VLOOKUP(I898,$C$3:$L$6,5,0)=Variables!$B$5,B898&gt;VLOOKUP(I898,$C$3:$L$6,8,0)),IF(VLOOKUP(I898,$C$3:$L$6,5,0)=Variables!$B$5,((YEAR(B898)-YEAR($B$12))*12+MONTH(B898)-MONTH($B$12)),((YEAR(B898)-YEAR(VLOOKUP(I898,$C$3:$L$6,8,0)))*12+MONTH(B898)-MONTH(VLOOKUP(I898,$C$3:$L$6,8,0))))*(VLOOKUP(I898,$C$3:$L$6,10,0)*VLOOKUP(I898,$C$3:$L$6,6,0)/12),0))</f>
        <v/>
      </c>
      <c r="K898" s="29" t="str">
        <f ca="1">IF(C898&lt;&gt;"",IF(I898&lt;&gt;"",IF(ISERROR(VLOOKUP(I898,$C$3:$L$6,10,0)),"",VLOOKUP(I898,$C$3:$L$6,10,0)+J898+IF(OR(VLOOKUP(I898,$C$3:$L$6,5,0)=Variables!$B$5,B898&gt;VLOOKUP(I898,$C$3:$L$6,8,0)),IF(VLOOKUP(I898,$C$3:$L$6,5,0)=Variables!$B$5,((YEAR(B898)-YEAR($B$12))*12+MONTH(B898)-MONTH($B$12)),((YEAR(B898)-YEAR(VLOOKUP(I898,$C$3:$L$6,8,0)))*12+MONTH(B898)-MONTH(VLOOKUP(I898,$C$3:$L$6,8,0))))*VLOOKUP(I898,$C$3:$L$6,7,0),0)),""),"")</f>
        <v/>
      </c>
      <c r="L898" s="29" t="str">
        <f t="shared" ca="1" si="79"/>
        <v/>
      </c>
      <c r="M898" s="10"/>
      <c r="N898" s="10"/>
    </row>
    <row r="899" spans="1:14" x14ac:dyDescent="0.25">
      <c r="A899" s="10"/>
      <c r="B899" s="14" t="str">
        <f t="shared" ca="1" si="80"/>
        <v/>
      </c>
      <c r="C899" s="14" t="str">
        <f ca="1">IF(I898&lt;&gt;Variables!$B$1,IF(H898&lt;&gt;0,C898,I898),"")</f>
        <v/>
      </c>
      <c r="D899" s="29" t="str">
        <f t="shared" ca="1" si="77"/>
        <v/>
      </c>
      <c r="E899" s="29" t="str">
        <f t="shared" ca="1" si="78"/>
        <v/>
      </c>
      <c r="F899" s="29" t="str">
        <f ca="1">IF(C899&lt;&gt;"",IF(OR(VLOOKUP(C899,$C$3:$L$6,5,0)=Variables!$B$5,B899&gt;VLOOKUP(C899,$C$3:$L$6,8,0)),-D899*VLOOKUP(C899,$C$3:$L$6,6,0)/12,0),"")</f>
        <v/>
      </c>
      <c r="G899" s="29" t="str">
        <f ca="1">IF(I899&lt;&gt;Variables!$B$1,IF(C899&lt;&gt;"",$I$9-E899-F899,""),-D899)</f>
        <v/>
      </c>
      <c r="H899" s="29" t="str">
        <f t="shared" ca="1" si="81"/>
        <v/>
      </c>
      <c r="I899" s="31" t="str">
        <f ca="1">IF(C899&lt;&gt;"",IF(D899+$I$9-E899-F899&gt;=0,IF(ISERROR(INDEX($C$3:$C$6,MATCH(C899,$C$3:$C$6,0)+1,0)),Variables!$B$1,INDEX($C$3:$C$6,MATCH(C899,$C$3:$C$6,0)+1,0)),""),"")</f>
        <v/>
      </c>
      <c r="J899" s="29" t="str">
        <f ca="1">IF(ISERROR(VLOOKUP(I899,$C$3:$L$6,5,0)),"",IF(OR(VLOOKUP(I899,$C$3:$L$6,5,0)=Variables!$B$5,B899&gt;VLOOKUP(I899,$C$3:$L$6,8,0)),IF(VLOOKUP(I899,$C$3:$L$6,5,0)=Variables!$B$5,((YEAR(B899)-YEAR($B$12))*12+MONTH(B899)-MONTH($B$12)),((YEAR(B899)-YEAR(VLOOKUP(I899,$C$3:$L$6,8,0)))*12+MONTH(B899)-MONTH(VLOOKUP(I899,$C$3:$L$6,8,0))))*(VLOOKUP(I899,$C$3:$L$6,10,0)*VLOOKUP(I899,$C$3:$L$6,6,0)/12),0))</f>
        <v/>
      </c>
      <c r="K899" s="29" t="str">
        <f ca="1">IF(C899&lt;&gt;"",IF(I899&lt;&gt;"",IF(ISERROR(VLOOKUP(I899,$C$3:$L$6,10,0)),"",VLOOKUP(I899,$C$3:$L$6,10,0)+J899+IF(OR(VLOOKUP(I899,$C$3:$L$6,5,0)=Variables!$B$5,B899&gt;VLOOKUP(I899,$C$3:$L$6,8,0)),IF(VLOOKUP(I899,$C$3:$L$6,5,0)=Variables!$B$5,((YEAR(B899)-YEAR($B$12))*12+MONTH(B899)-MONTH($B$12)),((YEAR(B899)-YEAR(VLOOKUP(I899,$C$3:$L$6,8,0)))*12+MONTH(B899)-MONTH(VLOOKUP(I899,$C$3:$L$6,8,0))))*VLOOKUP(I899,$C$3:$L$6,7,0),0)),""),"")</f>
        <v/>
      </c>
      <c r="L899" s="29" t="str">
        <f t="shared" ca="1" si="79"/>
        <v/>
      </c>
      <c r="M899" s="10"/>
      <c r="N899" s="10"/>
    </row>
    <row r="900" spans="1:14" x14ac:dyDescent="0.25">
      <c r="A900" s="10"/>
      <c r="B900" s="14" t="str">
        <f t="shared" ca="1" si="80"/>
        <v/>
      </c>
      <c r="C900" s="14" t="str">
        <f ca="1">IF(I899&lt;&gt;Variables!$B$1,IF(H899&lt;&gt;0,C899,I899),"")</f>
        <v/>
      </c>
      <c r="D900" s="29" t="str">
        <f t="shared" ca="1" si="77"/>
        <v/>
      </c>
      <c r="E900" s="29" t="str">
        <f t="shared" ca="1" si="78"/>
        <v/>
      </c>
      <c r="F900" s="29" t="str">
        <f ca="1">IF(C900&lt;&gt;"",IF(OR(VLOOKUP(C900,$C$3:$L$6,5,0)=Variables!$B$5,B900&gt;VLOOKUP(C900,$C$3:$L$6,8,0)),-D900*VLOOKUP(C900,$C$3:$L$6,6,0)/12,0),"")</f>
        <v/>
      </c>
      <c r="G900" s="29" t="str">
        <f ca="1">IF(I900&lt;&gt;Variables!$B$1,IF(C900&lt;&gt;"",$I$9-E900-F900,""),-D900)</f>
        <v/>
      </c>
      <c r="H900" s="29" t="str">
        <f t="shared" ca="1" si="81"/>
        <v/>
      </c>
      <c r="I900" s="31" t="str">
        <f ca="1">IF(C900&lt;&gt;"",IF(D900+$I$9-E900-F900&gt;=0,IF(ISERROR(INDEX($C$3:$C$6,MATCH(C900,$C$3:$C$6,0)+1,0)),Variables!$B$1,INDEX($C$3:$C$6,MATCH(C900,$C$3:$C$6,0)+1,0)),""),"")</f>
        <v/>
      </c>
      <c r="J900" s="29" t="str">
        <f ca="1">IF(ISERROR(VLOOKUP(I900,$C$3:$L$6,5,0)),"",IF(OR(VLOOKUP(I900,$C$3:$L$6,5,0)=Variables!$B$5,B900&gt;VLOOKUP(I900,$C$3:$L$6,8,0)),IF(VLOOKUP(I900,$C$3:$L$6,5,0)=Variables!$B$5,((YEAR(B900)-YEAR($B$12))*12+MONTH(B900)-MONTH($B$12)),((YEAR(B900)-YEAR(VLOOKUP(I900,$C$3:$L$6,8,0)))*12+MONTH(B900)-MONTH(VLOOKUP(I900,$C$3:$L$6,8,0))))*(VLOOKUP(I900,$C$3:$L$6,10,0)*VLOOKUP(I900,$C$3:$L$6,6,0)/12),0))</f>
        <v/>
      </c>
      <c r="K900" s="29" t="str">
        <f ca="1">IF(C900&lt;&gt;"",IF(I900&lt;&gt;"",IF(ISERROR(VLOOKUP(I900,$C$3:$L$6,10,0)),"",VLOOKUP(I900,$C$3:$L$6,10,0)+J900+IF(OR(VLOOKUP(I900,$C$3:$L$6,5,0)=Variables!$B$5,B900&gt;VLOOKUP(I900,$C$3:$L$6,8,0)),IF(VLOOKUP(I900,$C$3:$L$6,5,0)=Variables!$B$5,((YEAR(B900)-YEAR($B$12))*12+MONTH(B900)-MONTH($B$12)),((YEAR(B900)-YEAR(VLOOKUP(I900,$C$3:$L$6,8,0)))*12+MONTH(B900)-MONTH(VLOOKUP(I900,$C$3:$L$6,8,0))))*VLOOKUP(I900,$C$3:$L$6,7,0),0)),""),"")</f>
        <v/>
      </c>
      <c r="L900" s="29" t="str">
        <f t="shared" ca="1" si="79"/>
        <v/>
      </c>
      <c r="M900" s="10"/>
      <c r="N900" s="10"/>
    </row>
    <row r="901" spans="1:14" x14ac:dyDescent="0.25">
      <c r="A901" s="10"/>
      <c r="B901" s="14" t="str">
        <f t="shared" ca="1" si="80"/>
        <v/>
      </c>
      <c r="C901" s="14" t="str">
        <f ca="1">IF(I900&lt;&gt;Variables!$B$1,IF(H900&lt;&gt;0,C900,I900),"")</f>
        <v/>
      </c>
      <c r="D901" s="29" t="str">
        <f t="shared" ca="1" si="77"/>
        <v/>
      </c>
      <c r="E901" s="29" t="str">
        <f t="shared" ca="1" si="78"/>
        <v/>
      </c>
      <c r="F901" s="29" t="str">
        <f ca="1">IF(C901&lt;&gt;"",IF(OR(VLOOKUP(C901,$C$3:$L$6,5,0)=Variables!$B$5,B901&gt;VLOOKUP(C901,$C$3:$L$6,8,0)),-D901*VLOOKUP(C901,$C$3:$L$6,6,0)/12,0),"")</f>
        <v/>
      </c>
      <c r="G901" s="29" t="str">
        <f ca="1">IF(I901&lt;&gt;Variables!$B$1,IF(C901&lt;&gt;"",$I$9-E901-F901,""),-D901)</f>
        <v/>
      </c>
      <c r="H901" s="29" t="str">
        <f t="shared" ca="1" si="81"/>
        <v/>
      </c>
      <c r="I901" s="31" t="str">
        <f ca="1">IF(C901&lt;&gt;"",IF(D901+$I$9-E901-F901&gt;=0,IF(ISERROR(INDEX($C$3:$C$6,MATCH(C901,$C$3:$C$6,0)+1,0)),Variables!$B$1,INDEX($C$3:$C$6,MATCH(C901,$C$3:$C$6,0)+1,0)),""),"")</f>
        <v/>
      </c>
      <c r="J901" s="29" t="str">
        <f ca="1">IF(ISERROR(VLOOKUP(I901,$C$3:$L$6,5,0)),"",IF(OR(VLOOKUP(I901,$C$3:$L$6,5,0)=Variables!$B$5,B901&gt;VLOOKUP(I901,$C$3:$L$6,8,0)),IF(VLOOKUP(I901,$C$3:$L$6,5,0)=Variables!$B$5,((YEAR(B901)-YEAR($B$12))*12+MONTH(B901)-MONTH($B$12)),((YEAR(B901)-YEAR(VLOOKUP(I901,$C$3:$L$6,8,0)))*12+MONTH(B901)-MONTH(VLOOKUP(I901,$C$3:$L$6,8,0))))*(VLOOKUP(I901,$C$3:$L$6,10,0)*VLOOKUP(I901,$C$3:$L$6,6,0)/12),0))</f>
        <v/>
      </c>
      <c r="K901" s="29" t="str">
        <f ca="1">IF(C901&lt;&gt;"",IF(I901&lt;&gt;"",IF(ISERROR(VLOOKUP(I901,$C$3:$L$6,10,0)),"",VLOOKUP(I901,$C$3:$L$6,10,0)+J901+IF(OR(VLOOKUP(I901,$C$3:$L$6,5,0)=Variables!$B$5,B901&gt;VLOOKUP(I901,$C$3:$L$6,8,0)),IF(VLOOKUP(I901,$C$3:$L$6,5,0)=Variables!$B$5,((YEAR(B901)-YEAR($B$12))*12+MONTH(B901)-MONTH($B$12)),((YEAR(B901)-YEAR(VLOOKUP(I901,$C$3:$L$6,8,0)))*12+MONTH(B901)-MONTH(VLOOKUP(I901,$C$3:$L$6,8,0))))*VLOOKUP(I901,$C$3:$L$6,7,0),0)),""),"")</f>
        <v/>
      </c>
      <c r="L901" s="29" t="str">
        <f t="shared" ca="1" si="79"/>
        <v/>
      </c>
      <c r="M901" s="10"/>
      <c r="N901" s="10"/>
    </row>
    <row r="902" spans="1:14" x14ac:dyDescent="0.25">
      <c r="A902" s="10"/>
      <c r="B902" s="14" t="str">
        <f t="shared" ca="1" si="80"/>
        <v/>
      </c>
      <c r="C902" s="14" t="str">
        <f ca="1">IF(I901&lt;&gt;Variables!$B$1,IF(H901&lt;&gt;0,C901,I901),"")</f>
        <v/>
      </c>
      <c r="D902" s="29" t="str">
        <f t="shared" ca="1" si="77"/>
        <v/>
      </c>
      <c r="E902" s="29" t="str">
        <f t="shared" ca="1" si="78"/>
        <v/>
      </c>
      <c r="F902" s="29" t="str">
        <f ca="1">IF(C902&lt;&gt;"",IF(OR(VLOOKUP(C902,$C$3:$L$6,5,0)=Variables!$B$5,B902&gt;VLOOKUP(C902,$C$3:$L$6,8,0)),-D902*VLOOKUP(C902,$C$3:$L$6,6,0)/12,0),"")</f>
        <v/>
      </c>
      <c r="G902" s="29" t="str">
        <f ca="1">IF(I902&lt;&gt;Variables!$B$1,IF(C902&lt;&gt;"",$I$9-E902-F902,""),-D902)</f>
        <v/>
      </c>
      <c r="H902" s="29" t="str">
        <f t="shared" ca="1" si="81"/>
        <v/>
      </c>
      <c r="I902" s="31" t="str">
        <f ca="1">IF(C902&lt;&gt;"",IF(D902+$I$9-E902-F902&gt;=0,IF(ISERROR(INDEX($C$3:$C$6,MATCH(C902,$C$3:$C$6,0)+1,0)),Variables!$B$1,INDEX($C$3:$C$6,MATCH(C902,$C$3:$C$6,0)+1,0)),""),"")</f>
        <v/>
      </c>
      <c r="J902" s="29" t="str">
        <f ca="1">IF(ISERROR(VLOOKUP(I902,$C$3:$L$6,5,0)),"",IF(OR(VLOOKUP(I902,$C$3:$L$6,5,0)=Variables!$B$5,B902&gt;VLOOKUP(I902,$C$3:$L$6,8,0)),IF(VLOOKUP(I902,$C$3:$L$6,5,0)=Variables!$B$5,((YEAR(B902)-YEAR($B$12))*12+MONTH(B902)-MONTH($B$12)),((YEAR(B902)-YEAR(VLOOKUP(I902,$C$3:$L$6,8,0)))*12+MONTH(B902)-MONTH(VLOOKUP(I902,$C$3:$L$6,8,0))))*(VLOOKUP(I902,$C$3:$L$6,10,0)*VLOOKUP(I902,$C$3:$L$6,6,0)/12),0))</f>
        <v/>
      </c>
      <c r="K902" s="29" t="str">
        <f ca="1">IF(C902&lt;&gt;"",IF(I902&lt;&gt;"",IF(ISERROR(VLOOKUP(I902,$C$3:$L$6,10,0)),"",VLOOKUP(I902,$C$3:$L$6,10,0)+J902+IF(OR(VLOOKUP(I902,$C$3:$L$6,5,0)=Variables!$B$5,B902&gt;VLOOKUP(I902,$C$3:$L$6,8,0)),IF(VLOOKUP(I902,$C$3:$L$6,5,0)=Variables!$B$5,((YEAR(B902)-YEAR($B$12))*12+MONTH(B902)-MONTH($B$12)),((YEAR(B902)-YEAR(VLOOKUP(I902,$C$3:$L$6,8,0)))*12+MONTH(B902)-MONTH(VLOOKUP(I902,$C$3:$L$6,8,0))))*VLOOKUP(I902,$C$3:$L$6,7,0),0)),""),"")</f>
        <v/>
      </c>
      <c r="L902" s="29" t="str">
        <f t="shared" ca="1" si="79"/>
        <v/>
      </c>
      <c r="M902" s="10"/>
      <c r="N902" s="10"/>
    </row>
    <row r="903" spans="1:14" x14ac:dyDescent="0.25">
      <c r="A903" s="10"/>
      <c r="B903" s="14" t="str">
        <f t="shared" ca="1" si="80"/>
        <v/>
      </c>
      <c r="C903" s="14" t="str">
        <f ca="1">IF(I902&lt;&gt;Variables!$B$1,IF(H902&lt;&gt;0,C902,I902),"")</f>
        <v/>
      </c>
      <c r="D903" s="29" t="str">
        <f t="shared" ca="1" si="77"/>
        <v/>
      </c>
      <c r="E903" s="29" t="str">
        <f t="shared" ca="1" si="78"/>
        <v/>
      </c>
      <c r="F903" s="29" t="str">
        <f ca="1">IF(C903&lt;&gt;"",IF(OR(VLOOKUP(C903,$C$3:$L$6,5,0)=Variables!$B$5,B903&gt;VLOOKUP(C903,$C$3:$L$6,8,0)),-D903*VLOOKUP(C903,$C$3:$L$6,6,0)/12,0),"")</f>
        <v/>
      </c>
      <c r="G903" s="29" t="str">
        <f ca="1">IF(I903&lt;&gt;Variables!$B$1,IF(C903&lt;&gt;"",$I$9-E903-F903,""),-D903)</f>
        <v/>
      </c>
      <c r="H903" s="29" t="str">
        <f t="shared" ca="1" si="81"/>
        <v/>
      </c>
      <c r="I903" s="31" t="str">
        <f ca="1">IF(C903&lt;&gt;"",IF(D903+$I$9-E903-F903&gt;=0,IF(ISERROR(INDEX($C$3:$C$6,MATCH(C903,$C$3:$C$6,0)+1,0)),Variables!$B$1,INDEX($C$3:$C$6,MATCH(C903,$C$3:$C$6,0)+1,0)),""),"")</f>
        <v/>
      </c>
      <c r="J903" s="29" t="str">
        <f ca="1">IF(ISERROR(VLOOKUP(I903,$C$3:$L$6,5,0)),"",IF(OR(VLOOKUP(I903,$C$3:$L$6,5,0)=Variables!$B$5,B903&gt;VLOOKUP(I903,$C$3:$L$6,8,0)),IF(VLOOKUP(I903,$C$3:$L$6,5,0)=Variables!$B$5,((YEAR(B903)-YEAR($B$12))*12+MONTH(B903)-MONTH($B$12)),((YEAR(B903)-YEAR(VLOOKUP(I903,$C$3:$L$6,8,0)))*12+MONTH(B903)-MONTH(VLOOKUP(I903,$C$3:$L$6,8,0))))*(VLOOKUP(I903,$C$3:$L$6,10,0)*VLOOKUP(I903,$C$3:$L$6,6,0)/12),0))</f>
        <v/>
      </c>
      <c r="K903" s="29" t="str">
        <f ca="1">IF(C903&lt;&gt;"",IF(I903&lt;&gt;"",IF(ISERROR(VLOOKUP(I903,$C$3:$L$6,10,0)),"",VLOOKUP(I903,$C$3:$L$6,10,0)+J903+IF(OR(VLOOKUP(I903,$C$3:$L$6,5,0)=Variables!$B$5,B903&gt;VLOOKUP(I903,$C$3:$L$6,8,0)),IF(VLOOKUP(I903,$C$3:$L$6,5,0)=Variables!$B$5,((YEAR(B903)-YEAR($B$12))*12+MONTH(B903)-MONTH($B$12)),((YEAR(B903)-YEAR(VLOOKUP(I903,$C$3:$L$6,8,0)))*12+MONTH(B903)-MONTH(VLOOKUP(I903,$C$3:$L$6,8,0))))*VLOOKUP(I903,$C$3:$L$6,7,0),0)),""),"")</f>
        <v/>
      </c>
      <c r="L903" s="29" t="str">
        <f t="shared" ca="1" si="79"/>
        <v/>
      </c>
      <c r="M903" s="10"/>
      <c r="N903" s="10"/>
    </row>
    <row r="904" spans="1:14" x14ac:dyDescent="0.25">
      <c r="A904" s="10"/>
      <c r="B904" s="14" t="str">
        <f t="shared" ca="1" si="80"/>
        <v/>
      </c>
      <c r="C904" s="14" t="str">
        <f ca="1">IF(I903&lt;&gt;Variables!$B$1,IF(H903&lt;&gt;0,C903,I903),"")</f>
        <v/>
      </c>
      <c r="D904" s="29" t="str">
        <f t="shared" ca="1" si="77"/>
        <v/>
      </c>
      <c r="E904" s="29" t="str">
        <f t="shared" ca="1" si="78"/>
        <v/>
      </c>
      <c r="F904" s="29" t="str">
        <f ca="1">IF(C904&lt;&gt;"",IF(OR(VLOOKUP(C904,$C$3:$L$6,5,0)=Variables!$B$5,B904&gt;VLOOKUP(C904,$C$3:$L$6,8,0)),-D904*VLOOKUP(C904,$C$3:$L$6,6,0)/12,0),"")</f>
        <v/>
      </c>
      <c r="G904" s="29" t="str">
        <f ca="1">IF(I904&lt;&gt;Variables!$B$1,IF(C904&lt;&gt;"",$I$9-E904-F904,""),-D904)</f>
        <v/>
      </c>
      <c r="H904" s="29" t="str">
        <f t="shared" ca="1" si="81"/>
        <v/>
      </c>
      <c r="I904" s="31" t="str">
        <f ca="1">IF(C904&lt;&gt;"",IF(D904+$I$9-E904-F904&gt;=0,IF(ISERROR(INDEX($C$3:$C$6,MATCH(C904,$C$3:$C$6,0)+1,0)),Variables!$B$1,INDEX($C$3:$C$6,MATCH(C904,$C$3:$C$6,0)+1,0)),""),"")</f>
        <v/>
      </c>
      <c r="J904" s="29" t="str">
        <f ca="1">IF(ISERROR(VLOOKUP(I904,$C$3:$L$6,5,0)),"",IF(OR(VLOOKUP(I904,$C$3:$L$6,5,0)=Variables!$B$5,B904&gt;VLOOKUP(I904,$C$3:$L$6,8,0)),IF(VLOOKUP(I904,$C$3:$L$6,5,0)=Variables!$B$5,((YEAR(B904)-YEAR($B$12))*12+MONTH(B904)-MONTH($B$12)),((YEAR(B904)-YEAR(VLOOKUP(I904,$C$3:$L$6,8,0)))*12+MONTH(B904)-MONTH(VLOOKUP(I904,$C$3:$L$6,8,0))))*(VLOOKUP(I904,$C$3:$L$6,10,0)*VLOOKUP(I904,$C$3:$L$6,6,0)/12),0))</f>
        <v/>
      </c>
      <c r="K904" s="29" t="str">
        <f ca="1">IF(C904&lt;&gt;"",IF(I904&lt;&gt;"",IF(ISERROR(VLOOKUP(I904,$C$3:$L$6,10,0)),"",VLOOKUP(I904,$C$3:$L$6,10,0)+J904+IF(OR(VLOOKUP(I904,$C$3:$L$6,5,0)=Variables!$B$5,B904&gt;VLOOKUP(I904,$C$3:$L$6,8,0)),IF(VLOOKUP(I904,$C$3:$L$6,5,0)=Variables!$B$5,((YEAR(B904)-YEAR($B$12))*12+MONTH(B904)-MONTH($B$12)),((YEAR(B904)-YEAR(VLOOKUP(I904,$C$3:$L$6,8,0)))*12+MONTH(B904)-MONTH(VLOOKUP(I904,$C$3:$L$6,8,0))))*VLOOKUP(I904,$C$3:$L$6,7,0),0)),""),"")</f>
        <v/>
      </c>
      <c r="L904" s="29" t="str">
        <f t="shared" ca="1" si="79"/>
        <v/>
      </c>
      <c r="M904" s="10"/>
      <c r="N904" s="10"/>
    </row>
    <row r="905" spans="1:14" x14ac:dyDescent="0.25">
      <c r="A905" s="10"/>
      <c r="B905" s="14" t="str">
        <f t="shared" ca="1" si="80"/>
        <v/>
      </c>
      <c r="C905" s="14" t="str">
        <f ca="1">IF(I904&lt;&gt;Variables!$B$1,IF(H904&lt;&gt;0,C904,I904),"")</f>
        <v/>
      </c>
      <c r="D905" s="29" t="str">
        <f t="shared" ca="1" si="77"/>
        <v/>
      </c>
      <c r="E905" s="29" t="str">
        <f t="shared" ca="1" si="78"/>
        <v/>
      </c>
      <c r="F905" s="29" t="str">
        <f ca="1">IF(C905&lt;&gt;"",IF(OR(VLOOKUP(C905,$C$3:$L$6,5,0)=Variables!$B$5,B905&gt;VLOOKUP(C905,$C$3:$L$6,8,0)),-D905*VLOOKUP(C905,$C$3:$L$6,6,0)/12,0),"")</f>
        <v/>
      </c>
      <c r="G905" s="29" t="str">
        <f ca="1">IF(I905&lt;&gt;Variables!$B$1,IF(C905&lt;&gt;"",$I$9-E905-F905,""),-D905)</f>
        <v/>
      </c>
      <c r="H905" s="29" t="str">
        <f t="shared" ca="1" si="81"/>
        <v/>
      </c>
      <c r="I905" s="31" t="str">
        <f ca="1">IF(C905&lt;&gt;"",IF(D905+$I$9-E905-F905&gt;=0,IF(ISERROR(INDEX($C$3:$C$6,MATCH(C905,$C$3:$C$6,0)+1,0)),Variables!$B$1,INDEX($C$3:$C$6,MATCH(C905,$C$3:$C$6,0)+1,0)),""),"")</f>
        <v/>
      </c>
      <c r="J905" s="29" t="str">
        <f ca="1">IF(ISERROR(VLOOKUP(I905,$C$3:$L$6,5,0)),"",IF(OR(VLOOKUP(I905,$C$3:$L$6,5,0)=Variables!$B$5,B905&gt;VLOOKUP(I905,$C$3:$L$6,8,0)),IF(VLOOKUP(I905,$C$3:$L$6,5,0)=Variables!$B$5,((YEAR(B905)-YEAR($B$12))*12+MONTH(B905)-MONTH($B$12)),((YEAR(B905)-YEAR(VLOOKUP(I905,$C$3:$L$6,8,0)))*12+MONTH(B905)-MONTH(VLOOKUP(I905,$C$3:$L$6,8,0))))*(VLOOKUP(I905,$C$3:$L$6,10,0)*VLOOKUP(I905,$C$3:$L$6,6,0)/12),0))</f>
        <v/>
      </c>
      <c r="K905" s="29" t="str">
        <f ca="1">IF(C905&lt;&gt;"",IF(I905&lt;&gt;"",IF(ISERROR(VLOOKUP(I905,$C$3:$L$6,10,0)),"",VLOOKUP(I905,$C$3:$L$6,10,0)+J905+IF(OR(VLOOKUP(I905,$C$3:$L$6,5,0)=Variables!$B$5,B905&gt;VLOOKUP(I905,$C$3:$L$6,8,0)),IF(VLOOKUP(I905,$C$3:$L$6,5,0)=Variables!$B$5,((YEAR(B905)-YEAR($B$12))*12+MONTH(B905)-MONTH($B$12)),((YEAR(B905)-YEAR(VLOOKUP(I905,$C$3:$L$6,8,0)))*12+MONTH(B905)-MONTH(VLOOKUP(I905,$C$3:$L$6,8,0))))*VLOOKUP(I905,$C$3:$L$6,7,0),0)),""),"")</f>
        <v/>
      </c>
      <c r="L905" s="29" t="str">
        <f t="shared" ca="1" si="79"/>
        <v/>
      </c>
      <c r="M905" s="10"/>
      <c r="N905" s="10"/>
    </row>
    <row r="906" spans="1:14" x14ac:dyDescent="0.25">
      <c r="A906" s="10"/>
      <c r="B906" s="14" t="str">
        <f t="shared" ca="1" si="80"/>
        <v/>
      </c>
      <c r="C906" s="14" t="str">
        <f ca="1">IF(I905&lt;&gt;Variables!$B$1,IF(H905&lt;&gt;0,C905,I905),"")</f>
        <v/>
      </c>
      <c r="D906" s="29" t="str">
        <f t="shared" ca="1" si="77"/>
        <v/>
      </c>
      <c r="E906" s="29" t="str">
        <f t="shared" ca="1" si="78"/>
        <v/>
      </c>
      <c r="F906" s="29" t="str">
        <f ca="1">IF(C906&lt;&gt;"",IF(OR(VLOOKUP(C906,$C$3:$L$6,5,0)=Variables!$B$5,B906&gt;VLOOKUP(C906,$C$3:$L$6,8,0)),-D906*VLOOKUP(C906,$C$3:$L$6,6,0)/12,0),"")</f>
        <v/>
      </c>
      <c r="G906" s="29" t="str">
        <f ca="1">IF(I906&lt;&gt;Variables!$B$1,IF(C906&lt;&gt;"",$I$9-E906-F906,""),-D906)</f>
        <v/>
      </c>
      <c r="H906" s="29" t="str">
        <f t="shared" ca="1" si="81"/>
        <v/>
      </c>
      <c r="I906" s="31" t="str">
        <f ca="1">IF(C906&lt;&gt;"",IF(D906+$I$9-E906-F906&gt;=0,IF(ISERROR(INDEX($C$3:$C$6,MATCH(C906,$C$3:$C$6,0)+1,0)),Variables!$B$1,INDEX($C$3:$C$6,MATCH(C906,$C$3:$C$6,0)+1,0)),""),"")</f>
        <v/>
      </c>
      <c r="J906" s="29" t="str">
        <f ca="1">IF(ISERROR(VLOOKUP(I906,$C$3:$L$6,5,0)),"",IF(OR(VLOOKUP(I906,$C$3:$L$6,5,0)=Variables!$B$5,B906&gt;VLOOKUP(I906,$C$3:$L$6,8,0)),IF(VLOOKUP(I906,$C$3:$L$6,5,0)=Variables!$B$5,((YEAR(B906)-YEAR($B$12))*12+MONTH(B906)-MONTH($B$12)),((YEAR(B906)-YEAR(VLOOKUP(I906,$C$3:$L$6,8,0)))*12+MONTH(B906)-MONTH(VLOOKUP(I906,$C$3:$L$6,8,0))))*(VLOOKUP(I906,$C$3:$L$6,10,0)*VLOOKUP(I906,$C$3:$L$6,6,0)/12),0))</f>
        <v/>
      </c>
      <c r="K906" s="29" t="str">
        <f ca="1">IF(C906&lt;&gt;"",IF(I906&lt;&gt;"",IF(ISERROR(VLOOKUP(I906,$C$3:$L$6,10,0)),"",VLOOKUP(I906,$C$3:$L$6,10,0)+J906+IF(OR(VLOOKUP(I906,$C$3:$L$6,5,0)=Variables!$B$5,B906&gt;VLOOKUP(I906,$C$3:$L$6,8,0)),IF(VLOOKUP(I906,$C$3:$L$6,5,0)=Variables!$B$5,((YEAR(B906)-YEAR($B$12))*12+MONTH(B906)-MONTH($B$12)),((YEAR(B906)-YEAR(VLOOKUP(I906,$C$3:$L$6,8,0)))*12+MONTH(B906)-MONTH(VLOOKUP(I906,$C$3:$L$6,8,0))))*VLOOKUP(I906,$C$3:$L$6,7,0),0)),""),"")</f>
        <v/>
      </c>
      <c r="L906" s="29" t="str">
        <f t="shared" ca="1" si="79"/>
        <v/>
      </c>
      <c r="M906" s="10"/>
      <c r="N906" s="10"/>
    </row>
    <row r="907" spans="1:14" x14ac:dyDescent="0.25">
      <c r="A907" s="10"/>
      <c r="B907" s="14" t="str">
        <f t="shared" ca="1" si="80"/>
        <v/>
      </c>
      <c r="C907" s="14" t="str">
        <f ca="1">IF(I906&lt;&gt;Variables!$B$1,IF(H906&lt;&gt;0,C906,I906),"")</f>
        <v/>
      </c>
      <c r="D907" s="29" t="str">
        <f t="shared" ca="1" si="77"/>
        <v/>
      </c>
      <c r="E907" s="29" t="str">
        <f t="shared" ca="1" si="78"/>
        <v/>
      </c>
      <c r="F907" s="29" t="str">
        <f ca="1">IF(C907&lt;&gt;"",IF(OR(VLOOKUP(C907,$C$3:$L$6,5,0)=Variables!$B$5,B907&gt;VLOOKUP(C907,$C$3:$L$6,8,0)),-D907*VLOOKUP(C907,$C$3:$L$6,6,0)/12,0),"")</f>
        <v/>
      </c>
      <c r="G907" s="29" t="str">
        <f ca="1">IF(I907&lt;&gt;Variables!$B$1,IF(C907&lt;&gt;"",$I$9-E907-F907,""),-D907)</f>
        <v/>
      </c>
      <c r="H907" s="29" t="str">
        <f t="shared" ca="1" si="81"/>
        <v/>
      </c>
      <c r="I907" s="31" t="str">
        <f ca="1">IF(C907&lt;&gt;"",IF(D907+$I$9-E907-F907&gt;=0,IF(ISERROR(INDEX($C$3:$C$6,MATCH(C907,$C$3:$C$6,0)+1,0)),Variables!$B$1,INDEX($C$3:$C$6,MATCH(C907,$C$3:$C$6,0)+1,0)),""),"")</f>
        <v/>
      </c>
      <c r="J907" s="29" t="str">
        <f ca="1">IF(ISERROR(VLOOKUP(I907,$C$3:$L$6,5,0)),"",IF(OR(VLOOKUP(I907,$C$3:$L$6,5,0)=Variables!$B$5,B907&gt;VLOOKUP(I907,$C$3:$L$6,8,0)),IF(VLOOKUP(I907,$C$3:$L$6,5,0)=Variables!$B$5,((YEAR(B907)-YEAR($B$12))*12+MONTH(B907)-MONTH($B$12)),((YEAR(B907)-YEAR(VLOOKUP(I907,$C$3:$L$6,8,0)))*12+MONTH(B907)-MONTH(VLOOKUP(I907,$C$3:$L$6,8,0))))*(VLOOKUP(I907,$C$3:$L$6,10,0)*VLOOKUP(I907,$C$3:$L$6,6,0)/12),0))</f>
        <v/>
      </c>
      <c r="K907" s="29" t="str">
        <f ca="1">IF(C907&lt;&gt;"",IF(I907&lt;&gt;"",IF(ISERROR(VLOOKUP(I907,$C$3:$L$6,10,0)),"",VLOOKUP(I907,$C$3:$L$6,10,0)+J907+IF(OR(VLOOKUP(I907,$C$3:$L$6,5,0)=Variables!$B$5,B907&gt;VLOOKUP(I907,$C$3:$L$6,8,0)),IF(VLOOKUP(I907,$C$3:$L$6,5,0)=Variables!$B$5,((YEAR(B907)-YEAR($B$12))*12+MONTH(B907)-MONTH($B$12)),((YEAR(B907)-YEAR(VLOOKUP(I907,$C$3:$L$6,8,0)))*12+MONTH(B907)-MONTH(VLOOKUP(I907,$C$3:$L$6,8,0))))*VLOOKUP(I907,$C$3:$L$6,7,0),0)),""),"")</f>
        <v/>
      </c>
      <c r="L907" s="29" t="str">
        <f t="shared" ca="1" si="79"/>
        <v/>
      </c>
      <c r="M907" s="10"/>
      <c r="N907" s="10"/>
    </row>
    <row r="908" spans="1:14" x14ac:dyDescent="0.25">
      <c r="A908" s="10"/>
      <c r="B908" s="14" t="str">
        <f t="shared" ca="1" si="80"/>
        <v/>
      </c>
      <c r="C908" s="14" t="str">
        <f ca="1">IF(I907&lt;&gt;Variables!$B$1,IF(H907&lt;&gt;0,C907,I907),"")</f>
        <v/>
      </c>
      <c r="D908" s="29" t="str">
        <f t="shared" ca="1" si="77"/>
        <v/>
      </c>
      <c r="E908" s="29" t="str">
        <f t="shared" ca="1" si="78"/>
        <v/>
      </c>
      <c r="F908" s="29" t="str">
        <f ca="1">IF(C908&lt;&gt;"",IF(OR(VLOOKUP(C908,$C$3:$L$6,5,0)=Variables!$B$5,B908&gt;VLOOKUP(C908,$C$3:$L$6,8,0)),-D908*VLOOKUP(C908,$C$3:$L$6,6,0)/12,0),"")</f>
        <v/>
      </c>
      <c r="G908" s="29" t="str">
        <f ca="1">IF(I908&lt;&gt;Variables!$B$1,IF(C908&lt;&gt;"",$I$9-E908-F908,""),-D908)</f>
        <v/>
      </c>
      <c r="H908" s="29" t="str">
        <f t="shared" ca="1" si="81"/>
        <v/>
      </c>
      <c r="I908" s="31" t="str">
        <f ca="1">IF(C908&lt;&gt;"",IF(D908+$I$9-E908-F908&gt;=0,IF(ISERROR(INDEX($C$3:$C$6,MATCH(C908,$C$3:$C$6,0)+1,0)),Variables!$B$1,INDEX($C$3:$C$6,MATCH(C908,$C$3:$C$6,0)+1,0)),""),"")</f>
        <v/>
      </c>
      <c r="J908" s="29" t="str">
        <f ca="1">IF(ISERROR(VLOOKUP(I908,$C$3:$L$6,5,0)),"",IF(OR(VLOOKUP(I908,$C$3:$L$6,5,0)=Variables!$B$5,B908&gt;VLOOKUP(I908,$C$3:$L$6,8,0)),IF(VLOOKUP(I908,$C$3:$L$6,5,0)=Variables!$B$5,((YEAR(B908)-YEAR($B$12))*12+MONTH(B908)-MONTH($B$12)),((YEAR(B908)-YEAR(VLOOKUP(I908,$C$3:$L$6,8,0)))*12+MONTH(B908)-MONTH(VLOOKUP(I908,$C$3:$L$6,8,0))))*(VLOOKUP(I908,$C$3:$L$6,10,0)*VLOOKUP(I908,$C$3:$L$6,6,0)/12),0))</f>
        <v/>
      </c>
      <c r="K908" s="29" t="str">
        <f ca="1">IF(C908&lt;&gt;"",IF(I908&lt;&gt;"",IF(ISERROR(VLOOKUP(I908,$C$3:$L$6,10,0)),"",VLOOKUP(I908,$C$3:$L$6,10,0)+J908+IF(OR(VLOOKUP(I908,$C$3:$L$6,5,0)=Variables!$B$5,B908&gt;VLOOKUP(I908,$C$3:$L$6,8,0)),IF(VLOOKUP(I908,$C$3:$L$6,5,0)=Variables!$B$5,((YEAR(B908)-YEAR($B$12))*12+MONTH(B908)-MONTH($B$12)),((YEAR(B908)-YEAR(VLOOKUP(I908,$C$3:$L$6,8,0)))*12+MONTH(B908)-MONTH(VLOOKUP(I908,$C$3:$L$6,8,0))))*VLOOKUP(I908,$C$3:$L$6,7,0),0)),""),"")</f>
        <v/>
      </c>
      <c r="L908" s="29" t="str">
        <f t="shared" ca="1" si="79"/>
        <v/>
      </c>
      <c r="M908" s="10"/>
      <c r="N908" s="10"/>
    </row>
    <row r="909" spans="1:14" x14ac:dyDescent="0.25">
      <c r="A909" s="10"/>
      <c r="B909" s="14" t="str">
        <f t="shared" ca="1" si="80"/>
        <v/>
      </c>
      <c r="C909" s="14" t="str">
        <f ca="1">IF(I908&lt;&gt;Variables!$B$1,IF(H908&lt;&gt;0,C908,I908),"")</f>
        <v/>
      </c>
      <c r="D909" s="29" t="str">
        <f t="shared" ca="1" si="77"/>
        <v/>
      </c>
      <c r="E909" s="29" t="str">
        <f t="shared" ca="1" si="78"/>
        <v/>
      </c>
      <c r="F909" s="29" t="str">
        <f ca="1">IF(C909&lt;&gt;"",IF(OR(VLOOKUP(C909,$C$3:$L$6,5,0)=Variables!$B$5,B909&gt;VLOOKUP(C909,$C$3:$L$6,8,0)),-D909*VLOOKUP(C909,$C$3:$L$6,6,0)/12,0),"")</f>
        <v/>
      </c>
      <c r="G909" s="29" t="str">
        <f ca="1">IF(I909&lt;&gt;Variables!$B$1,IF(C909&lt;&gt;"",$I$9-E909-F909,""),-D909)</f>
        <v/>
      </c>
      <c r="H909" s="29" t="str">
        <f t="shared" ca="1" si="81"/>
        <v/>
      </c>
      <c r="I909" s="31" t="str">
        <f ca="1">IF(C909&lt;&gt;"",IF(D909+$I$9-E909-F909&gt;=0,IF(ISERROR(INDEX($C$3:$C$6,MATCH(C909,$C$3:$C$6,0)+1,0)),Variables!$B$1,INDEX($C$3:$C$6,MATCH(C909,$C$3:$C$6,0)+1,0)),""),"")</f>
        <v/>
      </c>
      <c r="J909" s="29" t="str">
        <f ca="1">IF(ISERROR(VLOOKUP(I909,$C$3:$L$6,5,0)),"",IF(OR(VLOOKUP(I909,$C$3:$L$6,5,0)=Variables!$B$5,B909&gt;VLOOKUP(I909,$C$3:$L$6,8,0)),IF(VLOOKUP(I909,$C$3:$L$6,5,0)=Variables!$B$5,((YEAR(B909)-YEAR($B$12))*12+MONTH(B909)-MONTH($B$12)),((YEAR(B909)-YEAR(VLOOKUP(I909,$C$3:$L$6,8,0)))*12+MONTH(B909)-MONTH(VLOOKUP(I909,$C$3:$L$6,8,0))))*(VLOOKUP(I909,$C$3:$L$6,10,0)*VLOOKUP(I909,$C$3:$L$6,6,0)/12),0))</f>
        <v/>
      </c>
      <c r="K909" s="29" t="str">
        <f ca="1">IF(C909&lt;&gt;"",IF(I909&lt;&gt;"",IF(ISERROR(VLOOKUP(I909,$C$3:$L$6,10,0)),"",VLOOKUP(I909,$C$3:$L$6,10,0)+J909+IF(OR(VLOOKUP(I909,$C$3:$L$6,5,0)=Variables!$B$5,B909&gt;VLOOKUP(I909,$C$3:$L$6,8,0)),IF(VLOOKUP(I909,$C$3:$L$6,5,0)=Variables!$B$5,((YEAR(B909)-YEAR($B$12))*12+MONTH(B909)-MONTH($B$12)),((YEAR(B909)-YEAR(VLOOKUP(I909,$C$3:$L$6,8,0)))*12+MONTH(B909)-MONTH(VLOOKUP(I909,$C$3:$L$6,8,0))))*VLOOKUP(I909,$C$3:$L$6,7,0),0)),""),"")</f>
        <v/>
      </c>
      <c r="L909" s="29" t="str">
        <f t="shared" ca="1" si="79"/>
        <v/>
      </c>
      <c r="M909" s="10"/>
      <c r="N909" s="10"/>
    </row>
    <row r="910" spans="1:14" x14ac:dyDescent="0.25">
      <c r="A910" s="10"/>
      <c r="B910" s="14" t="str">
        <f t="shared" ca="1" si="80"/>
        <v/>
      </c>
      <c r="C910" s="14" t="str">
        <f ca="1">IF(I909&lt;&gt;Variables!$B$1,IF(H909&lt;&gt;0,C909,I909),"")</f>
        <v/>
      </c>
      <c r="D910" s="29" t="str">
        <f t="shared" ca="1" si="77"/>
        <v/>
      </c>
      <c r="E910" s="29" t="str">
        <f t="shared" ca="1" si="78"/>
        <v/>
      </c>
      <c r="F910" s="29" t="str">
        <f ca="1">IF(C910&lt;&gt;"",IF(OR(VLOOKUP(C910,$C$3:$L$6,5,0)=Variables!$B$5,B910&gt;VLOOKUP(C910,$C$3:$L$6,8,0)),-D910*VLOOKUP(C910,$C$3:$L$6,6,0)/12,0),"")</f>
        <v/>
      </c>
      <c r="G910" s="29" t="str">
        <f ca="1">IF(I910&lt;&gt;Variables!$B$1,IF(C910&lt;&gt;"",$I$9-E910-F910,""),-D910)</f>
        <v/>
      </c>
      <c r="H910" s="29" t="str">
        <f t="shared" ca="1" si="81"/>
        <v/>
      </c>
      <c r="I910" s="31" t="str">
        <f ca="1">IF(C910&lt;&gt;"",IF(D910+$I$9-E910-F910&gt;=0,IF(ISERROR(INDEX($C$3:$C$6,MATCH(C910,$C$3:$C$6,0)+1,0)),Variables!$B$1,INDEX($C$3:$C$6,MATCH(C910,$C$3:$C$6,0)+1,0)),""),"")</f>
        <v/>
      </c>
      <c r="J910" s="29" t="str">
        <f ca="1">IF(ISERROR(VLOOKUP(I910,$C$3:$L$6,5,0)),"",IF(OR(VLOOKUP(I910,$C$3:$L$6,5,0)=Variables!$B$5,B910&gt;VLOOKUP(I910,$C$3:$L$6,8,0)),IF(VLOOKUP(I910,$C$3:$L$6,5,0)=Variables!$B$5,((YEAR(B910)-YEAR($B$12))*12+MONTH(B910)-MONTH($B$12)),((YEAR(B910)-YEAR(VLOOKUP(I910,$C$3:$L$6,8,0)))*12+MONTH(B910)-MONTH(VLOOKUP(I910,$C$3:$L$6,8,0))))*(VLOOKUP(I910,$C$3:$L$6,10,0)*VLOOKUP(I910,$C$3:$L$6,6,0)/12),0))</f>
        <v/>
      </c>
      <c r="K910" s="29" t="str">
        <f ca="1">IF(C910&lt;&gt;"",IF(I910&lt;&gt;"",IF(ISERROR(VLOOKUP(I910,$C$3:$L$6,10,0)),"",VLOOKUP(I910,$C$3:$L$6,10,0)+J910+IF(OR(VLOOKUP(I910,$C$3:$L$6,5,0)=Variables!$B$5,B910&gt;VLOOKUP(I910,$C$3:$L$6,8,0)),IF(VLOOKUP(I910,$C$3:$L$6,5,0)=Variables!$B$5,((YEAR(B910)-YEAR($B$12))*12+MONTH(B910)-MONTH($B$12)),((YEAR(B910)-YEAR(VLOOKUP(I910,$C$3:$L$6,8,0)))*12+MONTH(B910)-MONTH(VLOOKUP(I910,$C$3:$L$6,8,0))))*VLOOKUP(I910,$C$3:$L$6,7,0),0)),""),"")</f>
        <v/>
      </c>
      <c r="L910" s="29" t="str">
        <f t="shared" ca="1" si="79"/>
        <v/>
      </c>
      <c r="M910" s="10"/>
      <c r="N910" s="10"/>
    </row>
    <row r="911" spans="1:14" x14ac:dyDescent="0.25">
      <c r="A911" s="10"/>
      <c r="B911" s="14" t="str">
        <f t="shared" ca="1" si="80"/>
        <v/>
      </c>
      <c r="C911" s="14" t="str">
        <f ca="1">IF(I910&lt;&gt;Variables!$B$1,IF(H910&lt;&gt;0,C910,I910),"")</f>
        <v/>
      </c>
      <c r="D911" s="29" t="str">
        <f t="shared" ca="1" si="77"/>
        <v/>
      </c>
      <c r="E911" s="29" t="str">
        <f t="shared" ca="1" si="78"/>
        <v/>
      </c>
      <c r="F911" s="29" t="str">
        <f ca="1">IF(C911&lt;&gt;"",IF(OR(VLOOKUP(C911,$C$3:$L$6,5,0)=Variables!$B$5,B911&gt;VLOOKUP(C911,$C$3:$L$6,8,0)),-D911*VLOOKUP(C911,$C$3:$L$6,6,0)/12,0),"")</f>
        <v/>
      </c>
      <c r="G911" s="29" t="str">
        <f ca="1">IF(I911&lt;&gt;Variables!$B$1,IF(C911&lt;&gt;"",$I$9-E911-F911,""),-D911)</f>
        <v/>
      </c>
      <c r="H911" s="29" t="str">
        <f t="shared" ca="1" si="81"/>
        <v/>
      </c>
      <c r="I911" s="31" t="str">
        <f ca="1">IF(C911&lt;&gt;"",IF(D911+$I$9-E911-F911&gt;=0,IF(ISERROR(INDEX($C$3:$C$6,MATCH(C911,$C$3:$C$6,0)+1,0)),Variables!$B$1,INDEX($C$3:$C$6,MATCH(C911,$C$3:$C$6,0)+1,0)),""),"")</f>
        <v/>
      </c>
      <c r="J911" s="29" t="str">
        <f ca="1">IF(ISERROR(VLOOKUP(I911,$C$3:$L$6,5,0)),"",IF(OR(VLOOKUP(I911,$C$3:$L$6,5,0)=Variables!$B$5,B911&gt;VLOOKUP(I911,$C$3:$L$6,8,0)),IF(VLOOKUP(I911,$C$3:$L$6,5,0)=Variables!$B$5,((YEAR(B911)-YEAR($B$12))*12+MONTH(B911)-MONTH($B$12)),((YEAR(B911)-YEAR(VLOOKUP(I911,$C$3:$L$6,8,0)))*12+MONTH(B911)-MONTH(VLOOKUP(I911,$C$3:$L$6,8,0))))*(VLOOKUP(I911,$C$3:$L$6,10,0)*VLOOKUP(I911,$C$3:$L$6,6,0)/12),0))</f>
        <v/>
      </c>
      <c r="K911" s="29" t="str">
        <f ca="1">IF(C911&lt;&gt;"",IF(I911&lt;&gt;"",IF(ISERROR(VLOOKUP(I911,$C$3:$L$6,10,0)),"",VLOOKUP(I911,$C$3:$L$6,10,0)+J911+IF(OR(VLOOKUP(I911,$C$3:$L$6,5,0)=Variables!$B$5,B911&gt;VLOOKUP(I911,$C$3:$L$6,8,0)),IF(VLOOKUP(I911,$C$3:$L$6,5,0)=Variables!$B$5,((YEAR(B911)-YEAR($B$12))*12+MONTH(B911)-MONTH($B$12)),((YEAR(B911)-YEAR(VLOOKUP(I911,$C$3:$L$6,8,0)))*12+MONTH(B911)-MONTH(VLOOKUP(I911,$C$3:$L$6,8,0))))*VLOOKUP(I911,$C$3:$L$6,7,0),0)),""),"")</f>
        <v/>
      </c>
      <c r="L911" s="29" t="str">
        <f t="shared" ca="1" si="79"/>
        <v/>
      </c>
      <c r="M911" s="10"/>
      <c r="N911" s="10"/>
    </row>
    <row r="912" spans="1:14" x14ac:dyDescent="0.25">
      <c r="A912" s="10"/>
      <c r="B912" s="14" t="str">
        <f t="shared" ca="1" si="80"/>
        <v/>
      </c>
      <c r="C912" s="14" t="str">
        <f ca="1">IF(I911&lt;&gt;Variables!$B$1,IF(H911&lt;&gt;0,C911,I911),"")</f>
        <v/>
      </c>
      <c r="D912" s="29" t="str">
        <f t="shared" ca="1" si="77"/>
        <v/>
      </c>
      <c r="E912" s="29" t="str">
        <f t="shared" ca="1" si="78"/>
        <v/>
      </c>
      <c r="F912" s="29" t="str">
        <f ca="1">IF(C912&lt;&gt;"",IF(OR(VLOOKUP(C912,$C$3:$L$6,5,0)=Variables!$B$5,B912&gt;VLOOKUP(C912,$C$3:$L$6,8,0)),-D912*VLOOKUP(C912,$C$3:$L$6,6,0)/12,0),"")</f>
        <v/>
      </c>
      <c r="G912" s="29" t="str">
        <f ca="1">IF(I912&lt;&gt;Variables!$B$1,IF(C912&lt;&gt;"",$I$9-E912-F912,""),-D912)</f>
        <v/>
      </c>
      <c r="H912" s="29" t="str">
        <f t="shared" ca="1" si="81"/>
        <v/>
      </c>
      <c r="I912" s="31" t="str">
        <f ca="1">IF(C912&lt;&gt;"",IF(D912+$I$9-E912-F912&gt;=0,IF(ISERROR(INDEX($C$3:$C$6,MATCH(C912,$C$3:$C$6,0)+1,0)),Variables!$B$1,INDEX($C$3:$C$6,MATCH(C912,$C$3:$C$6,0)+1,0)),""),"")</f>
        <v/>
      </c>
      <c r="J912" s="29" t="str">
        <f ca="1">IF(ISERROR(VLOOKUP(I912,$C$3:$L$6,5,0)),"",IF(OR(VLOOKUP(I912,$C$3:$L$6,5,0)=Variables!$B$5,B912&gt;VLOOKUP(I912,$C$3:$L$6,8,0)),IF(VLOOKUP(I912,$C$3:$L$6,5,0)=Variables!$B$5,((YEAR(B912)-YEAR($B$12))*12+MONTH(B912)-MONTH($B$12)),((YEAR(B912)-YEAR(VLOOKUP(I912,$C$3:$L$6,8,0)))*12+MONTH(B912)-MONTH(VLOOKUP(I912,$C$3:$L$6,8,0))))*(VLOOKUP(I912,$C$3:$L$6,10,0)*VLOOKUP(I912,$C$3:$L$6,6,0)/12),0))</f>
        <v/>
      </c>
      <c r="K912" s="29" t="str">
        <f ca="1">IF(C912&lt;&gt;"",IF(I912&lt;&gt;"",IF(ISERROR(VLOOKUP(I912,$C$3:$L$6,10,0)),"",VLOOKUP(I912,$C$3:$L$6,10,0)+J912+IF(OR(VLOOKUP(I912,$C$3:$L$6,5,0)=Variables!$B$5,B912&gt;VLOOKUP(I912,$C$3:$L$6,8,0)),IF(VLOOKUP(I912,$C$3:$L$6,5,0)=Variables!$B$5,((YEAR(B912)-YEAR($B$12))*12+MONTH(B912)-MONTH($B$12)),((YEAR(B912)-YEAR(VLOOKUP(I912,$C$3:$L$6,8,0)))*12+MONTH(B912)-MONTH(VLOOKUP(I912,$C$3:$L$6,8,0))))*VLOOKUP(I912,$C$3:$L$6,7,0),0)),""),"")</f>
        <v/>
      </c>
      <c r="L912" s="29" t="str">
        <f t="shared" ca="1" si="79"/>
        <v/>
      </c>
      <c r="M912" s="10"/>
      <c r="N912" s="10"/>
    </row>
    <row r="913" spans="1:14" x14ac:dyDescent="0.25">
      <c r="A913" s="10"/>
      <c r="B913" s="14" t="str">
        <f t="shared" ca="1" si="80"/>
        <v/>
      </c>
      <c r="C913" s="14" t="str">
        <f ca="1">IF(I912&lt;&gt;Variables!$B$1,IF(H912&lt;&gt;0,C912,I912),"")</f>
        <v/>
      </c>
      <c r="D913" s="29" t="str">
        <f t="shared" ca="1" si="77"/>
        <v/>
      </c>
      <c r="E913" s="29" t="str">
        <f t="shared" ca="1" si="78"/>
        <v/>
      </c>
      <c r="F913" s="29" t="str">
        <f ca="1">IF(C913&lt;&gt;"",IF(OR(VLOOKUP(C913,$C$3:$L$6,5,0)=Variables!$B$5,B913&gt;VLOOKUP(C913,$C$3:$L$6,8,0)),-D913*VLOOKUP(C913,$C$3:$L$6,6,0)/12,0),"")</f>
        <v/>
      </c>
      <c r="G913" s="29" t="str">
        <f ca="1">IF(I913&lt;&gt;Variables!$B$1,IF(C913&lt;&gt;"",$I$9-E913-F913,""),-D913)</f>
        <v/>
      </c>
      <c r="H913" s="29" t="str">
        <f t="shared" ca="1" si="81"/>
        <v/>
      </c>
      <c r="I913" s="31" t="str">
        <f ca="1">IF(C913&lt;&gt;"",IF(D913+$I$9-E913-F913&gt;=0,IF(ISERROR(INDEX($C$3:$C$6,MATCH(C913,$C$3:$C$6,0)+1,0)),Variables!$B$1,INDEX($C$3:$C$6,MATCH(C913,$C$3:$C$6,0)+1,0)),""),"")</f>
        <v/>
      </c>
      <c r="J913" s="29" t="str">
        <f ca="1">IF(ISERROR(VLOOKUP(I913,$C$3:$L$6,5,0)),"",IF(OR(VLOOKUP(I913,$C$3:$L$6,5,0)=Variables!$B$5,B913&gt;VLOOKUP(I913,$C$3:$L$6,8,0)),IF(VLOOKUP(I913,$C$3:$L$6,5,0)=Variables!$B$5,((YEAR(B913)-YEAR($B$12))*12+MONTH(B913)-MONTH($B$12)),((YEAR(B913)-YEAR(VLOOKUP(I913,$C$3:$L$6,8,0)))*12+MONTH(B913)-MONTH(VLOOKUP(I913,$C$3:$L$6,8,0))))*(VLOOKUP(I913,$C$3:$L$6,10,0)*VLOOKUP(I913,$C$3:$L$6,6,0)/12),0))</f>
        <v/>
      </c>
      <c r="K913" s="29" t="str">
        <f ca="1">IF(C913&lt;&gt;"",IF(I913&lt;&gt;"",IF(ISERROR(VLOOKUP(I913,$C$3:$L$6,10,0)),"",VLOOKUP(I913,$C$3:$L$6,10,0)+J913+IF(OR(VLOOKUP(I913,$C$3:$L$6,5,0)=Variables!$B$5,B913&gt;VLOOKUP(I913,$C$3:$L$6,8,0)),IF(VLOOKUP(I913,$C$3:$L$6,5,0)=Variables!$B$5,((YEAR(B913)-YEAR($B$12))*12+MONTH(B913)-MONTH($B$12)),((YEAR(B913)-YEAR(VLOOKUP(I913,$C$3:$L$6,8,0)))*12+MONTH(B913)-MONTH(VLOOKUP(I913,$C$3:$L$6,8,0))))*VLOOKUP(I913,$C$3:$L$6,7,0),0)),""),"")</f>
        <v/>
      </c>
      <c r="L913" s="29" t="str">
        <f t="shared" ca="1" si="79"/>
        <v/>
      </c>
      <c r="M913" s="10"/>
      <c r="N913" s="10"/>
    </row>
    <row r="914" spans="1:14" x14ac:dyDescent="0.25">
      <c r="A914" s="10"/>
      <c r="B914" s="14" t="str">
        <f t="shared" ca="1" si="80"/>
        <v/>
      </c>
      <c r="C914" s="14" t="str">
        <f ca="1">IF(I913&lt;&gt;Variables!$B$1,IF(H913&lt;&gt;0,C913,I913),"")</f>
        <v/>
      </c>
      <c r="D914" s="29" t="str">
        <f t="shared" ca="1" si="77"/>
        <v/>
      </c>
      <c r="E914" s="29" t="str">
        <f t="shared" ca="1" si="78"/>
        <v/>
      </c>
      <c r="F914" s="29" t="str">
        <f ca="1">IF(C914&lt;&gt;"",IF(OR(VLOOKUP(C914,$C$3:$L$6,5,0)=Variables!$B$5,B914&gt;VLOOKUP(C914,$C$3:$L$6,8,0)),-D914*VLOOKUP(C914,$C$3:$L$6,6,0)/12,0),"")</f>
        <v/>
      </c>
      <c r="G914" s="29" t="str">
        <f ca="1">IF(I914&lt;&gt;Variables!$B$1,IF(C914&lt;&gt;"",$I$9-E914-F914,""),-D914)</f>
        <v/>
      </c>
      <c r="H914" s="29" t="str">
        <f t="shared" ca="1" si="81"/>
        <v/>
      </c>
      <c r="I914" s="31" t="str">
        <f ca="1">IF(C914&lt;&gt;"",IF(D914+$I$9-E914-F914&gt;=0,IF(ISERROR(INDEX($C$3:$C$6,MATCH(C914,$C$3:$C$6,0)+1,0)),Variables!$B$1,INDEX($C$3:$C$6,MATCH(C914,$C$3:$C$6,0)+1,0)),""),"")</f>
        <v/>
      </c>
      <c r="J914" s="29" t="str">
        <f ca="1">IF(ISERROR(VLOOKUP(I914,$C$3:$L$6,5,0)),"",IF(OR(VLOOKUP(I914,$C$3:$L$6,5,0)=Variables!$B$5,B914&gt;VLOOKUP(I914,$C$3:$L$6,8,0)),IF(VLOOKUP(I914,$C$3:$L$6,5,0)=Variables!$B$5,((YEAR(B914)-YEAR($B$12))*12+MONTH(B914)-MONTH($B$12)),((YEAR(B914)-YEAR(VLOOKUP(I914,$C$3:$L$6,8,0)))*12+MONTH(B914)-MONTH(VLOOKUP(I914,$C$3:$L$6,8,0))))*(VLOOKUP(I914,$C$3:$L$6,10,0)*VLOOKUP(I914,$C$3:$L$6,6,0)/12),0))</f>
        <v/>
      </c>
      <c r="K914" s="29" t="str">
        <f ca="1">IF(C914&lt;&gt;"",IF(I914&lt;&gt;"",IF(ISERROR(VLOOKUP(I914,$C$3:$L$6,10,0)),"",VLOOKUP(I914,$C$3:$L$6,10,0)+J914+IF(OR(VLOOKUP(I914,$C$3:$L$6,5,0)=Variables!$B$5,B914&gt;VLOOKUP(I914,$C$3:$L$6,8,0)),IF(VLOOKUP(I914,$C$3:$L$6,5,0)=Variables!$B$5,((YEAR(B914)-YEAR($B$12))*12+MONTH(B914)-MONTH($B$12)),((YEAR(B914)-YEAR(VLOOKUP(I914,$C$3:$L$6,8,0)))*12+MONTH(B914)-MONTH(VLOOKUP(I914,$C$3:$L$6,8,0))))*VLOOKUP(I914,$C$3:$L$6,7,0),0)),""),"")</f>
        <v/>
      </c>
      <c r="L914" s="29" t="str">
        <f t="shared" ca="1" si="79"/>
        <v/>
      </c>
      <c r="M914" s="10"/>
      <c r="N914" s="10"/>
    </row>
    <row r="915" spans="1:14" x14ac:dyDescent="0.25">
      <c r="A915" s="10"/>
      <c r="B915" s="14" t="str">
        <f t="shared" ca="1" si="80"/>
        <v/>
      </c>
      <c r="C915" s="14" t="str">
        <f ca="1">IF(I914&lt;&gt;Variables!$B$1,IF(H914&lt;&gt;0,C914,I914),"")</f>
        <v/>
      </c>
      <c r="D915" s="29" t="str">
        <f t="shared" ca="1" si="77"/>
        <v/>
      </c>
      <c r="E915" s="29" t="str">
        <f t="shared" ca="1" si="78"/>
        <v/>
      </c>
      <c r="F915" s="29" t="str">
        <f ca="1">IF(C915&lt;&gt;"",IF(OR(VLOOKUP(C915,$C$3:$L$6,5,0)=Variables!$B$5,B915&gt;VLOOKUP(C915,$C$3:$L$6,8,0)),-D915*VLOOKUP(C915,$C$3:$L$6,6,0)/12,0),"")</f>
        <v/>
      </c>
      <c r="G915" s="29" t="str">
        <f ca="1">IF(I915&lt;&gt;Variables!$B$1,IF(C915&lt;&gt;"",$I$9-E915-F915,""),-D915)</f>
        <v/>
      </c>
      <c r="H915" s="29" t="str">
        <f t="shared" ca="1" si="81"/>
        <v/>
      </c>
      <c r="I915" s="31" t="str">
        <f ca="1">IF(C915&lt;&gt;"",IF(D915+$I$9-E915-F915&gt;=0,IF(ISERROR(INDEX($C$3:$C$6,MATCH(C915,$C$3:$C$6,0)+1,0)),Variables!$B$1,INDEX($C$3:$C$6,MATCH(C915,$C$3:$C$6,0)+1,0)),""),"")</f>
        <v/>
      </c>
      <c r="J915" s="29" t="str">
        <f ca="1">IF(ISERROR(VLOOKUP(I915,$C$3:$L$6,5,0)),"",IF(OR(VLOOKUP(I915,$C$3:$L$6,5,0)=Variables!$B$5,B915&gt;VLOOKUP(I915,$C$3:$L$6,8,0)),IF(VLOOKUP(I915,$C$3:$L$6,5,0)=Variables!$B$5,((YEAR(B915)-YEAR($B$12))*12+MONTH(B915)-MONTH($B$12)),((YEAR(B915)-YEAR(VLOOKUP(I915,$C$3:$L$6,8,0)))*12+MONTH(B915)-MONTH(VLOOKUP(I915,$C$3:$L$6,8,0))))*(VLOOKUP(I915,$C$3:$L$6,10,0)*VLOOKUP(I915,$C$3:$L$6,6,0)/12),0))</f>
        <v/>
      </c>
      <c r="K915" s="29" t="str">
        <f ca="1">IF(C915&lt;&gt;"",IF(I915&lt;&gt;"",IF(ISERROR(VLOOKUP(I915,$C$3:$L$6,10,0)),"",VLOOKUP(I915,$C$3:$L$6,10,0)+J915+IF(OR(VLOOKUP(I915,$C$3:$L$6,5,0)=Variables!$B$5,B915&gt;VLOOKUP(I915,$C$3:$L$6,8,0)),IF(VLOOKUP(I915,$C$3:$L$6,5,0)=Variables!$B$5,((YEAR(B915)-YEAR($B$12))*12+MONTH(B915)-MONTH($B$12)),((YEAR(B915)-YEAR(VLOOKUP(I915,$C$3:$L$6,8,0)))*12+MONTH(B915)-MONTH(VLOOKUP(I915,$C$3:$L$6,8,0))))*VLOOKUP(I915,$C$3:$L$6,7,0),0)),""),"")</f>
        <v/>
      </c>
      <c r="L915" s="29" t="str">
        <f t="shared" ca="1" si="79"/>
        <v/>
      </c>
      <c r="M915" s="10"/>
      <c r="N915" s="10"/>
    </row>
    <row r="916" spans="1:14" x14ac:dyDescent="0.25">
      <c r="A916" s="10"/>
      <c r="B916" s="14" t="str">
        <f t="shared" ca="1" si="80"/>
        <v/>
      </c>
      <c r="C916" s="14" t="str">
        <f ca="1">IF(I915&lt;&gt;Variables!$B$1,IF(H915&lt;&gt;0,C915,I915),"")</f>
        <v/>
      </c>
      <c r="D916" s="29" t="str">
        <f t="shared" ca="1" si="77"/>
        <v/>
      </c>
      <c r="E916" s="29" t="str">
        <f t="shared" ca="1" si="78"/>
        <v/>
      </c>
      <c r="F916" s="29" t="str">
        <f ca="1">IF(C916&lt;&gt;"",IF(OR(VLOOKUP(C916,$C$3:$L$6,5,0)=Variables!$B$5,B916&gt;VLOOKUP(C916,$C$3:$L$6,8,0)),-D916*VLOOKUP(C916,$C$3:$L$6,6,0)/12,0),"")</f>
        <v/>
      </c>
      <c r="G916" s="29" t="str">
        <f ca="1">IF(I916&lt;&gt;Variables!$B$1,IF(C916&lt;&gt;"",$I$9-E916-F916,""),-D916)</f>
        <v/>
      </c>
      <c r="H916" s="29" t="str">
        <f t="shared" ca="1" si="81"/>
        <v/>
      </c>
      <c r="I916" s="31" t="str">
        <f ca="1">IF(C916&lt;&gt;"",IF(D916+$I$9-E916-F916&gt;=0,IF(ISERROR(INDEX($C$3:$C$6,MATCH(C916,$C$3:$C$6,0)+1,0)),Variables!$B$1,INDEX($C$3:$C$6,MATCH(C916,$C$3:$C$6,0)+1,0)),""),"")</f>
        <v/>
      </c>
      <c r="J916" s="29" t="str">
        <f ca="1">IF(ISERROR(VLOOKUP(I916,$C$3:$L$6,5,0)),"",IF(OR(VLOOKUP(I916,$C$3:$L$6,5,0)=Variables!$B$5,B916&gt;VLOOKUP(I916,$C$3:$L$6,8,0)),IF(VLOOKUP(I916,$C$3:$L$6,5,0)=Variables!$B$5,((YEAR(B916)-YEAR($B$12))*12+MONTH(B916)-MONTH($B$12)),((YEAR(B916)-YEAR(VLOOKUP(I916,$C$3:$L$6,8,0)))*12+MONTH(B916)-MONTH(VLOOKUP(I916,$C$3:$L$6,8,0))))*(VLOOKUP(I916,$C$3:$L$6,10,0)*VLOOKUP(I916,$C$3:$L$6,6,0)/12),0))</f>
        <v/>
      </c>
      <c r="K916" s="29" t="str">
        <f ca="1">IF(C916&lt;&gt;"",IF(I916&lt;&gt;"",IF(ISERROR(VLOOKUP(I916,$C$3:$L$6,10,0)),"",VLOOKUP(I916,$C$3:$L$6,10,0)+J916+IF(OR(VLOOKUP(I916,$C$3:$L$6,5,0)=Variables!$B$5,B916&gt;VLOOKUP(I916,$C$3:$L$6,8,0)),IF(VLOOKUP(I916,$C$3:$L$6,5,0)=Variables!$B$5,((YEAR(B916)-YEAR($B$12))*12+MONTH(B916)-MONTH($B$12)),((YEAR(B916)-YEAR(VLOOKUP(I916,$C$3:$L$6,8,0)))*12+MONTH(B916)-MONTH(VLOOKUP(I916,$C$3:$L$6,8,0))))*VLOOKUP(I916,$C$3:$L$6,7,0),0)),""),"")</f>
        <v/>
      </c>
      <c r="L916" s="29" t="str">
        <f t="shared" ca="1" si="79"/>
        <v/>
      </c>
      <c r="M916" s="10"/>
      <c r="N916" s="10"/>
    </row>
    <row r="917" spans="1:14" x14ac:dyDescent="0.25">
      <c r="A917" s="10"/>
      <c r="B917" s="14" t="str">
        <f t="shared" ca="1" si="80"/>
        <v/>
      </c>
      <c r="C917" s="14" t="str">
        <f ca="1">IF(I916&lt;&gt;Variables!$B$1,IF(H916&lt;&gt;0,C916,I916),"")</f>
        <v/>
      </c>
      <c r="D917" s="29" t="str">
        <f t="shared" ca="1" si="77"/>
        <v/>
      </c>
      <c r="E917" s="29" t="str">
        <f t="shared" ca="1" si="78"/>
        <v/>
      </c>
      <c r="F917" s="29" t="str">
        <f ca="1">IF(C917&lt;&gt;"",IF(OR(VLOOKUP(C917,$C$3:$L$6,5,0)=Variables!$B$5,B917&gt;VLOOKUP(C917,$C$3:$L$6,8,0)),-D917*VLOOKUP(C917,$C$3:$L$6,6,0)/12,0),"")</f>
        <v/>
      </c>
      <c r="G917" s="29" t="str">
        <f ca="1">IF(I917&lt;&gt;Variables!$B$1,IF(C917&lt;&gt;"",$I$9-E917-F917,""),-D917)</f>
        <v/>
      </c>
      <c r="H917" s="29" t="str">
        <f t="shared" ca="1" si="81"/>
        <v/>
      </c>
      <c r="I917" s="31" t="str">
        <f ca="1">IF(C917&lt;&gt;"",IF(D917+$I$9-E917-F917&gt;=0,IF(ISERROR(INDEX($C$3:$C$6,MATCH(C917,$C$3:$C$6,0)+1,0)),Variables!$B$1,INDEX($C$3:$C$6,MATCH(C917,$C$3:$C$6,0)+1,0)),""),"")</f>
        <v/>
      </c>
      <c r="J917" s="29" t="str">
        <f ca="1">IF(ISERROR(VLOOKUP(I917,$C$3:$L$6,5,0)),"",IF(OR(VLOOKUP(I917,$C$3:$L$6,5,0)=Variables!$B$5,B917&gt;VLOOKUP(I917,$C$3:$L$6,8,0)),IF(VLOOKUP(I917,$C$3:$L$6,5,0)=Variables!$B$5,((YEAR(B917)-YEAR($B$12))*12+MONTH(B917)-MONTH($B$12)),((YEAR(B917)-YEAR(VLOOKUP(I917,$C$3:$L$6,8,0)))*12+MONTH(B917)-MONTH(VLOOKUP(I917,$C$3:$L$6,8,0))))*(VLOOKUP(I917,$C$3:$L$6,10,0)*VLOOKUP(I917,$C$3:$L$6,6,0)/12),0))</f>
        <v/>
      </c>
      <c r="K917" s="29" t="str">
        <f ca="1">IF(C917&lt;&gt;"",IF(I917&lt;&gt;"",IF(ISERROR(VLOOKUP(I917,$C$3:$L$6,10,0)),"",VLOOKUP(I917,$C$3:$L$6,10,0)+J917+IF(OR(VLOOKUP(I917,$C$3:$L$6,5,0)=Variables!$B$5,B917&gt;VLOOKUP(I917,$C$3:$L$6,8,0)),IF(VLOOKUP(I917,$C$3:$L$6,5,0)=Variables!$B$5,((YEAR(B917)-YEAR($B$12))*12+MONTH(B917)-MONTH($B$12)),((YEAR(B917)-YEAR(VLOOKUP(I917,$C$3:$L$6,8,0)))*12+MONTH(B917)-MONTH(VLOOKUP(I917,$C$3:$L$6,8,0))))*VLOOKUP(I917,$C$3:$L$6,7,0),0)),""),"")</f>
        <v/>
      </c>
      <c r="L917" s="29" t="str">
        <f t="shared" ca="1" si="79"/>
        <v/>
      </c>
      <c r="M917" s="10"/>
      <c r="N917" s="10"/>
    </row>
    <row r="918" spans="1:14" x14ac:dyDescent="0.25">
      <c r="A918" s="10"/>
      <c r="B918" s="14" t="str">
        <f t="shared" ca="1" si="80"/>
        <v/>
      </c>
      <c r="C918" s="14" t="str">
        <f ca="1">IF(I917&lt;&gt;Variables!$B$1,IF(H917&lt;&gt;0,C917,I917),"")</f>
        <v/>
      </c>
      <c r="D918" s="29" t="str">
        <f t="shared" ca="1" si="77"/>
        <v/>
      </c>
      <c r="E918" s="29" t="str">
        <f t="shared" ca="1" si="78"/>
        <v/>
      </c>
      <c r="F918" s="29" t="str">
        <f ca="1">IF(C918&lt;&gt;"",IF(OR(VLOOKUP(C918,$C$3:$L$6,5,0)=Variables!$B$5,B918&gt;VLOOKUP(C918,$C$3:$L$6,8,0)),-D918*VLOOKUP(C918,$C$3:$L$6,6,0)/12,0),"")</f>
        <v/>
      </c>
      <c r="G918" s="29" t="str">
        <f ca="1">IF(I918&lt;&gt;Variables!$B$1,IF(C918&lt;&gt;"",$I$9-E918-F918,""),-D918)</f>
        <v/>
      </c>
      <c r="H918" s="29" t="str">
        <f t="shared" ca="1" si="81"/>
        <v/>
      </c>
      <c r="I918" s="31" t="str">
        <f ca="1">IF(C918&lt;&gt;"",IF(D918+$I$9-E918-F918&gt;=0,IF(ISERROR(INDEX($C$3:$C$6,MATCH(C918,$C$3:$C$6,0)+1,0)),Variables!$B$1,INDEX($C$3:$C$6,MATCH(C918,$C$3:$C$6,0)+1,0)),""),"")</f>
        <v/>
      </c>
      <c r="J918" s="29" t="str">
        <f ca="1">IF(ISERROR(VLOOKUP(I918,$C$3:$L$6,5,0)),"",IF(OR(VLOOKUP(I918,$C$3:$L$6,5,0)=Variables!$B$5,B918&gt;VLOOKUP(I918,$C$3:$L$6,8,0)),IF(VLOOKUP(I918,$C$3:$L$6,5,0)=Variables!$B$5,((YEAR(B918)-YEAR($B$12))*12+MONTH(B918)-MONTH($B$12)),((YEAR(B918)-YEAR(VLOOKUP(I918,$C$3:$L$6,8,0)))*12+MONTH(B918)-MONTH(VLOOKUP(I918,$C$3:$L$6,8,0))))*(VLOOKUP(I918,$C$3:$L$6,10,0)*VLOOKUP(I918,$C$3:$L$6,6,0)/12),0))</f>
        <v/>
      </c>
      <c r="K918" s="29" t="str">
        <f ca="1">IF(C918&lt;&gt;"",IF(I918&lt;&gt;"",IF(ISERROR(VLOOKUP(I918,$C$3:$L$6,10,0)),"",VLOOKUP(I918,$C$3:$L$6,10,0)+J918+IF(OR(VLOOKUP(I918,$C$3:$L$6,5,0)=Variables!$B$5,B918&gt;VLOOKUP(I918,$C$3:$L$6,8,0)),IF(VLOOKUP(I918,$C$3:$L$6,5,0)=Variables!$B$5,((YEAR(B918)-YEAR($B$12))*12+MONTH(B918)-MONTH($B$12)),((YEAR(B918)-YEAR(VLOOKUP(I918,$C$3:$L$6,8,0)))*12+MONTH(B918)-MONTH(VLOOKUP(I918,$C$3:$L$6,8,0))))*VLOOKUP(I918,$C$3:$L$6,7,0),0)),""),"")</f>
        <v/>
      </c>
      <c r="L918" s="29" t="str">
        <f t="shared" ca="1" si="79"/>
        <v/>
      </c>
      <c r="M918" s="10"/>
      <c r="N918" s="10"/>
    </row>
    <row r="919" spans="1:14" x14ac:dyDescent="0.25">
      <c r="A919" s="10"/>
      <c r="B919" s="14" t="str">
        <f t="shared" ca="1" si="80"/>
        <v/>
      </c>
      <c r="C919" s="14" t="str">
        <f ca="1">IF(I918&lt;&gt;Variables!$B$1,IF(H918&lt;&gt;0,C918,I918),"")</f>
        <v/>
      </c>
      <c r="D919" s="29" t="str">
        <f t="shared" ca="1" si="77"/>
        <v/>
      </c>
      <c r="E919" s="29" t="str">
        <f t="shared" ca="1" si="78"/>
        <v/>
      </c>
      <c r="F919" s="29" t="str">
        <f ca="1">IF(C919&lt;&gt;"",IF(OR(VLOOKUP(C919,$C$3:$L$6,5,0)=Variables!$B$5,B919&gt;VLOOKUP(C919,$C$3:$L$6,8,0)),-D919*VLOOKUP(C919,$C$3:$L$6,6,0)/12,0),"")</f>
        <v/>
      </c>
      <c r="G919" s="29" t="str">
        <f ca="1">IF(I919&lt;&gt;Variables!$B$1,IF(C919&lt;&gt;"",$I$9-E919-F919,""),-D919)</f>
        <v/>
      </c>
      <c r="H919" s="29" t="str">
        <f t="shared" ca="1" si="81"/>
        <v/>
      </c>
      <c r="I919" s="31" t="str">
        <f ca="1">IF(C919&lt;&gt;"",IF(D919+$I$9-E919-F919&gt;=0,IF(ISERROR(INDEX($C$3:$C$6,MATCH(C919,$C$3:$C$6,0)+1,0)),Variables!$B$1,INDEX($C$3:$C$6,MATCH(C919,$C$3:$C$6,0)+1,0)),""),"")</f>
        <v/>
      </c>
      <c r="J919" s="29" t="str">
        <f ca="1">IF(ISERROR(VLOOKUP(I919,$C$3:$L$6,5,0)),"",IF(OR(VLOOKUP(I919,$C$3:$L$6,5,0)=Variables!$B$5,B919&gt;VLOOKUP(I919,$C$3:$L$6,8,0)),IF(VLOOKUP(I919,$C$3:$L$6,5,0)=Variables!$B$5,((YEAR(B919)-YEAR($B$12))*12+MONTH(B919)-MONTH($B$12)),((YEAR(B919)-YEAR(VLOOKUP(I919,$C$3:$L$6,8,0)))*12+MONTH(B919)-MONTH(VLOOKUP(I919,$C$3:$L$6,8,0))))*(VLOOKUP(I919,$C$3:$L$6,10,0)*VLOOKUP(I919,$C$3:$L$6,6,0)/12),0))</f>
        <v/>
      </c>
      <c r="K919" s="29" t="str">
        <f ca="1">IF(C919&lt;&gt;"",IF(I919&lt;&gt;"",IF(ISERROR(VLOOKUP(I919,$C$3:$L$6,10,0)),"",VLOOKUP(I919,$C$3:$L$6,10,0)+J919+IF(OR(VLOOKUP(I919,$C$3:$L$6,5,0)=Variables!$B$5,B919&gt;VLOOKUP(I919,$C$3:$L$6,8,0)),IF(VLOOKUP(I919,$C$3:$L$6,5,0)=Variables!$B$5,((YEAR(B919)-YEAR($B$12))*12+MONTH(B919)-MONTH($B$12)),((YEAR(B919)-YEAR(VLOOKUP(I919,$C$3:$L$6,8,0)))*12+MONTH(B919)-MONTH(VLOOKUP(I919,$C$3:$L$6,8,0))))*VLOOKUP(I919,$C$3:$L$6,7,0),0)),""),"")</f>
        <v/>
      </c>
      <c r="L919" s="29" t="str">
        <f t="shared" ca="1" si="79"/>
        <v/>
      </c>
      <c r="M919" s="10"/>
      <c r="N919" s="10"/>
    </row>
    <row r="920" spans="1:14" x14ac:dyDescent="0.25">
      <c r="A920" s="10"/>
      <c r="B920" s="14" t="str">
        <f t="shared" ca="1" si="80"/>
        <v/>
      </c>
      <c r="C920" s="14" t="str">
        <f ca="1">IF(I919&lt;&gt;Variables!$B$1,IF(H919&lt;&gt;0,C919,I919),"")</f>
        <v/>
      </c>
      <c r="D920" s="29" t="str">
        <f t="shared" ca="1" si="77"/>
        <v/>
      </c>
      <c r="E920" s="29" t="str">
        <f t="shared" ca="1" si="78"/>
        <v/>
      </c>
      <c r="F920" s="29" t="str">
        <f ca="1">IF(C920&lt;&gt;"",IF(OR(VLOOKUP(C920,$C$3:$L$6,5,0)=Variables!$B$5,B920&gt;VLOOKUP(C920,$C$3:$L$6,8,0)),-D920*VLOOKUP(C920,$C$3:$L$6,6,0)/12,0),"")</f>
        <v/>
      </c>
      <c r="G920" s="29" t="str">
        <f ca="1">IF(I920&lt;&gt;Variables!$B$1,IF(C920&lt;&gt;"",$I$9-E920-F920,""),-D920)</f>
        <v/>
      </c>
      <c r="H920" s="29" t="str">
        <f t="shared" ca="1" si="81"/>
        <v/>
      </c>
      <c r="I920" s="31" t="str">
        <f ca="1">IF(C920&lt;&gt;"",IF(D920+$I$9-E920-F920&gt;=0,IF(ISERROR(INDEX($C$3:$C$6,MATCH(C920,$C$3:$C$6,0)+1,0)),Variables!$B$1,INDEX($C$3:$C$6,MATCH(C920,$C$3:$C$6,0)+1,0)),""),"")</f>
        <v/>
      </c>
      <c r="J920" s="29" t="str">
        <f ca="1">IF(ISERROR(VLOOKUP(I920,$C$3:$L$6,5,0)),"",IF(OR(VLOOKUP(I920,$C$3:$L$6,5,0)=Variables!$B$5,B920&gt;VLOOKUP(I920,$C$3:$L$6,8,0)),IF(VLOOKUP(I920,$C$3:$L$6,5,0)=Variables!$B$5,((YEAR(B920)-YEAR($B$12))*12+MONTH(B920)-MONTH($B$12)),((YEAR(B920)-YEAR(VLOOKUP(I920,$C$3:$L$6,8,0)))*12+MONTH(B920)-MONTH(VLOOKUP(I920,$C$3:$L$6,8,0))))*(VLOOKUP(I920,$C$3:$L$6,10,0)*VLOOKUP(I920,$C$3:$L$6,6,0)/12),0))</f>
        <v/>
      </c>
      <c r="K920" s="29" t="str">
        <f ca="1">IF(C920&lt;&gt;"",IF(I920&lt;&gt;"",IF(ISERROR(VLOOKUP(I920,$C$3:$L$6,10,0)),"",VLOOKUP(I920,$C$3:$L$6,10,0)+J920+IF(OR(VLOOKUP(I920,$C$3:$L$6,5,0)=Variables!$B$5,B920&gt;VLOOKUP(I920,$C$3:$L$6,8,0)),IF(VLOOKUP(I920,$C$3:$L$6,5,0)=Variables!$B$5,((YEAR(B920)-YEAR($B$12))*12+MONTH(B920)-MONTH($B$12)),((YEAR(B920)-YEAR(VLOOKUP(I920,$C$3:$L$6,8,0)))*12+MONTH(B920)-MONTH(VLOOKUP(I920,$C$3:$L$6,8,0))))*VLOOKUP(I920,$C$3:$L$6,7,0),0)),""),"")</f>
        <v/>
      </c>
      <c r="L920" s="29" t="str">
        <f t="shared" ca="1" si="79"/>
        <v/>
      </c>
      <c r="M920" s="10"/>
      <c r="N920" s="10"/>
    </row>
    <row r="921" spans="1:14" x14ac:dyDescent="0.25">
      <c r="A921" s="10"/>
      <c r="B921" s="14" t="str">
        <f t="shared" ca="1" si="80"/>
        <v/>
      </c>
      <c r="C921" s="14" t="str">
        <f ca="1">IF(I920&lt;&gt;Variables!$B$1,IF(H920&lt;&gt;0,C920,I920),"")</f>
        <v/>
      </c>
      <c r="D921" s="29" t="str">
        <f t="shared" ca="1" si="77"/>
        <v/>
      </c>
      <c r="E921" s="29" t="str">
        <f t="shared" ca="1" si="78"/>
        <v/>
      </c>
      <c r="F921" s="29" t="str">
        <f ca="1">IF(C921&lt;&gt;"",IF(OR(VLOOKUP(C921,$C$3:$L$6,5,0)=Variables!$B$5,B921&gt;VLOOKUP(C921,$C$3:$L$6,8,0)),-D921*VLOOKUP(C921,$C$3:$L$6,6,0)/12,0),"")</f>
        <v/>
      </c>
      <c r="G921" s="29" t="str">
        <f ca="1">IF(I921&lt;&gt;Variables!$B$1,IF(C921&lt;&gt;"",$I$9-E921-F921,""),-D921)</f>
        <v/>
      </c>
      <c r="H921" s="29" t="str">
        <f t="shared" ca="1" si="81"/>
        <v/>
      </c>
      <c r="I921" s="31" t="str">
        <f ca="1">IF(C921&lt;&gt;"",IF(D921+$I$9-E921-F921&gt;=0,IF(ISERROR(INDEX($C$3:$C$6,MATCH(C921,$C$3:$C$6,0)+1,0)),Variables!$B$1,INDEX($C$3:$C$6,MATCH(C921,$C$3:$C$6,0)+1,0)),""),"")</f>
        <v/>
      </c>
      <c r="J921" s="29" t="str">
        <f ca="1">IF(ISERROR(VLOOKUP(I921,$C$3:$L$6,5,0)),"",IF(OR(VLOOKUP(I921,$C$3:$L$6,5,0)=Variables!$B$5,B921&gt;VLOOKUP(I921,$C$3:$L$6,8,0)),IF(VLOOKUP(I921,$C$3:$L$6,5,0)=Variables!$B$5,((YEAR(B921)-YEAR($B$12))*12+MONTH(B921)-MONTH($B$12)),((YEAR(B921)-YEAR(VLOOKUP(I921,$C$3:$L$6,8,0)))*12+MONTH(B921)-MONTH(VLOOKUP(I921,$C$3:$L$6,8,0))))*(VLOOKUP(I921,$C$3:$L$6,10,0)*VLOOKUP(I921,$C$3:$L$6,6,0)/12),0))</f>
        <v/>
      </c>
      <c r="K921" s="29" t="str">
        <f ca="1">IF(C921&lt;&gt;"",IF(I921&lt;&gt;"",IF(ISERROR(VLOOKUP(I921,$C$3:$L$6,10,0)),"",VLOOKUP(I921,$C$3:$L$6,10,0)+J921+IF(OR(VLOOKUP(I921,$C$3:$L$6,5,0)=Variables!$B$5,B921&gt;VLOOKUP(I921,$C$3:$L$6,8,0)),IF(VLOOKUP(I921,$C$3:$L$6,5,0)=Variables!$B$5,((YEAR(B921)-YEAR($B$12))*12+MONTH(B921)-MONTH($B$12)),((YEAR(B921)-YEAR(VLOOKUP(I921,$C$3:$L$6,8,0)))*12+MONTH(B921)-MONTH(VLOOKUP(I921,$C$3:$L$6,8,0))))*VLOOKUP(I921,$C$3:$L$6,7,0),0)),""),"")</f>
        <v/>
      </c>
      <c r="L921" s="29" t="str">
        <f t="shared" ca="1" si="79"/>
        <v/>
      </c>
      <c r="M921" s="10"/>
      <c r="N921" s="10"/>
    </row>
    <row r="922" spans="1:14" x14ac:dyDescent="0.25">
      <c r="A922" s="10"/>
      <c r="B922" s="14" t="str">
        <f t="shared" ca="1" si="80"/>
        <v/>
      </c>
      <c r="C922" s="14" t="str">
        <f ca="1">IF(I921&lt;&gt;Variables!$B$1,IF(H921&lt;&gt;0,C921,I921),"")</f>
        <v/>
      </c>
      <c r="D922" s="29" t="str">
        <f t="shared" ca="1" si="77"/>
        <v/>
      </c>
      <c r="E922" s="29" t="str">
        <f t="shared" ca="1" si="78"/>
        <v/>
      </c>
      <c r="F922" s="29" t="str">
        <f ca="1">IF(C922&lt;&gt;"",IF(OR(VLOOKUP(C922,$C$3:$L$6,5,0)=Variables!$B$5,B922&gt;VLOOKUP(C922,$C$3:$L$6,8,0)),-D922*VLOOKUP(C922,$C$3:$L$6,6,0)/12,0),"")</f>
        <v/>
      </c>
      <c r="G922" s="29" t="str">
        <f ca="1">IF(I922&lt;&gt;Variables!$B$1,IF(C922&lt;&gt;"",$I$9-E922-F922,""),-D922)</f>
        <v/>
      </c>
      <c r="H922" s="29" t="str">
        <f t="shared" ca="1" si="81"/>
        <v/>
      </c>
      <c r="I922" s="31" t="str">
        <f ca="1">IF(C922&lt;&gt;"",IF(D922+$I$9-E922-F922&gt;=0,IF(ISERROR(INDEX($C$3:$C$6,MATCH(C922,$C$3:$C$6,0)+1,0)),Variables!$B$1,INDEX($C$3:$C$6,MATCH(C922,$C$3:$C$6,0)+1,0)),""),"")</f>
        <v/>
      </c>
      <c r="J922" s="29" t="str">
        <f ca="1">IF(ISERROR(VLOOKUP(I922,$C$3:$L$6,5,0)),"",IF(OR(VLOOKUP(I922,$C$3:$L$6,5,0)=Variables!$B$5,B922&gt;VLOOKUP(I922,$C$3:$L$6,8,0)),IF(VLOOKUP(I922,$C$3:$L$6,5,0)=Variables!$B$5,((YEAR(B922)-YEAR($B$12))*12+MONTH(B922)-MONTH($B$12)),((YEAR(B922)-YEAR(VLOOKUP(I922,$C$3:$L$6,8,0)))*12+MONTH(B922)-MONTH(VLOOKUP(I922,$C$3:$L$6,8,0))))*(VLOOKUP(I922,$C$3:$L$6,10,0)*VLOOKUP(I922,$C$3:$L$6,6,0)/12),0))</f>
        <v/>
      </c>
      <c r="K922" s="29" t="str">
        <f ca="1">IF(C922&lt;&gt;"",IF(I922&lt;&gt;"",IF(ISERROR(VLOOKUP(I922,$C$3:$L$6,10,0)),"",VLOOKUP(I922,$C$3:$L$6,10,0)+J922+IF(OR(VLOOKUP(I922,$C$3:$L$6,5,0)=Variables!$B$5,B922&gt;VLOOKUP(I922,$C$3:$L$6,8,0)),IF(VLOOKUP(I922,$C$3:$L$6,5,0)=Variables!$B$5,((YEAR(B922)-YEAR($B$12))*12+MONTH(B922)-MONTH($B$12)),((YEAR(B922)-YEAR(VLOOKUP(I922,$C$3:$L$6,8,0)))*12+MONTH(B922)-MONTH(VLOOKUP(I922,$C$3:$L$6,8,0))))*VLOOKUP(I922,$C$3:$L$6,7,0),0)),""),"")</f>
        <v/>
      </c>
      <c r="L922" s="29" t="str">
        <f t="shared" ca="1" si="79"/>
        <v/>
      </c>
      <c r="M922" s="10"/>
      <c r="N922" s="10"/>
    </row>
    <row r="923" spans="1:14" x14ac:dyDescent="0.25">
      <c r="A923" s="10"/>
      <c r="B923" s="14" t="str">
        <f t="shared" ca="1" si="80"/>
        <v/>
      </c>
      <c r="C923" s="14" t="str">
        <f ca="1">IF(I922&lt;&gt;Variables!$B$1,IF(H922&lt;&gt;0,C922,I922),"")</f>
        <v/>
      </c>
      <c r="D923" s="29" t="str">
        <f t="shared" ca="1" si="77"/>
        <v/>
      </c>
      <c r="E923" s="29" t="str">
        <f t="shared" ca="1" si="78"/>
        <v/>
      </c>
      <c r="F923" s="29" t="str">
        <f ca="1">IF(C923&lt;&gt;"",IF(OR(VLOOKUP(C923,$C$3:$L$6,5,0)=Variables!$B$5,B923&gt;VLOOKUP(C923,$C$3:$L$6,8,0)),-D923*VLOOKUP(C923,$C$3:$L$6,6,0)/12,0),"")</f>
        <v/>
      </c>
      <c r="G923" s="29" t="str">
        <f ca="1">IF(I923&lt;&gt;Variables!$B$1,IF(C923&lt;&gt;"",$I$9-E923-F923,""),-D923)</f>
        <v/>
      </c>
      <c r="H923" s="29" t="str">
        <f t="shared" ca="1" si="81"/>
        <v/>
      </c>
      <c r="I923" s="31" t="str">
        <f ca="1">IF(C923&lt;&gt;"",IF(D923+$I$9-E923-F923&gt;=0,IF(ISERROR(INDEX($C$3:$C$6,MATCH(C923,$C$3:$C$6,0)+1,0)),Variables!$B$1,INDEX($C$3:$C$6,MATCH(C923,$C$3:$C$6,0)+1,0)),""),"")</f>
        <v/>
      </c>
      <c r="J923" s="29" t="str">
        <f ca="1">IF(ISERROR(VLOOKUP(I923,$C$3:$L$6,5,0)),"",IF(OR(VLOOKUP(I923,$C$3:$L$6,5,0)=Variables!$B$5,B923&gt;VLOOKUP(I923,$C$3:$L$6,8,0)),IF(VLOOKUP(I923,$C$3:$L$6,5,0)=Variables!$B$5,((YEAR(B923)-YEAR($B$12))*12+MONTH(B923)-MONTH($B$12)),((YEAR(B923)-YEAR(VLOOKUP(I923,$C$3:$L$6,8,0)))*12+MONTH(B923)-MONTH(VLOOKUP(I923,$C$3:$L$6,8,0))))*(VLOOKUP(I923,$C$3:$L$6,10,0)*VLOOKUP(I923,$C$3:$L$6,6,0)/12),0))</f>
        <v/>
      </c>
      <c r="K923" s="29" t="str">
        <f ca="1">IF(C923&lt;&gt;"",IF(I923&lt;&gt;"",IF(ISERROR(VLOOKUP(I923,$C$3:$L$6,10,0)),"",VLOOKUP(I923,$C$3:$L$6,10,0)+J923+IF(OR(VLOOKUP(I923,$C$3:$L$6,5,0)=Variables!$B$5,B923&gt;VLOOKUP(I923,$C$3:$L$6,8,0)),IF(VLOOKUP(I923,$C$3:$L$6,5,0)=Variables!$B$5,((YEAR(B923)-YEAR($B$12))*12+MONTH(B923)-MONTH($B$12)),((YEAR(B923)-YEAR(VLOOKUP(I923,$C$3:$L$6,8,0)))*12+MONTH(B923)-MONTH(VLOOKUP(I923,$C$3:$L$6,8,0))))*VLOOKUP(I923,$C$3:$L$6,7,0),0)),""),"")</f>
        <v/>
      </c>
      <c r="L923" s="29" t="str">
        <f t="shared" ca="1" si="79"/>
        <v/>
      </c>
      <c r="M923" s="10"/>
      <c r="N923" s="10"/>
    </row>
    <row r="924" spans="1:14" x14ac:dyDescent="0.25">
      <c r="A924" s="10"/>
      <c r="B924" s="14" t="str">
        <f t="shared" ca="1" si="80"/>
        <v/>
      </c>
      <c r="C924" s="14" t="str">
        <f ca="1">IF(I923&lt;&gt;Variables!$B$1,IF(H923&lt;&gt;0,C923,I923),"")</f>
        <v/>
      </c>
      <c r="D924" s="29" t="str">
        <f t="shared" ref="D924:D987" ca="1" si="82">IF(C924&lt;&gt;"",IF(H923&lt;&gt;0,H923,L923),"")</f>
        <v/>
      </c>
      <c r="E924" s="29" t="str">
        <f t="shared" ref="E924:E987" ca="1" si="83">IF(C924&lt;&gt;"",MINPAYMENT(C924,ROW(B924),COLUMN(B924)),"")</f>
        <v/>
      </c>
      <c r="F924" s="29" t="str">
        <f ca="1">IF(C924&lt;&gt;"",IF(OR(VLOOKUP(C924,$C$3:$L$6,5,0)=Variables!$B$5,B924&gt;VLOOKUP(C924,$C$3:$L$6,8,0)),-D924*VLOOKUP(C924,$C$3:$L$6,6,0)/12,0),"")</f>
        <v/>
      </c>
      <c r="G924" s="29" t="str">
        <f ca="1">IF(I924&lt;&gt;Variables!$B$1,IF(C924&lt;&gt;"",$I$9-E924-F924,""),-D924)</f>
        <v/>
      </c>
      <c r="H924" s="29" t="str">
        <f t="shared" ca="1" si="81"/>
        <v/>
      </c>
      <c r="I924" s="31" t="str">
        <f ca="1">IF(C924&lt;&gt;"",IF(D924+$I$9-E924-F924&gt;=0,IF(ISERROR(INDEX($C$3:$C$6,MATCH(C924,$C$3:$C$6,0)+1,0)),Variables!$B$1,INDEX($C$3:$C$6,MATCH(C924,$C$3:$C$6,0)+1,0)),""),"")</f>
        <v/>
      </c>
      <c r="J924" s="29" t="str">
        <f ca="1">IF(ISERROR(VLOOKUP(I924,$C$3:$L$6,5,0)),"",IF(OR(VLOOKUP(I924,$C$3:$L$6,5,0)=Variables!$B$5,B924&gt;VLOOKUP(I924,$C$3:$L$6,8,0)),IF(VLOOKUP(I924,$C$3:$L$6,5,0)=Variables!$B$5,((YEAR(B924)-YEAR($B$12))*12+MONTH(B924)-MONTH($B$12)),((YEAR(B924)-YEAR(VLOOKUP(I924,$C$3:$L$6,8,0)))*12+MONTH(B924)-MONTH(VLOOKUP(I924,$C$3:$L$6,8,0))))*(VLOOKUP(I924,$C$3:$L$6,10,0)*VLOOKUP(I924,$C$3:$L$6,6,0)/12),0))</f>
        <v/>
      </c>
      <c r="K924" s="29" t="str">
        <f ca="1">IF(C924&lt;&gt;"",IF(I924&lt;&gt;"",IF(ISERROR(VLOOKUP(I924,$C$3:$L$6,10,0)),"",VLOOKUP(I924,$C$3:$L$6,10,0)+J924+IF(OR(VLOOKUP(I924,$C$3:$L$6,5,0)=Variables!$B$5,B924&gt;VLOOKUP(I924,$C$3:$L$6,8,0)),IF(VLOOKUP(I924,$C$3:$L$6,5,0)=Variables!$B$5,((YEAR(B924)-YEAR($B$12))*12+MONTH(B924)-MONTH($B$12)),((YEAR(B924)-YEAR(VLOOKUP(I924,$C$3:$L$6,8,0)))*12+MONTH(B924)-MONTH(VLOOKUP(I924,$C$3:$L$6,8,0))))*VLOOKUP(I924,$C$3:$L$6,7,0),0)),""),"")</f>
        <v/>
      </c>
      <c r="L924" s="29" t="str">
        <f t="shared" ref="L924:L987" ca="1" si="84">IF(C924&lt;&gt;"",IF(ISERROR(IF(D924+G924&gt;=0,K924+D924+G924,"")),"",IF(D924+G924&gt;=0,K924+D924+G924,"")),"")</f>
        <v/>
      </c>
      <c r="M924" s="10"/>
      <c r="N924" s="10"/>
    </row>
    <row r="925" spans="1:14" x14ac:dyDescent="0.25">
      <c r="A925" s="10"/>
      <c r="B925" s="14" t="str">
        <f t="shared" ref="B925:B988" ca="1" si="85">IF(C925&lt;&gt;"",DATE(YEAR(B924),MONTH(B924)+1,DAY(B924)),"")</f>
        <v/>
      </c>
      <c r="C925" s="14" t="str">
        <f ca="1">IF(I924&lt;&gt;Variables!$B$1,IF(H924&lt;&gt;0,C924,I924),"")</f>
        <v/>
      </c>
      <c r="D925" s="29" t="str">
        <f t="shared" ca="1" si="82"/>
        <v/>
      </c>
      <c r="E925" s="29" t="str">
        <f t="shared" ca="1" si="83"/>
        <v/>
      </c>
      <c r="F925" s="29" t="str">
        <f ca="1">IF(C925&lt;&gt;"",IF(OR(VLOOKUP(C925,$C$3:$L$6,5,0)=Variables!$B$5,B925&gt;VLOOKUP(C925,$C$3:$L$6,8,0)),-D925*VLOOKUP(C925,$C$3:$L$6,6,0)/12,0),"")</f>
        <v/>
      </c>
      <c r="G925" s="29" t="str">
        <f ca="1">IF(I925&lt;&gt;Variables!$B$1,IF(C925&lt;&gt;"",$I$9-E925-F925,""),-D925)</f>
        <v/>
      </c>
      <c r="H925" s="29" t="str">
        <f t="shared" ref="H925:H988" ca="1" si="86">IF(C925&lt;&gt;"",IF(D925+G925&lt;0,D925+G925,0),"")</f>
        <v/>
      </c>
      <c r="I925" s="31" t="str">
        <f ca="1">IF(C925&lt;&gt;"",IF(D925+$I$9-E925-F925&gt;=0,IF(ISERROR(INDEX($C$3:$C$6,MATCH(C925,$C$3:$C$6,0)+1,0)),Variables!$B$1,INDEX($C$3:$C$6,MATCH(C925,$C$3:$C$6,0)+1,0)),""),"")</f>
        <v/>
      </c>
      <c r="J925" s="29" t="str">
        <f ca="1">IF(ISERROR(VLOOKUP(I925,$C$3:$L$6,5,0)),"",IF(OR(VLOOKUP(I925,$C$3:$L$6,5,0)=Variables!$B$5,B925&gt;VLOOKUP(I925,$C$3:$L$6,8,0)),IF(VLOOKUP(I925,$C$3:$L$6,5,0)=Variables!$B$5,((YEAR(B925)-YEAR($B$12))*12+MONTH(B925)-MONTH($B$12)),((YEAR(B925)-YEAR(VLOOKUP(I925,$C$3:$L$6,8,0)))*12+MONTH(B925)-MONTH(VLOOKUP(I925,$C$3:$L$6,8,0))))*(VLOOKUP(I925,$C$3:$L$6,10,0)*VLOOKUP(I925,$C$3:$L$6,6,0)/12),0))</f>
        <v/>
      </c>
      <c r="K925" s="29" t="str">
        <f ca="1">IF(C925&lt;&gt;"",IF(I925&lt;&gt;"",IF(ISERROR(VLOOKUP(I925,$C$3:$L$6,10,0)),"",VLOOKUP(I925,$C$3:$L$6,10,0)+J925+IF(OR(VLOOKUP(I925,$C$3:$L$6,5,0)=Variables!$B$5,B925&gt;VLOOKUP(I925,$C$3:$L$6,8,0)),IF(VLOOKUP(I925,$C$3:$L$6,5,0)=Variables!$B$5,((YEAR(B925)-YEAR($B$12))*12+MONTH(B925)-MONTH($B$12)),((YEAR(B925)-YEAR(VLOOKUP(I925,$C$3:$L$6,8,0)))*12+MONTH(B925)-MONTH(VLOOKUP(I925,$C$3:$L$6,8,0))))*VLOOKUP(I925,$C$3:$L$6,7,0),0)),""),"")</f>
        <v/>
      </c>
      <c r="L925" s="29" t="str">
        <f t="shared" ca="1" si="84"/>
        <v/>
      </c>
      <c r="M925" s="10"/>
      <c r="N925" s="10"/>
    </row>
    <row r="926" spans="1:14" x14ac:dyDescent="0.25">
      <c r="A926" s="10"/>
      <c r="B926" s="14" t="str">
        <f t="shared" ca="1" si="85"/>
        <v/>
      </c>
      <c r="C926" s="14" t="str">
        <f ca="1">IF(I925&lt;&gt;Variables!$B$1,IF(H925&lt;&gt;0,C925,I925),"")</f>
        <v/>
      </c>
      <c r="D926" s="29" t="str">
        <f t="shared" ca="1" si="82"/>
        <v/>
      </c>
      <c r="E926" s="29" t="str">
        <f t="shared" ca="1" si="83"/>
        <v/>
      </c>
      <c r="F926" s="29" t="str">
        <f ca="1">IF(C926&lt;&gt;"",IF(OR(VLOOKUP(C926,$C$3:$L$6,5,0)=Variables!$B$5,B926&gt;VLOOKUP(C926,$C$3:$L$6,8,0)),-D926*VLOOKUP(C926,$C$3:$L$6,6,0)/12,0),"")</f>
        <v/>
      </c>
      <c r="G926" s="29" t="str">
        <f ca="1">IF(I926&lt;&gt;Variables!$B$1,IF(C926&lt;&gt;"",$I$9-E926-F926,""),-D926)</f>
        <v/>
      </c>
      <c r="H926" s="29" t="str">
        <f t="shared" ca="1" si="86"/>
        <v/>
      </c>
      <c r="I926" s="31" t="str">
        <f ca="1">IF(C926&lt;&gt;"",IF(D926+$I$9-E926-F926&gt;=0,IF(ISERROR(INDEX($C$3:$C$6,MATCH(C926,$C$3:$C$6,0)+1,0)),Variables!$B$1,INDEX($C$3:$C$6,MATCH(C926,$C$3:$C$6,0)+1,0)),""),"")</f>
        <v/>
      </c>
      <c r="J926" s="29" t="str">
        <f ca="1">IF(ISERROR(VLOOKUP(I926,$C$3:$L$6,5,0)),"",IF(OR(VLOOKUP(I926,$C$3:$L$6,5,0)=Variables!$B$5,B926&gt;VLOOKUP(I926,$C$3:$L$6,8,0)),IF(VLOOKUP(I926,$C$3:$L$6,5,0)=Variables!$B$5,((YEAR(B926)-YEAR($B$12))*12+MONTH(B926)-MONTH($B$12)),((YEAR(B926)-YEAR(VLOOKUP(I926,$C$3:$L$6,8,0)))*12+MONTH(B926)-MONTH(VLOOKUP(I926,$C$3:$L$6,8,0))))*(VLOOKUP(I926,$C$3:$L$6,10,0)*VLOOKUP(I926,$C$3:$L$6,6,0)/12),0))</f>
        <v/>
      </c>
      <c r="K926" s="29" t="str">
        <f ca="1">IF(C926&lt;&gt;"",IF(I926&lt;&gt;"",IF(ISERROR(VLOOKUP(I926,$C$3:$L$6,10,0)),"",VLOOKUP(I926,$C$3:$L$6,10,0)+J926+IF(OR(VLOOKUP(I926,$C$3:$L$6,5,0)=Variables!$B$5,B926&gt;VLOOKUP(I926,$C$3:$L$6,8,0)),IF(VLOOKUP(I926,$C$3:$L$6,5,0)=Variables!$B$5,((YEAR(B926)-YEAR($B$12))*12+MONTH(B926)-MONTH($B$12)),((YEAR(B926)-YEAR(VLOOKUP(I926,$C$3:$L$6,8,0)))*12+MONTH(B926)-MONTH(VLOOKUP(I926,$C$3:$L$6,8,0))))*VLOOKUP(I926,$C$3:$L$6,7,0),0)),""),"")</f>
        <v/>
      </c>
      <c r="L926" s="29" t="str">
        <f t="shared" ca="1" si="84"/>
        <v/>
      </c>
      <c r="M926" s="10"/>
      <c r="N926" s="10"/>
    </row>
    <row r="927" spans="1:14" x14ac:dyDescent="0.25">
      <c r="A927" s="10"/>
      <c r="B927" s="14" t="str">
        <f t="shared" ca="1" si="85"/>
        <v/>
      </c>
      <c r="C927" s="14" t="str">
        <f ca="1">IF(I926&lt;&gt;Variables!$B$1,IF(H926&lt;&gt;0,C926,I926),"")</f>
        <v/>
      </c>
      <c r="D927" s="29" t="str">
        <f t="shared" ca="1" si="82"/>
        <v/>
      </c>
      <c r="E927" s="29" t="str">
        <f t="shared" ca="1" si="83"/>
        <v/>
      </c>
      <c r="F927" s="29" t="str">
        <f ca="1">IF(C927&lt;&gt;"",IF(OR(VLOOKUP(C927,$C$3:$L$6,5,0)=Variables!$B$5,B927&gt;VLOOKUP(C927,$C$3:$L$6,8,0)),-D927*VLOOKUP(C927,$C$3:$L$6,6,0)/12,0),"")</f>
        <v/>
      </c>
      <c r="G927" s="29" t="str">
        <f ca="1">IF(I927&lt;&gt;Variables!$B$1,IF(C927&lt;&gt;"",$I$9-E927-F927,""),-D927)</f>
        <v/>
      </c>
      <c r="H927" s="29" t="str">
        <f t="shared" ca="1" si="86"/>
        <v/>
      </c>
      <c r="I927" s="31" t="str">
        <f ca="1">IF(C927&lt;&gt;"",IF(D927+$I$9-E927-F927&gt;=0,IF(ISERROR(INDEX($C$3:$C$6,MATCH(C927,$C$3:$C$6,0)+1,0)),Variables!$B$1,INDEX($C$3:$C$6,MATCH(C927,$C$3:$C$6,0)+1,0)),""),"")</f>
        <v/>
      </c>
      <c r="J927" s="29" t="str">
        <f ca="1">IF(ISERROR(VLOOKUP(I927,$C$3:$L$6,5,0)),"",IF(OR(VLOOKUP(I927,$C$3:$L$6,5,0)=Variables!$B$5,B927&gt;VLOOKUP(I927,$C$3:$L$6,8,0)),IF(VLOOKUP(I927,$C$3:$L$6,5,0)=Variables!$B$5,((YEAR(B927)-YEAR($B$12))*12+MONTH(B927)-MONTH($B$12)),((YEAR(B927)-YEAR(VLOOKUP(I927,$C$3:$L$6,8,0)))*12+MONTH(B927)-MONTH(VLOOKUP(I927,$C$3:$L$6,8,0))))*(VLOOKUP(I927,$C$3:$L$6,10,0)*VLOOKUP(I927,$C$3:$L$6,6,0)/12),0))</f>
        <v/>
      </c>
      <c r="K927" s="29" t="str">
        <f ca="1">IF(C927&lt;&gt;"",IF(I927&lt;&gt;"",IF(ISERROR(VLOOKUP(I927,$C$3:$L$6,10,0)),"",VLOOKUP(I927,$C$3:$L$6,10,0)+J927+IF(OR(VLOOKUP(I927,$C$3:$L$6,5,0)=Variables!$B$5,B927&gt;VLOOKUP(I927,$C$3:$L$6,8,0)),IF(VLOOKUP(I927,$C$3:$L$6,5,0)=Variables!$B$5,((YEAR(B927)-YEAR($B$12))*12+MONTH(B927)-MONTH($B$12)),((YEAR(B927)-YEAR(VLOOKUP(I927,$C$3:$L$6,8,0)))*12+MONTH(B927)-MONTH(VLOOKUP(I927,$C$3:$L$6,8,0))))*VLOOKUP(I927,$C$3:$L$6,7,0),0)),""),"")</f>
        <v/>
      </c>
      <c r="L927" s="29" t="str">
        <f t="shared" ca="1" si="84"/>
        <v/>
      </c>
      <c r="M927" s="10"/>
      <c r="N927" s="10"/>
    </row>
    <row r="928" spans="1:14" x14ac:dyDescent="0.25">
      <c r="A928" s="10"/>
      <c r="B928" s="14" t="str">
        <f t="shared" ca="1" si="85"/>
        <v/>
      </c>
      <c r="C928" s="14" t="str">
        <f ca="1">IF(I927&lt;&gt;Variables!$B$1,IF(H927&lt;&gt;0,C927,I927),"")</f>
        <v/>
      </c>
      <c r="D928" s="29" t="str">
        <f t="shared" ca="1" si="82"/>
        <v/>
      </c>
      <c r="E928" s="29" t="str">
        <f t="shared" ca="1" si="83"/>
        <v/>
      </c>
      <c r="F928" s="29" t="str">
        <f ca="1">IF(C928&lt;&gt;"",IF(OR(VLOOKUP(C928,$C$3:$L$6,5,0)=Variables!$B$5,B928&gt;VLOOKUP(C928,$C$3:$L$6,8,0)),-D928*VLOOKUP(C928,$C$3:$L$6,6,0)/12,0),"")</f>
        <v/>
      </c>
      <c r="G928" s="29" t="str">
        <f ca="1">IF(I928&lt;&gt;Variables!$B$1,IF(C928&lt;&gt;"",$I$9-E928-F928,""),-D928)</f>
        <v/>
      </c>
      <c r="H928" s="29" t="str">
        <f t="shared" ca="1" si="86"/>
        <v/>
      </c>
      <c r="I928" s="31" t="str">
        <f ca="1">IF(C928&lt;&gt;"",IF(D928+$I$9-E928-F928&gt;=0,IF(ISERROR(INDEX($C$3:$C$6,MATCH(C928,$C$3:$C$6,0)+1,0)),Variables!$B$1,INDEX($C$3:$C$6,MATCH(C928,$C$3:$C$6,0)+1,0)),""),"")</f>
        <v/>
      </c>
      <c r="J928" s="29" t="str">
        <f ca="1">IF(ISERROR(VLOOKUP(I928,$C$3:$L$6,5,0)),"",IF(OR(VLOOKUP(I928,$C$3:$L$6,5,0)=Variables!$B$5,B928&gt;VLOOKUP(I928,$C$3:$L$6,8,0)),IF(VLOOKUP(I928,$C$3:$L$6,5,0)=Variables!$B$5,((YEAR(B928)-YEAR($B$12))*12+MONTH(B928)-MONTH($B$12)),((YEAR(B928)-YEAR(VLOOKUP(I928,$C$3:$L$6,8,0)))*12+MONTH(B928)-MONTH(VLOOKUP(I928,$C$3:$L$6,8,0))))*(VLOOKUP(I928,$C$3:$L$6,10,0)*VLOOKUP(I928,$C$3:$L$6,6,0)/12),0))</f>
        <v/>
      </c>
      <c r="K928" s="29" t="str">
        <f ca="1">IF(C928&lt;&gt;"",IF(I928&lt;&gt;"",IF(ISERROR(VLOOKUP(I928,$C$3:$L$6,10,0)),"",VLOOKUP(I928,$C$3:$L$6,10,0)+J928+IF(OR(VLOOKUP(I928,$C$3:$L$6,5,0)=Variables!$B$5,B928&gt;VLOOKUP(I928,$C$3:$L$6,8,0)),IF(VLOOKUP(I928,$C$3:$L$6,5,0)=Variables!$B$5,((YEAR(B928)-YEAR($B$12))*12+MONTH(B928)-MONTH($B$12)),((YEAR(B928)-YEAR(VLOOKUP(I928,$C$3:$L$6,8,0)))*12+MONTH(B928)-MONTH(VLOOKUP(I928,$C$3:$L$6,8,0))))*VLOOKUP(I928,$C$3:$L$6,7,0),0)),""),"")</f>
        <v/>
      </c>
      <c r="L928" s="29" t="str">
        <f t="shared" ca="1" si="84"/>
        <v/>
      </c>
      <c r="M928" s="10"/>
      <c r="N928" s="10"/>
    </row>
    <row r="929" spans="1:14" x14ac:dyDescent="0.25">
      <c r="A929" s="10"/>
      <c r="B929" s="14" t="str">
        <f t="shared" ca="1" si="85"/>
        <v/>
      </c>
      <c r="C929" s="14" t="str">
        <f ca="1">IF(I928&lt;&gt;Variables!$B$1,IF(H928&lt;&gt;0,C928,I928),"")</f>
        <v/>
      </c>
      <c r="D929" s="29" t="str">
        <f t="shared" ca="1" si="82"/>
        <v/>
      </c>
      <c r="E929" s="29" t="str">
        <f t="shared" ca="1" si="83"/>
        <v/>
      </c>
      <c r="F929" s="29" t="str">
        <f ca="1">IF(C929&lt;&gt;"",IF(OR(VLOOKUP(C929,$C$3:$L$6,5,0)=Variables!$B$5,B929&gt;VLOOKUP(C929,$C$3:$L$6,8,0)),-D929*VLOOKUP(C929,$C$3:$L$6,6,0)/12,0),"")</f>
        <v/>
      </c>
      <c r="G929" s="29" t="str">
        <f ca="1">IF(I929&lt;&gt;Variables!$B$1,IF(C929&lt;&gt;"",$I$9-E929-F929,""),-D929)</f>
        <v/>
      </c>
      <c r="H929" s="29" t="str">
        <f t="shared" ca="1" si="86"/>
        <v/>
      </c>
      <c r="I929" s="31" t="str">
        <f ca="1">IF(C929&lt;&gt;"",IF(D929+$I$9-E929-F929&gt;=0,IF(ISERROR(INDEX($C$3:$C$6,MATCH(C929,$C$3:$C$6,0)+1,0)),Variables!$B$1,INDEX($C$3:$C$6,MATCH(C929,$C$3:$C$6,0)+1,0)),""),"")</f>
        <v/>
      </c>
      <c r="J929" s="29" t="str">
        <f ca="1">IF(ISERROR(VLOOKUP(I929,$C$3:$L$6,5,0)),"",IF(OR(VLOOKUP(I929,$C$3:$L$6,5,0)=Variables!$B$5,B929&gt;VLOOKUP(I929,$C$3:$L$6,8,0)),IF(VLOOKUP(I929,$C$3:$L$6,5,0)=Variables!$B$5,((YEAR(B929)-YEAR($B$12))*12+MONTH(B929)-MONTH($B$12)),((YEAR(B929)-YEAR(VLOOKUP(I929,$C$3:$L$6,8,0)))*12+MONTH(B929)-MONTH(VLOOKUP(I929,$C$3:$L$6,8,0))))*(VLOOKUP(I929,$C$3:$L$6,10,0)*VLOOKUP(I929,$C$3:$L$6,6,0)/12),0))</f>
        <v/>
      </c>
      <c r="K929" s="29" t="str">
        <f ca="1">IF(C929&lt;&gt;"",IF(I929&lt;&gt;"",IF(ISERROR(VLOOKUP(I929,$C$3:$L$6,10,0)),"",VLOOKUP(I929,$C$3:$L$6,10,0)+J929+IF(OR(VLOOKUP(I929,$C$3:$L$6,5,0)=Variables!$B$5,B929&gt;VLOOKUP(I929,$C$3:$L$6,8,0)),IF(VLOOKUP(I929,$C$3:$L$6,5,0)=Variables!$B$5,((YEAR(B929)-YEAR($B$12))*12+MONTH(B929)-MONTH($B$12)),((YEAR(B929)-YEAR(VLOOKUP(I929,$C$3:$L$6,8,0)))*12+MONTH(B929)-MONTH(VLOOKUP(I929,$C$3:$L$6,8,0))))*VLOOKUP(I929,$C$3:$L$6,7,0),0)),""),"")</f>
        <v/>
      </c>
      <c r="L929" s="29" t="str">
        <f t="shared" ca="1" si="84"/>
        <v/>
      </c>
      <c r="M929" s="10"/>
      <c r="N929" s="10"/>
    </row>
    <row r="930" spans="1:14" x14ac:dyDescent="0.25">
      <c r="A930" s="10"/>
      <c r="B930" s="14" t="str">
        <f t="shared" ca="1" si="85"/>
        <v/>
      </c>
      <c r="C930" s="14" t="str">
        <f ca="1">IF(I929&lt;&gt;Variables!$B$1,IF(H929&lt;&gt;0,C929,I929),"")</f>
        <v/>
      </c>
      <c r="D930" s="29" t="str">
        <f t="shared" ca="1" si="82"/>
        <v/>
      </c>
      <c r="E930" s="29" t="str">
        <f t="shared" ca="1" si="83"/>
        <v/>
      </c>
      <c r="F930" s="29" t="str">
        <f ca="1">IF(C930&lt;&gt;"",IF(OR(VLOOKUP(C930,$C$3:$L$6,5,0)=Variables!$B$5,B930&gt;VLOOKUP(C930,$C$3:$L$6,8,0)),-D930*VLOOKUP(C930,$C$3:$L$6,6,0)/12,0),"")</f>
        <v/>
      </c>
      <c r="G930" s="29" t="str">
        <f ca="1">IF(I930&lt;&gt;Variables!$B$1,IF(C930&lt;&gt;"",$I$9-E930-F930,""),-D930)</f>
        <v/>
      </c>
      <c r="H930" s="29" t="str">
        <f t="shared" ca="1" si="86"/>
        <v/>
      </c>
      <c r="I930" s="31" t="str">
        <f ca="1">IF(C930&lt;&gt;"",IF(D930+$I$9-E930-F930&gt;=0,IF(ISERROR(INDEX($C$3:$C$6,MATCH(C930,$C$3:$C$6,0)+1,0)),Variables!$B$1,INDEX($C$3:$C$6,MATCH(C930,$C$3:$C$6,0)+1,0)),""),"")</f>
        <v/>
      </c>
      <c r="J930" s="29" t="str">
        <f ca="1">IF(ISERROR(VLOOKUP(I930,$C$3:$L$6,5,0)),"",IF(OR(VLOOKUP(I930,$C$3:$L$6,5,0)=Variables!$B$5,B930&gt;VLOOKUP(I930,$C$3:$L$6,8,0)),IF(VLOOKUP(I930,$C$3:$L$6,5,0)=Variables!$B$5,((YEAR(B930)-YEAR($B$12))*12+MONTH(B930)-MONTH($B$12)),((YEAR(B930)-YEAR(VLOOKUP(I930,$C$3:$L$6,8,0)))*12+MONTH(B930)-MONTH(VLOOKUP(I930,$C$3:$L$6,8,0))))*(VLOOKUP(I930,$C$3:$L$6,10,0)*VLOOKUP(I930,$C$3:$L$6,6,0)/12),0))</f>
        <v/>
      </c>
      <c r="K930" s="29" t="str">
        <f ca="1">IF(C930&lt;&gt;"",IF(I930&lt;&gt;"",IF(ISERROR(VLOOKUP(I930,$C$3:$L$6,10,0)),"",VLOOKUP(I930,$C$3:$L$6,10,0)+J930+IF(OR(VLOOKUP(I930,$C$3:$L$6,5,0)=Variables!$B$5,B930&gt;VLOOKUP(I930,$C$3:$L$6,8,0)),IF(VLOOKUP(I930,$C$3:$L$6,5,0)=Variables!$B$5,((YEAR(B930)-YEAR($B$12))*12+MONTH(B930)-MONTH($B$12)),((YEAR(B930)-YEAR(VLOOKUP(I930,$C$3:$L$6,8,0)))*12+MONTH(B930)-MONTH(VLOOKUP(I930,$C$3:$L$6,8,0))))*VLOOKUP(I930,$C$3:$L$6,7,0),0)),""),"")</f>
        <v/>
      </c>
      <c r="L930" s="29" t="str">
        <f t="shared" ca="1" si="84"/>
        <v/>
      </c>
      <c r="M930" s="10"/>
      <c r="N930" s="10"/>
    </row>
    <row r="931" spans="1:14" x14ac:dyDescent="0.25">
      <c r="A931" s="10"/>
      <c r="B931" s="14" t="str">
        <f t="shared" ca="1" si="85"/>
        <v/>
      </c>
      <c r="C931" s="14" t="str">
        <f ca="1">IF(I930&lt;&gt;Variables!$B$1,IF(H930&lt;&gt;0,C930,I930),"")</f>
        <v/>
      </c>
      <c r="D931" s="29" t="str">
        <f t="shared" ca="1" si="82"/>
        <v/>
      </c>
      <c r="E931" s="29" t="str">
        <f t="shared" ca="1" si="83"/>
        <v/>
      </c>
      <c r="F931" s="29" t="str">
        <f ca="1">IF(C931&lt;&gt;"",IF(OR(VLOOKUP(C931,$C$3:$L$6,5,0)=Variables!$B$5,B931&gt;VLOOKUP(C931,$C$3:$L$6,8,0)),-D931*VLOOKUP(C931,$C$3:$L$6,6,0)/12,0),"")</f>
        <v/>
      </c>
      <c r="G931" s="29" t="str">
        <f ca="1">IF(I931&lt;&gt;Variables!$B$1,IF(C931&lt;&gt;"",$I$9-E931-F931,""),-D931)</f>
        <v/>
      </c>
      <c r="H931" s="29" t="str">
        <f t="shared" ca="1" si="86"/>
        <v/>
      </c>
      <c r="I931" s="31" t="str">
        <f ca="1">IF(C931&lt;&gt;"",IF(D931+$I$9-E931-F931&gt;=0,IF(ISERROR(INDEX($C$3:$C$6,MATCH(C931,$C$3:$C$6,0)+1,0)),Variables!$B$1,INDEX($C$3:$C$6,MATCH(C931,$C$3:$C$6,0)+1,0)),""),"")</f>
        <v/>
      </c>
      <c r="J931" s="29" t="str">
        <f ca="1">IF(ISERROR(VLOOKUP(I931,$C$3:$L$6,5,0)),"",IF(OR(VLOOKUP(I931,$C$3:$L$6,5,0)=Variables!$B$5,B931&gt;VLOOKUP(I931,$C$3:$L$6,8,0)),IF(VLOOKUP(I931,$C$3:$L$6,5,0)=Variables!$B$5,((YEAR(B931)-YEAR($B$12))*12+MONTH(B931)-MONTH($B$12)),((YEAR(B931)-YEAR(VLOOKUP(I931,$C$3:$L$6,8,0)))*12+MONTH(B931)-MONTH(VLOOKUP(I931,$C$3:$L$6,8,0))))*(VLOOKUP(I931,$C$3:$L$6,10,0)*VLOOKUP(I931,$C$3:$L$6,6,0)/12),0))</f>
        <v/>
      </c>
      <c r="K931" s="29" t="str">
        <f ca="1">IF(C931&lt;&gt;"",IF(I931&lt;&gt;"",IF(ISERROR(VLOOKUP(I931,$C$3:$L$6,10,0)),"",VLOOKUP(I931,$C$3:$L$6,10,0)+J931+IF(OR(VLOOKUP(I931,$C$3:$L$6,5,0)=Variables!$B$5,B931&gt;VLOOKUP(I931,$C$3:$L$6,8,0)),IF(VLOOKUP(I931,$C$3:$L$6,5,0)=Variables!$B$5,((YEAR(B931)-YEAR($B$12))*12+MONTH(B931)-MONTH($B$12)),((YEAR(B931)-YEAR(VLOOKUP(I931,$C$3:$L$6,8,0)))*12+MONTH(B931)-MONTH(VLOOKUP(I931,$C$3:$L$6,8,0))))*VLOOKUP(I931,$C$3:$L$6,7,0),0)),""),"")</f>
        <v/>
      </c>
      <c r="L931" s="29" t="str">
        <f t="shared" ca="1" si="84"/>
        <v/>
      </c>
      <c r="M931" s="10"/>
      <c r="N931" s="10"/>
    </row>
    <row r="932" spans="1:14" x14ac:dyDescent="0.25">
      <c r="A932" s="10"/>
      <c r="B932" s="14" t="str">
        <f t="shared" ca="1" si="85"/>
        <v/>
      </c>
      <c r="C932" s="14" t="str">
        <f ca="1">IF(I931&lt;&gt;Variables!$B$1,IF(H931&lt;&gt;0,C931,I931),"")</f>
        <v/>
      </c>
      <c r="D932" s="29" t="str">
        <f t="shared" ca="1" si="82"/>
        <v/>
      </c>
      <c r="E932" s="29" t="str">
        <f t="shared" ca="1" si="83"/>
        <v/>
      </c>
      <c r="F932" s="29" t="str">
        <f ca="1">IF(C932&lt;&gt;"",IF(OR(VLOOKUP(C932,$C$3:$L$6,5,0)=Variables!$B$5,B932&gt;VLOOKUP(C932,$C$3:$L$6,8,0)),-D932*VLOOKUP(C932,$C$3:$L$6,6,0)/12,0),"")</f>
        <v/>
      </c>
      <c r="G932" s="29" t="str">
        <f ca="1">IF(I932&lt;&gt;Variables!$B$1,IF(C932&lt;&gt;"",$I$9-E932-F932,""),-D932)</f>
        <v/>
      </c>
      <c r="H932" s="29" t="str">
        <f t="shared" ca="1" si="86"/>
        <v/>
      </c>
      <c r="I932" s="31" t="str">
        <f ca="1">IF(C932&lt;&gt;"",IF(D932+$I$9-E932-F932&gt;=0,IF(ISERROR(INDEX($C$3:$C$6,MATCH(C932,$C$3:$C$6,0)+1,0)),Variables!$B$1,INDEX($C$3:$C$6,MATCH(C932,$C$3:$C$6,0)+1,0)),""),"")</f>
        <v/>
      </c>
      <c r="J932" s="29" t="str">
        <f ca="1">IF(ISERROR(VLOOKUP(I932,$C$3:$L$6,5,0)),"",IF(OR(VLOOKUP(I932,$C$3:$L$6,5,0)=Variables!$B$5,B932&gt;VLOOKUP(I932,$C$3:$L$6,8,0)),IF(VLOOKUP(I932,$C$3:$L$6,5,0)=Variables!$B$5,((YEAR(B932)-YEAR($B$12))*12+MONTH(B932)-MONTH($B$12)),((YEAR(B932)-YEAR(VLOOKUP(I932,$C$3:$L$6,8,0)))*12+MONTH(B932)-MONTH(VLOOKUP(I932,$C$3:$L$6,8,0))))*(VLOOKUP(I932,$C$3:$L$6,10,0)*VLOOKUP(I932,$C$3:$L$6,6,0)/12),0))</f>
        <v/>
      </c>
      <c r="K932" s="29" t="str">
        <f ca="1">IF(C932&lt;&gt;"",IF(I932&lt;&gt;"",IF(ISERROR(VLOOKUP(I932,$C$3:$L$6,10,0)),"",VLOOKUP(I932,$C$3:$L$6,10,0)+J932+IF(OR(VLOOKUP(I932,$C$3:$L$6,5,0)=Variables!$B$5,B932&gt;VLOOKUP(I932,$C$3:$L$6,8,0)),IF(VLOOKUP(I932,$C$3:$L$6,5,0)=Variables!$B$5,((YEAR(B932)-YEAR($B$12))*12+MONTH(B932)-MONTH($B$12)),((YEAR(B932)-YEAR(VLOOKUP(I932,$C$3:$L$6,8,0)))*12+MONTH(B932)-MONTH(VLOOKUP(I932,$C$3:$L$6,8,0))))*VLOOKUP(I932,$C$3:$L$6,7,0),0)),""),"")</f>
        <v/>
      </c>
      <c r="L932" s="29" t="str">
        <f t="shared" ca="1" si="84"/>
        <v/>
      </c>
      <c r="M932" s="10"/>
      <c r="N932" s="10"/>
    </row>
    <row r="933" spans="1:14" x14ac:dyDescent="0.25">
      <c r="A933" s="10"/>
      <c r="B933" s="14" t="str">
        <f t="shared" ca="1" si="85"/>
        <v/>
      </c>
      <c r="C933" s="14" t="str">
        <f ca="1">IF(I932&lt;&gt;Variables!$B$1,IF(H932&lt;&gt;0,C932,I932),"")</f>
        <v/>
      </c>
      <c r="D933" s="29" t="str">
        <f t="shared" ca="1" si="82"/>
        <v/>
      </c>
      <c r="E933" s="29" t="str">
        <f t="shared" ca="1" si="83"/>
        <v/>
      </c>
      <c r="F933" s="29" t="str">
        <f ca="1">IF(C933&lt;&gt;"",IF(OR(VLOOKUP(C933,$C$3:$L$6,5,0)=Variables!$B$5,B933&gt;VLOOKUP(C933,$C$3:$L$6,8,0)),-D933*VLOOKUP(C933,$C$3:$L$6,6,0)/12,0),"")</f>
        <v/>
      </c>
      <c r="G933" s="29" t="str">
        <f ca="1">IF(I933&lt;&gt;Variables!$B$1,IF(C933&lt;&gt;"",$I$9-E933-F933,""),-D933)</f>
        <v/>
      </c>
      <c r="H933" s="29" t="str">
        <f t="shared" ca="1" si="86"/>
        <v/>
      </c>
      <c r="I933" s="31" t="str">
        <f ca="1">IF(C933&lt;&gt;"",IF(D933+$I$9-E933-F933&gt;=0,IF(ISERROR(INDEX($C$3:$C$6,MATCH(C933,$C$3:$C$6,0)+1,0)),Variables!$B$1,INDEX($C$3:$C$6,MATCH(C933,$C$3:$C$6,0)+1,0)),""),"")</f>
        <v/>
      </c>
      <c r="J933" s="29" t="str">
        <f ca="1">IF(ISERROR(VLOOKUP(I933,$C$3:$L$6,5,0)),"",IF(OR(VLOOKUP(I933,$C$3:$L$6,5,0)=Variables!$B$5,B933&gt;VLOOKUP(I933,$C$3:$L$6,8,0)),IF(VLOOKUP(I933,$C$3:$L$6,5,0)=Variables!$B$5,((YEAR(B933)-YEAR($B$12))*12+MONTH(B933)-MONTH($B$12)),((YEAR(B933)-YEAR(VLOOKUP(I933,$C$3:$L$6,8,0)))*12+MONTH(B933)-MONTH(VLOOKUP(I933,$C$3:$L$6,8,0))))*(VLOOKUP(I933,$C$3:$L$6,10,0)*VLOOKUP(I933,$C$3:$L$6,6,0)/12),0))</f>
        <v/>
      </c>
      <c r="K933" s="29" t="str">
        <f ca="1">IF(C933&lt;&gt;"",IF(I933&lt;&gt;"",IF(ISERROR(VLOOKUP(I933,$C$3:$L$6,10,0)),"",VLOOKUP(I933,$C$3:$L$6,10,0)+J933+IF(OR(VLOOKUP(I933,$C$3:$L$6,5,0)=Variables!$B$5,B933&gt;VLOOKUP(I933,$C$3:$L$6,8,0)),IF(VLOOKUP(I933,$C$3:$L$6,5,0)=Variables!$B$5,((YEAR(B933)-YEAR($B$12))*12+MONTH(B933)-MONTH($B$12)),((YEAR(B933)-YEAR(VLOOKUP(I933,$C$3:$L$6,8,0)))*12+MONTH(B933)-MONTH(VLOOKUP(I933,$C$3:$L$6,8,0))))*VLOOKUP(I933,$C$3:$L$6,7,0),0)),""),"")</f>
        <v/>
      </c>
      <c r="L933" s="29" t="str">
        <f t="shared" ca="1" si="84"/>
        <v/>
      </c>
      <c r="M933" s="10"/>
      <c r="N933" s="10"/>
    </row>
    <row r="934" spans="1:14" x14ac:dyDescent="0.25">
      <c r="A934" s="10"/>
      <c r="B934" s="14" t="str">
        <f t="shared" ca="1" si="85"/>
        <v/>
      </c>
      <c r="C934" s="14" t="str">
        <f ca="1">IF(I933&lt;&gt;Variables!$B$1,IF(H933&lt;&gt;0,C933,I933),"")</f>
        <v/>
      </c>
      <c r="D934" s="29" t="str">
        <f t="shared" ca="1" si="82"/>
        <v/>
      </c>
      <c r="E934" s="29" t="str">
        <f t="shared" ca="1" si="83"/>
        <v/>
      </c>
      <c r="F934" s="29" t="str">
        <f ca="1">IF(C934&lt;&gt;"",IF(OR(VLOOKUP(C934,$C$3:$L$6,5,0)=Variables!$B$5,B934&gt;VLOOKUP(C934,$C$3:$L$6,8,0)),-D934*VLOOKUP(C934,$C$3:$L$6,6,0)/12,0),"")</f>
        <v/>
      </c>
      <c r="G934" s="29" t="str">
        <f ca="1">IF(I934&lt;&gt;Variables!$B$1,IF(C934&lt;&gt;"",$I$9-E934-F934,""),-D934)</f>
        <v/>
      </c>
      <c r="H934" s="29" t="str">
        <f t="shared" ca="1" si="86"/>
        <v/>
      </c>
      <c r="I934" s="31" t="str">
        <f ca="1">IF(C934&lt;&gt;"",IF(D934+$I$9-E934-F934&gt;=0,IF(ISERROR(INDEX($C$3:$C$6,MATCH(C934,$C$3:$C$6,0)+1,0)),Variables!$B$1,INDEX($C$3:$C$6,MATCH(C934,$C$3:$C$6,0)+1,0)),""),"")</f>
        <v/>
      </c>
      <c r="J934" s="29" t="str">
        <f ca="1">IF(ISERROR(VLOOKUP(I934,$C$3:$L$6,5,0)),"",IF(OR(VLOOKUP(I934,$C$3:$L$6,5,0)=Variables!$B$5,B934&gt;VLOOKUP(I934,$C$3:$L$6,8,0)),IF(VLOOKUP(I934,$C$3:$L$6,5,0)=Variables!$B$5,((YEAR(B934)-YEAR($B$12))*12+MONTH(B934)-MONTH($B$12)),((YEAR(B934)-YEAR(VLOOKUP(I934,$C$3:$L$6,8,0)))*12+MONTH(B934)-MONTH(VLOOKUP(I934,$C$3:$L$6,8,0))))*(VLOOKUP(I934,$C$3:$L$6,10,0)*VLOOKUP(I934,$C$3:$L$6,6,0)/12),0))</f>
        <v/>
      </c>
      <c r="K934" s="29" t="str">
        <f ca="1">IF(C934&lt;&gt;"",IF(I934&lt;&gt;"",IF(ISERROR(VLOOKUP(I934,$C$3:$L$6,10,0)),"",VLOOKUP(I934,$C$3:$L$6,10,0)+J934+IF(OR(VLOOKUP(I934,$C$3:$L$6,5,0)=Variables!$B$5,B934&gt;VLOOKUP(I934,$C$3:$L$6,8,0)),IF(VLOOKUP(I934,$C$3:$L$6,5,0)=Variables!$B$5,((YEAR(B934)-YEAR($B$12))*12+MONTH(B934)-MONTH($B$12)),((YEAR(B934)-YEAR(VLOOKUP(I934,$C$3:$L$6,8,0)))*12+MONTH(B934)-MONTH(VLOOKUP(I934,$C$3:$L$6,8,0))))*VLOOKUP(I934,$C$3:$L$6,7,0),0)),""),"")</f>
        <v/>
      </c>
      <c r="L934" s="29" t="str">
        <f t="shared" ca="1" si="84"/>
        <v/>
      </c>
      <c r="M934" s="10"/>
      <c r="N934" s="10"/>
    </row>
    <row r="935" spans="1:14" x14ac:dyDescent="0.25">
      <c r="A935" s="10"/>
      <c r="B935" s="14" t="str">
        <f t="shared" ca="1" si="85"/>
        <v/>
      </c>
      <c r="C935" s="14" t="str">
        <f ca="1">IF(I934&lt;&gt;Variables!$B$1,IF(H934&lt;&gt;0,C934,I934),"")</f>
        <v/>
      </c>
      <c r="D935" s="29" t="str">
        <f t="shared" ca="1" si="82"/>
        <v/>
      </c>
      <c r="E935" s="29" t="str">
        <f t="shared" ca="1" si="83"/>
        <v/>
      </c>
      <c r="F935" s="29" t="str">
        <f ca="1">IF(C935&lt;&gt;"",IF(OR(VLOOKUP(C935,$C$3:$L$6,5,0)=Variables!$B$5,B935&gt;VLOOKUP(C935,$C$3:$L$6,8,0)),-D935*VLOOKUP(C935,$C$3:$L$6,6,0)/12,0),"")</f>
        <v/>
      </c>
      <c r="G935" s="29" t="str">
        <f ca="1">IF(I935&lt;&gt;Variables!$B$1,IF(C935&lt;&gt;"",$I$9-E935-F935,""),-D935)</f>
        <v/>
      </c>
      <c r="H935" s="29" t="str">
        <f t="shared" ca="1" si="86"/>
        <v/>
      </c>
      <c r="I935" s="31" t="str">
        <f ca="1">IF(C935&lt;&gt;"",IF(D935+$I$9-E935-F935&gt;=0,IF(ISERROR(INDEX($C$3:$C$6,MATCH(C935,$C$3:$C$6,0)+1,0)),Variables!$B$1,INDEX($C$3:$C$6,MATCH(C935,$C$3:$C$6,0)+1,0)),""),"")</f>
        <v/>
      </c>
      <c r="J935" s="29" t="str">
        <f ca="1">IF(ISERROR(VLOOKUP(I935,$C$3:$L$6,5,0)),"",IF(OR(VLOOKUP(I935,$C$3:$L$6,5,0)=Variables!$B$5,B935&gt;VLOOKUP(I935,$C$3:$L$6,8,0)),IF(VLOOKUP(I935,$C$3:$L$6,5,0)=Variables!$B$5,((YEAR(B935)-YEAR($B$12))*12+MONTH(B935)-MONTH($B$12)),((YEAR(B935)-YEAR(VLOOKUP(I935,$C$3:$L$6,8,0)))*12+MONTH(B935)-MONTH(VLOOKUP(I935,$C$3:$L$6,8,0))))*(VLOOKUP(I935,$C$3:$L$6,10,0)*VLOOKUP(I935,$C$3:$L$6,6,0)/12),0))</f>
        <v/>
      </c>
      <c r="K935" s="29" t="str">
        <f ca="1">IF(C935&lt;&gt;"",IF(I935&lt;&gt;"",IF(ISERROR(VLOOKUP(I935,$C$3:$L$6,10,0)),"",VLOOKUP(I935,$C$3:$L$6,10,0)+J935+IF(OR(VLOOKUP(I935,$C$3:$L$6,5,0)=Variables!$B$5,B935&gt;VLOOKUP(I935,$C$3:$L$6,8,0)),IF(VLOOKUP(I935,$C$3:$L$6,5,0)=Variables!$B$5,((YEAR(B935)-YEAR($B$12))*12+MONTH(B935)-MONTH($B$12)),((YEAR(B935)-YEAR(VLOOKUP(I935,$C$3:$L$6,8,0)))*12+MONTH(B935)-MONTH(VLOOKUP(I935,$C$3:$L$6,8,0))))*VLOOKUP(I935,$C$3:$L$6,7,0),0)),""),"")</f>
        <v/>
      </c>
      <c r="L935" s="29" t="str">
        <f t="shared" ca="1" si="84"/>
        <v/>
      </c>
      <c r="M935" s="10"/>
      <c r="N935" s="10"/>
    </row>
    <row r="936" spans="1:14" x14ac:dyDescent="0.25">
      <c r="A936" s="10"/>
      <c r="B936" s="14" t="str">
        <f t="shared" ca="1" si="85"/>
        <v/>
      </c>
      <c r="C936" s="14" t="str">
        <f ca="1">IF(I935&lt;&gt;Variables!$B$1,IF(H935&lt;&gt;0,C935,I935),"")</f>
        <v/>
      </c>
      <c r="D936" s="29" t="str">
        <f t="shared" ca="1" si="82"/>
        <v/>
      </c>
      <c r="E936" s="29" t="str">
        <f t="shared" ca="1" si="83"/>
        <v/>
      </c>
      <c r="F936" s="29" t="str">
        <f ca="1">IF(C936&lt;&gt;"",IF(OR(VLOOKUP(C936,$C$3:$L$6,5,0)=Variables!$B$5,B936&gt;VLOOKUP(C936,$C$3:$L$6,8,0)),-D936*VLOOKUP(C936,$C$3:$L$6,6,0)/12,0),"")</f>
        <v/>
      </c>
      <c r="G936" s="29" t="str">
        <f ca="1">IF(I936&lt;&gt;Variables!$B$1,IF(C936&lt;&gt;"",$I$9-E936-F936,""),-D936)</f>
        <v/>
      </c>
      <c r="H936" s="29" t="str">
        <f t="shared" ca="1" si="86"/>
        <v/>
      </c>
      <c r="I936" s="31" t="str">
        <f ca="1">IF(C936&lt;&gt;"",IF(D936+$I$9-E936-F936&gt;=0,IF(ISERROR(INDEX($C$3:$C$6,MATCH(C936,$C$3:$C$6,0)+1,0)),Variables!$B$1,INDEX($C$3:$C$6,MATCH(C936,$C$3:$C$6,0)+1,0)),""),"")</f>
        <v/>
      </c>
      <c r="J936" s="29" t="str">
        <f ca="1">IF(ISERROR(VLOOKUP(I936,$C$3:$L$6,5,0)),"",IF(OR(VLOOKUP(I936,$C$3:$L$6,5,0)=Variables!$B$5,B936&gt;VLOOKUP(I936,$C$3:$L$6,8,0)),IF(VLOOKUP(I936,$C$3:$L$6,5,0)=Variables!$B$5,((YEAR(B936)-YEAR($B$12))*12+MONTH(B936)-MONTH($B$12)),((YEAR(B936)-YEAR(VLOOKUP(I936,$C$3:$L$6,8,0)))*12+MONTH(B936)-MONTH(VLOOKUP(I936,$C$3:$L$6,8,0))))*(VLOOKUP(I936,$C$3:$L$6,10,0)*VLOOKUP(I936,$C$3:$L$6,6,0)/12),0))</f>
        <v/>
      </c>
      <c r="K936" s="29" t="str">
        <f ca="1">IF(C936&lt;&gt;"",IF(I936&lt;&gt;"",IF(ISERROR(VLOOKUP(I936,$C$3:$L$6,10,0)),"",VLOOKUP(I936,$C$3:$L$6,10,0)+J936+IF(OR(VLOOKUP(I936,$C$3:$L$6,5,0)=Variables!$B$5,B936&gt;VLOOKUP(I936,$C$3:$L$6,8,0)),IF(VLOOKUP(I936,$C$3:$L$6,5,0)=Variables!$B$5,((YEAR(B936)-YEAR($B$12))*12+MONTH(B936)-MONTH($B$12)),((YEAR(B936)-YEAR(VLOOKUP(I936,$C$3:$L$6,8,0)))*12+MONTH(B936)-MONTH(VLOOKUP(I936,$C$3:$L$6,8,0))))*VLOOKUP(I936,$C$3:$L$6,7,0),0)),""),"")</f>
        <v/>
      </c>
      <c r="L936" s="29" t="str">
        <f t="shared" ca="1" si="84"/>
        <v/>
      </c>
      <c r="M936" s="10"/>
      <c r="N936" s="10"/>
    </row>
    <row r="937" spans="1:14" x14ac:dyDescent="0.25">
      <c r="A937" s="10"/>
      <c r="B937" s="14" t="str">
        <f t="shared" ca="1" si="85"/>
        <v/>
      </c>
      <c r="C937" s="14" t="str">
        <f ca="1">IF(I936&lt;&gt;Variables!$B$1,IF(H936&lt;&gt;0,C936,I936),"")</f>
        <v/>
      </c>
      <c r="D937" s="29" t="str">
        <f t="shared" ca="1" si="82"/>
        <v/>
      </c>
      <c r="E937" s="29" t="str">
        <f t="shared" ca="1" si="83"/>
        <v/>
      </c>
      <c r="F937" s="29" t="str">
        <f ca="1">IF(C937&lt;&gt;"",IF(OR(VLOOKUP(C937,$C$3:$L$6,5,0)=Variables!$B$5,B937&gt;VLOOKUP(C937,$C$3:$L$6,8,0)),-D937*VLOOKUP(C937,$C$3:$L$6,6,0)/12,0),"")</f>
        <v/>
      </c>
      <c r="G937" s="29" t="str">
        <f ca="1">IF(I937&lt;&gt;Variables!$B$1,IF(C937&lt;&gt;"",$I$9-E937-F937,""),-D937)</f>
        <v/>
      </c>
      <c r="H937" s="29" t="str">
        <f t="shared" ca="1" si="86"/>
        <v/>
      </c>
      <c r="I937" s="31" t="str">
        <f ca="1">IF(C937&lt;&gt;"",IF(D937+$I$9-E937-F937&gt;=0,IF(ISERROR(INDEX($C$3:$C$6,MATCH(C937,$C$3:$C$6,0)+1,0)),Variables!$B$1,INDEX($C$3:$C$6,MATCH(C937,$C$3:$C$6,0)+1,0)),""),"")</f>
        <v/>
      </c>
      <c r="J937" s="29" t="str">
        <f ca="1">IF(ISERROR(VLOOKUP(I937,$C$3:$L$6,5,0)),"",IF(OR(VLOOKUP(I937,$C$3:$L$6,5,0)=Variables!$B$5,B937&gt;VLOOKUP(I937,$C$3:$L$6,8,0)),IF(VLOOKUP(I937,$C$3:$L$6,5,0)=Variables!$B$5,((YEAR(B937)-YEAR($B$12))*12+MONTH(B937)-MONTH($B$12)),((YEAR(B937)-YEAR(VLOOKUP(I937,$C$3:$L$6,8,0)))*12+MONTH(B937)-MONTH(VLOOKUP(I937,$C$3:$L$6,8,0))))*(VLOOKUP(I937,$C$3:$L$6,10,0)*VLOOKUP(I937,$C$3:$L$6,6,0)/12),0))</f>
        <v/>
      </c>
      <c r="K937" s="29" t="str">
        <f ca="1">IF(C937&lt;&gt;"",IF(I937&lt;&gt;"",IF(ISERROR(VLOOKUP(I937,$C$3:$L$6,10,0)),"",VLOOKUP(I937,$C$3:$L$6,10,0)+J937+IF(OR(VLOOKUP(I937,$C$3:$L$6,5,0)=Variables!$B$5,B937&gt;VLOOKUP(I937,$C$3:$L$6,8,0)),IF(VLOOKUP(I937,$C$3:$L$6,5,0)=Variables!$B$5,((YEAR(B937)-YEAR($B$12))*12+MONTH(B937)-MONTH($B$12)),((YEAR(B937)-YEAR(VLOOKUP(I937,$C$3:$L$6,8,0)))*12+MONTH(B937)-MONTH(VLOOKUP(I937,$C$3:$L$6,8,0))))*VLOOKUP(I937,$C$3:$L$6,7,0),0)),""),"")</f>
        <v/>
      </c>
      <c r="L937" s="29" t="str">
        <f t="shared" ca="1" si="84"/>
        <v/>
      </c>
      <c r="M937" s="10"/>
      <c r="N937" s="10"/>
    </row>
    <row r="938" spans="1:14" x14ac:dyDescent="0.25">
      <c r="A938" s="10"/>
      <c r="B938" s="14" t="str">
        <f t="shared" ca="1" si="85"/>
        <v/>
      </c>
      <c r="C938" s="14" t="str">
        <f ca="1">IF(I937&lt;&gt;Variables!$B$1,IF(H937&lt;&gt;0,C937,I937),"")</f>
        <v/>
      </c>
      <c r="D938" s="29" t="str">
        <f t="shared" ca="1" si="82"/>
        <v/>
      </c>
      <c r="E938" s="29" t="str">
        <f t="shared" ca="1" si="83"/>
        <v/>
      </c>
      <c r="F938" s="29" t="str">
        <f ca="1">IF(C938&lt;&gt;"",IF(OR(VLOOKUP(C938,$C$3:$L$6,5,0)=Variables!$B$5,B938&gt;VLOOKUP(C938,$C$3:$L$6,8,0)),-D938*VLOOKUP(C938,$C$3:$L$6,6,0)/12,0),"")</f>
        <v/>
      </c>
      <c r="G938" s="29" t="str">
        <f ca="1">IF(I938&lt;&gt;Variables!$B$1,IF(C938&lt;&gt;"",$I$9-E938-F938,""),-D938)</f>
        <v/>
      </c>
      <c r="H938" s="29" t="str">
        <f t="shared" ca="1" si="86"/>
        <v/>
      </c>
      <c r="I938" s="31" t="str">
        <f ca="1">IF(C938&lt;&gt;"",IF(D938+$I$9-E938-F938&gt;=0,IF(ISERROR(INDEX($C$3:$C$6,MATCH(C938,$C$3:$C$6,0)+1,0)),Variables!$B$1,INDEX($C$3:$C$6,MATCH(C938,$C$3:$C$6,0)+1,0)),""),"")</f>
        <v/>
      </c>
      <c r="J938" s="29" t="str">
        <f ca="1">IF(ISERROR(VLOOKUP(I938,$C$3:$L$6,5,0)),"",IF(OR(VLOOKUP(I938,$C$3:$L$6,5,0)=Variables!$B$5,B938&gt;VLOOKUP(I938,$C$3:$L$6,8,0)),IF(VLOOKUP(I938,$C$3:$L$6,5,0)=Variables!$B$5,((YEAR(B938)-YEAR($B$12))*12+MONTH(B938)-MONTH($B$12)),((YEAR(B938)-YEAR(VLOOKUP(I938,$C$3:$L$6,8,0)))*12+MONTH(B938)-MONTH(VLOOKUP(I938,$C$3:$L$6,8,0))))*(VLOOKUP(I938,$C$3:$L$6,10,0)*VLOOKUP(I938,$C$3:$L$6,6,0)/12),0))</f>
        <v/>
      </c>
      <c r="K938" s="29" t="str">
        <f ca="1">IF(C938&lt;&gt;"",IF(I938&lt;&gt;"",IF(ISERROR(VLOOKUP(I938,$C$3:$L$6,10,0)),"",VLOOKUP(I938,$C$3:$L$6,10,0)+J938+IF(OR(VLOOKUP(I938,$C$3:$L$6,5,0)=Variables!$B$5,B938&gt;VLOOKUP(I938,$C$3:$L$6,8,0)),IF(VLOOKUP(I938,$C$3:$L$6,5,0)=Variables!$B$5,((YEAR(B938)-YEAR($B$12))*12+MONTH(B938)-MONTH($B$12)),((YEAR(B938)-YEAR(VLOOKUP(I938,$C$3:$L$6,8,0)))*12+MONTH(B938)-MONTH(VLOOKUP(I938,$C$3:$L$6,8,0))))*VLOOKUP(I938,$C$3:$L$6,7,0),0)),""),"")</f>
        <v/>
      </c>
      <c r="L938" s="29" t="str">
        <f t="shared" ca="1" si="84"/>
        <v/>
      </c>
      <c r="M938" s="10"/>
      <c r="N938" s="10"/>
    </row>
    <row r="939" spans="1:14" x14ac:dyDescent="0.25">
      <c r="A939" s="10"/>
      <c r="B939" s="14" t="str">
        <f t="shared" ca="1" si="85"/>
        <v/>
      </c>
      <c r="C939" s="14" t="str">
        <f ca="1">IF(I938&lt;&gt;Variables!$B$1,IF(H938&lt;&gt;0,C938,I938),"")</f>
        <v/>
      </c>
      <c r="D939" s="29" t="str">
        <f t="shared" ca="1" si="82"/>
        <v/>
      </c>
      <c r="E939" s="29" t="str">
        <f t="shared" ca="1" si="83"/>
        <v/>
      </c>
      <c r="F939" s="29" t="str">
        <f ca="1">IF(C939&lt;&gt;"",IF(OR(VLOOKUP(C939,$C$3:$L$6,5,0)=Variables!$B$5,B939&gt;VLOOKUP(C939,$C$3:$L$6,8,0)),-D939*VLOOKUP(C939,$C$3:$L$6,6,0)/12,0),"")</f>
        <v/>
      </c>
      <c r="G939" s="29" t="str">
        <f ca="1">IF(I939&lt;&gt;Variables!$B$1,IF(C939&lt;&gt;"",$I$9-E939-F939,""),-D939)</f>
        <v/>
      </c>
      <c r="H939" s="29" t="str">
        <f t="shared" ca="1" si="86"/>
        <v/>
      </c>
      <c r="I939" s="31" t="str">
        <f ca="1">IF(C939&lt;&gt;"",IF(D939+$I$9-E939-F939&gt;=0,IF(ISERROR(INDEX($C$3:$C$6,MATCH(C939,$C$3:$C$6,0)+1,0)),Variables!$B$1,INDEX($C$3:$C$6,MATCH(C939,$C$3:$C$6,0)+1,0)),""),"")</f>
        <v/>
      </c>
      <c r="J939" s="29" t="str">
        <f ca="1">IF(ISERROR(VLOOKUP(I939,$C$3:$L$6,5,0)),"",IF(OR(VLOOKUP(I939,$C$3:$L$6,5,0)=Variables!$B$5,B939&gt;VLOOKUP(I939,$C$3:$L$6,8,0)),IF(VLOOKUP(I939,$C$3:$L$6,5,0)=Variables!$B$5,((YEAR(B939)-YEAR($B$12))*12+MONTH(B939)-MONTH($B$12)),((YEAR(B939)-YEAR(VLOOKUP(I939,$C$3:$L$6,8,0)))*12+MONTH(B939)-MONTH(VLOOKUP(I939,$C$3:$L$6,8,0))))*(VLOOKUP(I939,$C$3:$L$6,10,0)*VLOOKUP(I939,$C$3:$L$6,6,0)/12),0))</f>
        <v/>
      </c>
      <c r="K939" s="29" t="str">
        <f ca="1">IF(C939&lt;&gt;"",IF(I939&lt;&gt;"",IF(ISERROR(VLOOKUP(I939,$C$3:$L$6,10,0)),"",VLOOKUP(I939,$C$3:$L$6,10,0)+J939+IF(OR(VLOOKUP(I939,$C$3:$L$6,5,0)=Variables!$B$5,B939&gt;VLOOKUP(I939,$C$3:$L$6,8,0)),IF(VLOOKUP(I939,$C$3:$L$6,5,0)=Variables!$B$5,((YEAR(B939)-YEAR($B$12))*12+MONTH(B939)-MONTH($B$12)),((YEAR(B939)-YEAR(VLOOKUP(I939,$C$3:$L$6,8,0)))*12+MONTH(B939)-MONTH(VLOOKUP(I939,$C$3:$L$6,8,0))))*VLOOKUP(I939,$C$3:$L$6,7,0),0)),""),"")</f>
        <v/>
      </c>
      <c r="L939" s="29" t="str">
        <f t="shared" ca="1" si="84"/>
        <v/>
      </c>
      <c r="M939" s="10"/>
      <c r="N939" s="10"/>
    </row>
    <row r="940" spans="1:14" x14ac:dyDescent="0.25">
      <c r="A940" s="10"/>
      <c r="B940" s="14" t="str">
        <f t="shared" ca="1" si="85"/>
        <v/>
      </c>
      <c r="C940" s="14" t="str">
        <f ca="1">IF(I939&lt;&gt;Variables!$B$1,IF(H939&lt;&gt;0,C939,I939),"")</f>
        <v/>
      </c>
      <c r="D940" s="29" t="str">
        <f t="shared" ca="1" si="82"/>
        <v/>
      </c>
      <c r="E940" s="29" t="str">
        <f t="shared" ca="1" si="83"/>
        <v/>
      </c>
      <c r="F940" s="29" t="str">
        <f ca="1">IF(C940&lt;&gt;"",IF(OR(VLOOKUP(C940,$C$3:$L$6,5,0)=Variables!$B$5,B940&gt;VLOOKUP(C940,$C$3:$L$6,8,0)),-D940*VLOOKUP(C940,$C$3:$L$6,6,0)/12,0),"")</f>
        <v/>
      </c>
      <c r="G940" s="29" t="str">
        <f ca="1">IF(I940&lt;&gt;Variables!$B$1,IF(C940&lt;&gt;"",$I$9-E940-F940,""),-D940)</f>
        <v/>
      </c>
      <c r="H940" s="29" t="str">
        <f t="shared" ca="1" si="86"/>
        <v/>
      </c>
      <c r="I940" s="31" t="str">
        <f ca="1">IF(C940&lt;&gt;"",IF(D940+$I$9-E940-F940&gt;=0,IF(ISERROR(INDEX($C$3:$C$6,MATCH(C940,$C$3:$C$6,0)+1,0)),Variables!$B$1,INDEX($C$3:$C$6,MATCH(C940,$C$3:$C$6,0)+1,0)),""),"")</f>
        <v/>
      </c>
      <c r="J940" s="29" t="str">
        <f ca="1">IF(ISERROR(VLOOKUP(I940,$C$3:$L$6,5,0)),"",IF(OR(VLOOKUP(I940,$C$3:$L$6,5,0)=Variables!$B$5,B940&gt;VLOOKUP(I940,$C$3:$L$6,8,0)),IF(VLOOKUP(I940,$C$3:$L$6,5,0)=Variables!$B$5,((YEAR(B940)-YEAR($B$12))*12+MONTH(B940)-MONTH($B$12)),((YEAR(B940)-YEAR(VLOOKUP(I940,$C$3:$L$6,8,0)))*12+MONTH(B940)-MONTH(VLOOKUP(I940,$C$3:$L$6,8,0))))*(VLOOKUP(I940,$C$3:$L$6,10,0)*VLOOKUP(I940,$C$3:$L$6,6,0)/12),0))</f>
        <v/>
      </c>
      <c r="K940" s="29" t="str">
        <f ca="1">IF(C940&lt;&gt;"",IF(I940&lt;&gt;"",IF(ISERROR(VLOOKUP(I940,$C$3:$L$6,10,0)),"",VLOOKUP(I940,$C$3:$L$6,10,0)+J940+IF(OR(VLOOKUP(I940,$C$3:$L$6,5,0)=Variables!$B$5,B940&gt;VLOOKUP(I940,$C$3:$L$6,8,0)),IF(VLOOKUP(I940,$C$3:$L$6,5,0)=Variables!$B$5,((YEAR(B940)-YEAR($B$12))*12+MONTH(B940)-MONTH($B$12)),((YEAR(B940)-YEAR(VLOOKUP(I940,$C$3:$L$6,8,0)))*12+MONTH(B940)-MONTH(VLOOKUP(I940,$C$3:$L$6,8,0))))*VLOOKUP(I940,$C$3:$L$6,7,0),0)),""),"")</f>
        <v/>
      </c>
      <c r="L940" s="29" t="str">
        <f t="shared" ca="1" si="84"/>
        <v/>
      </c>
      <c r="M940" s="10"/>
      <c r="N940" s="10"/>
    </row>
    <row r="941" spans="1:14" x14ac:dyDescent="0.25">
      <c r="A941" s="10"/>
      <c r="B941" s="14" t="str">
        <f t="shared" ca="1" si="85"/>
        <v/>
      </c>
      <c r="C941" s="14" t="str">
        <f ca="1">IF(I940&lt;&gt;Variables!$B$1,IF(H940&lt;&gt;0,C940,I940),"")</f>
        <v/>
      </c>
      <c r="D941" s="29" t="str">
        <f t="shared" ca="1" si="82"/>
        <v/>
      </c>
      <c r="E941" s="29" t="str">
        <f t="shared" ca="1" si="83"/>
        <v/>
      </c>
      <c r="F941" s="29" t="str">
        <f ca="1">IF(C941&lt;&gt;"",IF(OR(VLOOKUP(C941,$C$3:$L$6,5,0)=Variables!$B$5,B941&gt;VLOOKUP(C941,$C$3:$L$6,8,0)),-D941*VLOOKUP(C941,$C$3:$L$6,6,0)/12,0),"")</f>
        <v/>
      </c>
      <c r="G941" s="29" t="str">
        <f ca="1">IF(I941&lt;&gt;Variables!$B$1,IF(C941&lt;&gt;"",$I$9-E941-F941,""),-D941)</f>
        <v/>
      </c>
      <c r="H941" s="29" t="str">
        <f t="shared" ca="1" si="86"/>
        <v/>
      </c>
      <c r="I941" s="31" t="str">
        <f ca="1">IF(C941&lt;&gt;"",IF(D941+$I$9-E941-F941&gt;=0,IF(ISERROR(INDEX($C$3:$C$6,MATCH(C941,$C$3:$C$6,0)+1,0)),Variables!$B$1,INDEX($C$3:$C$6,MATCH(C941,$C$3:$C$6,0)+1,0)),""),"")</f>
        <v/>
      </c>
      <c r="J941" s="29" t="str">
        <f ca="1">IF(ISERROR(VLOOKUP(I941,$C$3:$L$6,5,0)),"",IF(OR(VLOOKUP(I941,$C$3:$L$6,5,0)=Variables!$B$5,B941&gt;VLOOKUP(I941,$C$3:$L$6,8,0)),IF(VLOOKUP(I941,$C$3:$L$6,5,0)=Variables!$B$5,((YEAR(B941)-YEAR($B$12))*12+MONTH(B941)-MONTH($B$12)),((YEAR(B941)-YEAR(VLOOKUP(I941,$C$3:$L$6,8,0)))*12+MONTH(B941)-MONTH(VLOOKUP(I941,$C$3:$L$6,8,0))))*(VLOOKUP(I941,$C$3:$L$6,10,0)*VLOOKUP(I941,$C$3:$L$6,6,0)/12),0))</f>
        <v/>
      </c>
      <c r="K941" s="29" t="str">
        <f ca="1">IF(C941&lt;&gt;"",IF(I941&lt;&gt;"",IF(ISERROR(VLOOKUP(I941,$C$3:$L$6,10,0)),"",VLOOKUP(I941,$C$3:$L$6,10,0)+J941+IF(OR(VLOOKUP(I941,$C$3:$L$6,5,0)=Variables!$B$5,B941&gt;VLOOKUP(I941,$C$3:$L$6,8,0)),IF(VLOOKUP(I941,$C$3:$L$6,5,0)=Variables!$B$5,((YEAR(B941)-YEAR($B$12))*12+MONTH(B941)-MONTH($B$12)),((YEAR(B941)-YEAR(VLOOKUP(I941,$C$3:$L$6,8,0)))*12+MONTH(B941)-MONTH(VLOOKUP(I941,$C$3:$L$6,8,0))))*VLOOKUP(I941,$C$3:$L$6,7,0),0)),""),"")</f>
        <v/>
      </c>
      <c r="L941" s="29" t="str">
        <f t="shared" ca="1" si="84"/>
        <v/>
      </c>
      <c r="M941" s="10"/>
      <c r="N941" s="10"/>
    </row>
    <row r="942" spans="1:14" x14ac:dyDescent="0.25">
      <c r="A942" s="10"/>
      <c r="B942" s="14" t="str">
        <f t="shared" ca="1" si="85"/>
        <v/>
      </c>
      <c r="C942" s="14" t="str">
        <f ca="1">IF(I941&lt;&gt;Variables!$B$1,IF(H941&lt;&gt;0,C941,I941),"")</f>
        <v/>
      </c>
      <c r="D942" s="29" t="str">
        <f t="shared" ca="1" si="82"/>
        <v/>
      </c>
      <c r="E942" s="29" t="str">
        <f t="shared" ca="1" si="83"/>
        <v/>
      </c>
      <c r="F942" s="29" t="str">
        <f ca="1">IF(C942&lt;&gt;"",IF(OR(VLOOKUP(C942,$C$3:$L$6,5,0)=Variables!$B$5,B942&gt;VLOOKUP(C942,$C$3:$L$6,8,0)),-D942*VLOOKUP(C942,$C$3:$L$6,6,0)/12,0),"")</f>
        <v/>
      </c>
      <c r="G942" s="29" t="str">
        <f ca="1">IF(I942&lt;&gt;Variables!$B$1,IF(C942&lt;&gt;"",$I$9-E942-F942,""),-D942)</f>
        <v/>
      </c>
      <c r="H942" s="29" t="str">
        <f t="shared" ca="1" si="86"/>
        <v/>
      </c>
      <c r="I942" s="31" t="str">
        <f ca="1">IF(C942&lt;&gt;"",IF(D942+$I$9-E942-F942&gt;=0,IF(ISERROR(INDEX($C$3:$C$6,MATCH(C942,$C$3:$C$6,0)+1,0)),Variables!$B$1,INDEX($C$3:$C$6,MATCH(C942,$C$3:$C$6,0)+1,0)),""),"")</f>
        <v/>
      </c>
      <c r="J942" s="29" t="str">
        <f ca="1">IF(ISERROR(VLOOKUP(I942,$C$3:$L$6,5,0)),"",IF(OR(VLOOKUP(I942,$C$3:$L$6,5,0)=Variables!$B$5,B942&gt;VLOOKUP(I942,$C$3:$L$6,8,0)),IF(VLOOKUP(I942,$C$3:$L$6,5,0)=Variables!$B$5,((YEAR(B942)-YEAR($B$12))*12+MONTH(B942)-MONTH($B$12)),((YEAR(B942)-YEAR(VLOOKUP(I942,$C$3:$L$6,8,0)))*12+MONTH(B942)-MONTH(VLOOKUP(I942,$C$3:$L$6,8,0))))*(VLOOKUP(I942,$C$3:$L$6,10,0)*VLOOKUP(I942,$C$3:$L$6,6,0)/12),0))</f>
        <v/>
      </c>
      <c r="K942" s="29" t="str">
        <f ca="1">IF(C942&lt;&gt;"",IF(I942&lt;&gt;"",IF(ISERROR(VLOOKUP(I942,$C$3:$L$6,10,0)),"",VLOOKUP(I942,$C$3:$L$6,10,0)+J942+IF(OR(VLOOKUP(I942,$C$3:$L$6,5,0)=Variables!$B$5,B942&gt;VLOOKUP(I942,$C$3:$L$6,8,0)),IF(VLOOKUP(I942,$C$3:$L$6,5,0)=Variables!$B$5,((YEAR(B942)-YEAR($B$12))*12+MONTH(B942)-MONTH($B$12)),((YEAR(B942)-YEAR(VLOOKUP(I942,$C$3:$L$6,8,0)))*12+MONTH(B942)-MONTH(VLOOKUP(I942,$C$3:$L$6,8,0))))*VLOOKUP(I942,$C$3:$L$6,7,0),0)),""),"")</f>
        <v/>
      </c>
      <c r="L942" s="29" t="str">
        <f t="shared" ca="1" si="84"/>
        <v/>
      </c>
      <c r="M942" s="10"/>
      <c r="N942" s="10"/>
    </row>
    <row r="943" spans="1:14" x14ac:dyDescent="0.25">
      <c r="A943" s="10"/>
      <c r="B943" s="14" t="str">
        <f t="shared" ca="1" si="85"/>
        <v/>
      </c>
      <c r="C943" s="14" t="str">
        <f ca="1">IF(I942&lt;&gt;Variables!$B$1,IF(H942&lt;&gt;0,C942,I942),"")</f>
        <v/>
      </c>
      <c r="D943" s="29" t="str">
        <f t="shared" ca="1" si="82"/>
        <v/>
      </c>
      <c r="E943" s="29" t="str">
        <f t="shared" ca="1" si="83"/>
        <v/>
      </c>
      <c r="F943" s="29" t="str">
        <f ca="1">IF(C943&lt;&gt;"",IF(OR(VLOOKUP(C943,$C$3:$L$6,5,0)=Variables!$B$5,B943&gt;VLOOKUP(C943,$C$3:$L$6,8,0)),-D943*VLOOKUP(C943,$C$3:$L$6,6,0)/12,0),"")</f>
        <v/>
      </c>
      <c r="G943" s="29" t="str">
        <f ca="1">IF(I943&lt;&gt;Variables!$B$1,IF(C943&lt;&gt;"",$I$9-E943-F943,""),-D943)</f>
        <v/>
      </c>
      <c r="H943" s="29" t="str">
        <f t="shared" ca="1" si="86"/>
        <v/>
      </c>
      <c r="I943" s="31" t="str">
        <f ca="1">IF(C943&lt;&gt;"",IF(D943+$I$9-E943-F943&gt;=0,IF(ISERROR(INDEX($C$3:$C$6,MATCH(C943,$C$3:$C$6,0)+1,0)),Variables!$B$1,INDEX($C$3:$C$6,MATCH(C943,$C$3:$C$6,0)+1,0)),""),"")</f>
        <v/>
      </c>
      <c r="J943" s="29" t="str">
        <f ca="1">IF(ISERROR(VLOOKUP(I943,$C$3:$L$6,5,0)),"",IF(OR(VLOOKUP(I943,$C$3:$L$6,5,0)=Variables!$B$5,B943&gt;VLOOKUP(I943,$C$3:$L$6,8,0)),IF(VLOOKUP(I943,$C$3:$L$6,5,0)=Variables!$B$5,((YEAR(B943)-YEAR($B$12))*12+MONTH(B943)-MONTH($B$12)),((YEAR(B943)-YEAR(VLOOKUP(I943,$C$3:$L$6,8,0)))*12+MONTH(B943)-MONTH(VLOOKUP(I943,$C$3:$L$6,8,0))))*(VLOOKUP(I943,$C$3:$L$6,10,0)*VLOOKUP(I943,$C$3:$L$6,6,0)/12),0))</f>
        <v/>
      </c>
      <c r="K943" s="29" t="str">
        <f ca="1">IF(C943&lt;&gt;"",IF(I943&lt;&gt;"",IF(ISERROR(VLOOKUP(I943,$C$3:$L$6,10,0)),"",VLOOKUP(I943,$C$3:$L$6,10,0)+J943+IF(OR(VLOOKUP(I943,$C$3:$L$6,5,0)=Variables!$B$5,B943&gt;VLOOKUP(I943,$C$3:$L$6,8,0)),IF(VLOOKUP(I943,$C$3:$L$6,5,0)=Variables!$B$5,((YEAR(B943)-YEAR($B$12))*12+MONTH(B943)-MONTH($B$12)),((YEAR(B943)-YEAR(VLOOKUP(I943,$C$3:$L$6,8,0)))*12+MONTH(B943)-MONTH(VLOOKUP(I943,$C$3:$L$6,8,0))))*VLOOKUP(I943,$C$3:$L$6,7,0),0)),""),"")</f>
        <v/>
      </c>
      <c r="L943" s="29" t="str">
        <f t="shared" ca="1" si="84"/>
        <v/>
      </c>
      <c r="M943" s="10"/>
      <c r="N943" s="10"/>
    </row>
    <row r="944" spans="1:14" x14ac:dyDescent="0.25">
      <c r="A944" s="10"/>
      <c r="B944" s="14" t="str">
        <f t="shared" ca="1" si="85"/>
        <v/>
      </c>
      <c r="C944" s="14" t="str">
        <f ca="1">IF(I943&lt;&gt;Variables!$B$1,IF(H943&lt;&gt;0,C943,I943),"")</f>
        <v/>
      </c>
      <c r="D944" s="29" t="str">
        <f t="shared" ca="1" si="82"/>
        <v/>
      </c>
      <c r="E944" s="29" t="str">
        <f t="shared" ca="1" si="83"/>
        <v/>
      </c>
      <c r="F944" s="29" t="str">
        <f ca="1">IF(C944&lt;&gt;"",IF(OR(VLOOKUP(C944,$C$3:$L$6,5,0)=Variables!$B$5,B944&gt;VLOOKUP(C944,$C$3:$L$6,8,0)),-D944*VLOOKUP(C944,$C$3:$L$6,6,0)/12,0),"")</f>
        <v/>
      </c>
      <c r="G944" s="29" t="str">
        <f ca="1">IF(I944&lt;&gt;Variables!$B$1,IF(C944&lt;&gt;"",$I$9-E944-F944,""),-D944)</f>
        <v/>
      </c>
      <c r="H944" s="29" t="str">
        <f t="shared" ca="1" si="86"/>
        <v/>
      </c>
      <c r="I944" s="31" t="str">
        <f ca="1">IF(C944&lt;&gt;"",IF(D944+$I$9-E944-F944&gt;=0,IF(ISERROR(INDEX($C$3:$C$6,MATCH(C944,$C$3:$C$6,0)+1,0)),Variables!$B$1,INDEX($C$3:$C$6,MATCH(C944,$C$3:$C$6,0)+1,0)),""),"")</f>
        <v/>
      </c>
      <c r="J944" s="29" t="str">
        <f ca="1">IF(ISERROR(VLOOKUP(I944,$C$3:$L$6,5,0)),"",IF(OR(VLOOKUP(I944,$C$3:$L$6,5,0)=Variables!$B$5,B944&gt;VLOOKUP(I944,$C$3:$L$6,8,0)),IF(VLOOKUP(I944,$C$3:$L$6,5,0)=Variables!$B$5,((YEAR(B944)-YEAR($B$12))*12+MONTH(B944)-MONTH($B$12)),((YEAR(B944)-YEAR(VLOOKUP(I944,$C$3:$L$6,8,0)))*12+MONTH(B944)-MONTH(VLOOKUP(I944,$C$3:$L$6,8,0))))*(VLOOKUP(I944,$C$3:$L$6,10,0)*VLOOKUP(I944,$C$3:$L$6,6,0)/12),0))</f>
        <v/>
      </c>
      <c r="K944" s="29" t="str">
        <f ca="1">IF(C944&lt;&gt;"",IF(I944&lt;&gt;"",IF(ISERROR(VLOOKUP(I944,$C$3:$L$6,10,0)),"",VLOOKUP(I944,$C$3:$L$6,10,0)+J944+IF(OR(VLOOKUP(I944,$C$3:$L$6,5,0)=Variables!$B$5,B944&gt;VLOOKUP(I944,$C$3:$L$6,8,0)),IF(VLOOKUP(I944,$C$3:$L$6,5,0)=Variables!$B$5,((YEAR(B944)-YEAR($B$12))*12+MONTH(B944)-MONTH($B$12)),((YEAR(B944)-YEAR(VLOOKUP(I944,$C$3:$L$6,8,0)))*12+MONTH(B944)-MONTH(VLOOKUP(I944,$C$3:$L$6,8,0))))*VLOOKUP(I944,$C$3:$L$6,7,0),0)),""),"")</f>
        <v/>
      </c>
      <c r="L944" s="29" t="str">
        <f t="shared" ca="1" si="84"/>
        <v/>
      </c>
      <c r="M944" s="10"/>
      <c r="N944" s="10"/>
    </row>
    <row r="945" spans="1:14" x14ac:dyDescent="0.25">
      <c r="A945" s="10"/>
      <c r="B945" s="14" t="str">
        <f t="shared" ca="1" si="85"/>
        <v/>
      </c>
      <c r="C945" s="14" t="str">
        <f ca="1">IF(I944&lt;&gt;Variables!$B$1,IF(H944&lt;&gt;0,C944,I944),"")</f>
        <v/>
      </c>
      <c r="D945" s="29" t="str">
        <f t="shared" ca="1" si="82"/>
        <v/>
      </c>
      <c r="E945" s="29" t="str">
        <f t="shared" ca="1" si="83"/>
        <v/>
      </c>
      <c r="F945" s="29" t="str">
        <f ca="1">IF(C945&lt;&gt;"",IF(OR(VLOOKUP(C945,$C$3:$L$6,5,0)=Variables!$B$5,B945&gt;VLOOKUP(C945,$C$3:$L$6,8,0)),-D945*VLOOKUP(C945,$C$3:$L$6,6,0)/12,0),"")</f>
        <v/>
      </c>
      <c r="G945" s="29" t="str">
        <f ca="1">IF(I945&lt;&gt;Variables!$B$1,IF(C945&lt;&gt;"",$I$9-E945-F945,""),-D945)</f>
        <v/>
      </c>
      <c r="H945" s="29" t="str">
        <f t="shared" ca="1" si="86"/>
        <v/>
      </c>
      <c r="I945" s="31" t="str">
        <f ca="1">IF(C945&lt;&gt;"",IF(D945+$I$9-E945-F945&gt;=0,IF(ISERROR(INDEX($C$3:$C$6,MATCH(C945,$C$3:$C$6,0)+1,0)),Variables!$B$1,INDEX($C$3:$C$6,MATCH(C945,$C$3:$C$6,0)+1,0)),""),"")</f>
        <v/>
      </c>
      <c r="J945" s="29" t="str">
        <f ca="1">IF(ISERROR(VLOOKUP(I945,$C$3:$L$6,5,0)),"",IF(OR(VLOOKUP(I945,$C$3:$L$6,5,0)=Variables!$B$5,B945&gt;VLOOKUP(I945,$C$3:$L$6,8,0)),IF(VLOOKUP(I945,$C$3:$L$6,5,0)=Variables!$B$5,((YEAR(B945)-YEAR($B$12))*12+MONTH(B945)-MONTH($B$12)),((YEAR(B945)-YEAR(VLOOKUP(I945,$C$3:$L$6,8,0)))*12+MONTH(B945)-MONTH(VLOOKUP(I945,$C$3:$L$6,8,0))))*(VLOOKUP(I945,$C$3:$L$6,10,0)*VLOOKUP(I945,$C$3:$L$6,6,0)/12),0))</f>
        <v/>
      </c>
      <c r="K945" s="29" t="str">
        <f ca="1">IF(C945&lt;&gt;"",IF(I945&lt;&gt;"",IF(ISERROR(VLOOKUP(I945,$C$3:$L$6,10,0)),"",VLOOKUP(I945,$C$3:$L$6,10,0)+J945+IF(OR(VLOOKUP(I945,$C$3:$L$6,5,0)=Variables!$B$5,B945&gt;VLOOKUP(I945,$C$3:$L$6,8,0)),IF(VLOOKUP(I945,$C$3:$L$6,5,0)=Variables!$B$5,((YEAR(B945)-YEAR($B$12))*12+MONTH(B945)-MONTH($B$12)),((YEAR(B945)-YEAR(VLOOKUP(I945,$C$3:$L$6,8,0)))*12+MONTH(B945)-MONTH(VLOOKUP(I945,$C$3:$L$6,8,0))))*VLOOKUP(I945,$C$3:$L$6,7,0),0)),""),"")</f>
        <v/>
      </c>
      <c r="L945" s="29" t="str">
        <f t="shared" ca="1" si="84"/>
        <v/>
      </c>
      <c r="M945" s="10"/>
      <c r="N945" s="10"/>
    </row>
    <row r="946" spans="1:14" x14ac:dyDescent="0.25">
      <c r="A946" s="10"/>
      <c r="B946" s="14" t="str">
        <f t="shared" ca="1" si="85"/>
        <v/>
      </c>
      <c r="C946" s="14" t="str">
        <f ca="1">IF(I945&lt;&gt;Variables!$B$1,IF(H945&lt;&gt;0,C945,I945),"")</f>
        <v/>
      </c>
      <c r="D946" s="29" t="str">
        <f t="shared" ca="1" si="82"/>
        <v/>
      </c>
      <c r="E946" s="29" t="str">
        <f t="shared" ca="1" si="83"/>
        <v/>
      </c>
      <c r="F946" s="29" t="str">
        <f ca="1">IF(C946&lt;&gt;"",IF(OR(VLOOKUP(C946,$C$3:$L$6,5,0)=Variables!$B$5,B946&gt;VLOOKUP(C946,$C$3:$L$6,8,0)),-D946*VLOOKUP(C946,$C$3:$L$6,6,0)/12,0),"")</f>
        <v/>
      </c>
      <c r="G946" s="29" t="str">
        <f ca="1">IF(I946&lt;&gt;Variables!$B$1,IF(C946&lt;&gt;"",$I$9-E946-F946,""),-D946)</f>
        <v/>
      </c>
      <c r="H946" s="29" t="str">
        <f t="shared" ca="1" si="86"/>
        <v/>
      </c>
      <c r="I946" s="31" t="str">
        <f ca="1">IF(C946&lt;&gt;"",IF(D946+$I$9-E946-F946&gt;=0,IF(ISERROR(INDEX($C$3:$C$6,MATCH(C946,$C$3:$C$6,0)+1,0)),Variables!$B$1,INDEX($C$3:$C$6,MATCH(C946,$C$3:$C$6,0)+1,0)),""),"")</f>
        <v/>
      </c>
      <c r="J946" s="29" t="str">
        <f ca="1">IF(ISERROR(VLOOKUP(I946,$C$3:$L$6,5,0)),"",IF(OR(VLOOKUP(I946,$C$3:$L$6,5,0)=Variables!$B$5,B946&gt;VLOOKUP(I946,$C$3:$L$6,8,0)),IF(VLOOKUP(I946,$C$3:$L$6,5,0)=Variables!$B$5,((YEAR(B946)-YEAR($B$12))*12+MONTH(B946)-MONTH($B$12)),((YEAR(B946)-YEAR(VLOOKUP(I946,$C$3:$L$6,8,0)))*12+MONTH(B946)-MONTH(VLOOKUP(I946,$C$3:$L$6,8,0))))*(VLOOKUP(I946,$C$3:$L$6,10,0)*VLOOKUP(I946,$C$3:$L$6,6,0)/12),0))</f>
        <v/>
      </c>
      <c r="K946" s="29" t="str">
        <f ca="1">IF(C946&lt;&gt;"",IF(I946&lt;&gt;"",IF(ISERROR(VLOOKUP(I946,$C$3:$L$6,10,0)),"",VLOOKUP(I946,$C$3:$L$6,10,0)+J946+IF(OR(VLOOKUP(I946,$C$3:$L$6,5,0)=Variables!$B$5,B946&gt;VLOOKUP(I946,$C$3:$L$6,8,0)),IF(VLOOKUP(I946,$C$3:$L$6,5,0)=Variables!$B$5,((YEAR(B946)-YEAR($B$12))*12+MONTH(B946)-MONTH($B$12)),((YEAR(B946)-YEAR(VLOOKUP(I946,$C$3:$L$6,8,0)))*12+MONTH(B946)-MONTH(VLOOKUP(I946,$C$3:$L$6,8,0))))*VLOOKUP(I946,$C$3:$L$6,7,0),0)),""),"")</f>
        <v/>
      </c>
      <c r="L946" s="29" t="str">
        <f t="shared" ca="1" si="84"/>
        <v/>
      </c>
      <c r="M946" s="10"/>
      <c r="N946" s="10"/>
    </row>
    <row r="947" spans="1:14" x14ac:dyDescent="0.25">
      <c r="A947" s="10"/>
      <c r="B947" s="14" t="str">
        <f t="shared" ca="1" si="85"/>
        <v/>
      </c>
      <c r="C947" s="14" t="str">
        <f ca="1">IF(I946&lt;&gt;Variables!$B$1,IF(H946&lt;&gt;0,C946,I946),"")</f>
        <v/>
      </c>
      <c r="D947" s="29" t="str">
        <f t="shared" ca="1" si="82"/>
        <v/>
      </c>
      <c r="E947" s="29" t="str">
        <f t="shared" ca="1" si="83"/>
        <v/>
      </c>
      <c r="F947" s="29" t="str">
        <f ca="1">IF(C947&lt;&gt;"",IF(OR(VLOOKUP(C947,$C$3:$L$6,5,0)=Variables!$B$5,B947&gt;VLOOKUP(C947,$C$3:$L$6,8,0)),-D947*VLOOKUP(C947,$C$3:$L$6,6,0)/12,0),"")</f>
        <v/>
      </c>
      <c r="G947" s="29" t="str">
        <f ca="1">IF(I947&lt;&gt;Variables!$B$1,IF(C947&lt;&gt;"",$I$9-E947-F947,""),-D947)</f>
        <v/>
      </c>
      <c r="H947" s="29" t="str">
        <f t="shared" ca="1" si="86"/>
        <v/>
      </c>
      <c r="I947" s="31" t="str">
        <f ca="1">IF(C947&lt;&gt;"",IF(D947+$I$9-E947-F947&gt;=0,IF(ISERROR(INDEX($C$3:$C$6,MATCH(C947,$C$3:$C$6,0)+1,0)),Variables!$B$1,INDEX($C$3:$C$6,MATCH(C947,$C$3:$C$6,0)+1,0)),""),"")</f>
        <v/>
      </c>
      <c r="J947" s="29" t="str">
        <f ca="1">IF(ISERROR(VLOOKUP(I947,$C$3:$L$6,5,0)),"",IF(OR(VLOOKUP(I947,$C$3:$L$6,5,0)=Variables!$B$5,B947&gt;VLOOKUP(I947,$C$3:$L$6,8,0)),IF(VLOOKUP(I947,$C$3:$L$6,5,0)=Variables!$B$5,((YEAR(B947)-YEAR($B$12))*12+MONTH(B947)-MONTH($B$12)),((YEAR(B947)-YEAR(VLOOKUP(I947,$C$3:$L$6,8,0)))*12+MONTH(B947)-MONTH(VLOOKUP(I947,$C$3:$L$6,8,0))))*(VLOOKUP(I947,$C$3:$L$6,10,0)*VLOOKUP(I947,$C$3:$L$6,6,0)/12),0))</f>
        <v/>
      </c>
      <c r="K947" s="29" t="str">
        <f ca="1">IF(C947&lt;&gt;"",IF(I947&lt;&gt;"",IF(ISERROR(VLOOKUP(I947,$C$3:$L$6,10,0)),"",VLOOKUP(I947,$C$3:$L$6,10,0)+J947+IF(OR(VLOOKUP(I947,$C$3:$L$6,5,0)=Variables!$B$5,B947&gt;VLOOKUP(I947,$C$3:$L$6,8,0)),IF(VLOOKUP(I947,$C$3:$L$6,5,0)=Variables!$B$5,((YEAR(B947)-YEAR($B$12))*12+MONTH(B947)-MONTH($B$12)),((YEAR(B947)-YEAR(VLOOKUP(I947,$C$3:$L$6,8,0)))*12+MONTH(B947)-MONTH(VLOOKUP(I947,$C$3:$L$6,8,0))))*VLOOKUP(I947,$C$3:$L$6,7,0),0)),""),"")</f>
        <v/>
      </c>
      <c r="L947" s="29" t="str">
        <f t="shared" ca="1" si="84"/>
        <v/>
      </c>
      <c r="M947" s="10"/>
      <c r="N947" s="10"/>
    </row>
    <row r="948" spans="1:14" x14ac:dyDescent="0.25">
      <c r="A948" s="10"/>
      <c r="B948" s="14" t="str">
        <f t="shared" ca="1" si="85"/>
        <v/>
      </c>
      <c r="C948" s="14" t="str">
        <f ca="1">IF(I947&lt;&gt;Variables!$B$1,IF(H947&lt;&gt;0,C947,I947),"")</f>
        <v/>
      </c>
      <c r="D948" s="29" t="str">
        <f t="shared" ca="1" si="82"/>
        <v/>
      </c>
      <c r="E948" s="29" t="str">
        <f t="shared" ca="1" si="83"/>
        <v/>
      </c>
      <c r="F948" s="29" t="str">
        <f ca="1">IF(C948&lt;&gt;"",IF(OR(VLOOKUP(C948,$C$3:$L$6,5,0)=Variables!$B$5,B948&gt;VLOOKUP(C948,$C$3:$L$6,8,0)),-D948*VLOOKUP(C948,$C$3:$L$6,6,0)/12,0),"")</f>
        <v/>
      </c>
      <c r="G948" s="29" t="str">
        <f ca="1">IF(I948&lt;&gt;Variables!$B$1,IF(C948&lt;&gt;"",$I$9-E948-F948,""),-D948)</f>
        <v/>
      </c>
      <c r="H948" s="29" t="str">
        <f t="shared" ca="1" si="86"/>
        <v/>
      </c>
      <c r="I948" s="31" t="str">
        <f ca="1">IF(C948&lt;&gt;"",IF(D948+$I$9-E948-F948&gt;=0,IF(ISERROR(INDEX($C$3:$C$6,MATCH(C948,$C$3:$C$6,0)+1,0)),Variables!$B$1,INDEX($C$3:$C$6,MATCH(C948,$C$3:$C$6,0)+1,0)),""),"")</f>
        <v/>
      </c>
      <c r="J948" s="29" t="str">
        <f ca="1">IF(ISERROR(VLOOKUP(I948,$C$3:$L$6,5,0)),"",IF(OR(VLOOKUP(I948,$C$3:$L$6,5,0)=Variables!$B$5,B948&gt;VLOOKUP(I948,$C$3:$L$6,8,0)),IF(VLOOKUP(I948,$C$3:$L$6,5,0)=Variables!$B$5,((YEAR(B948)-YEAR($B$12))*12+MONTH(B948)-MONTH($B$12)),((YEAR(B948)-YEAR(VLOOKUP(I948,$C$3:$L$6,8,0)))*12+MONTH(B948)-MONTH(VLOOKUP(I948,$C$3:$L$6,8,0))))*(VLOOKUP(I948,$C$3:$L$6,10,0)*VLOOKUP(I948,$C$3:$L$6,6,0)/12),0))</f>
        <v/>
      </c>
      <c r="K948" s="29" t="str">
        <f ca="1">IF(C948&lt;&gt;"",IF(I948&lt;&gt;"",IF(ISERROR(VLOOKUP(I948,$C$3:$L$6,10,0)),"",VLOOKUP(I948,$C$3:$L$6,10,0)+J948+IF(OR(VLOOKUP(I948,$C$3:$L$6,5,0)=Variables!$B$5,B948&gt;VLOOKUP(I948,$C$3:$L$6,8,0)),IF(VLOOKUP(I948,$C$3:$L$6,5,0)=Variables!$B$5,((YEAR(B948)-YEAR($B$12))*12+MONTH(B948)-MONTH($B$12)),((YEAR(B948)-YEAR(VLOOKUP(I948,$C$3:$L$6,8,0)))*12+MONTH(B948)-MONTH(VLOOKUP(I948,$C$3:$L$6,8,0))))*VLOOKUP(I948,$C$3:$L$6,7,0),0)),""),"")</f>
        <v/>
      </c>
      <c r="L948" s="29" t="str">
        <f t="shared" ca="1" si="84"/>
        <v/>
      </c>
      <c r="M948" s="10"/>
      <c r="N948" s="10"/>
    </row>
    <row r="949" spans="1:14" x14ac:dyDescent="0.25">
      <c r="A949" s="10"/>
      <c r="B949" s="14" t="str">
        <f t="shared" ca="1" si="85"/>
        <v/>
      </c>
      <c r="C949" s="14" t="str">
        <f ca="1">IF(I948&lt;&gt;Variables!$B$1,IF(H948&lt;&gt;0,C948,I948),"")</f>
        <v/>
      </c>
      <c r="D949" s="29" t="str">
        <f t="shared" ca="1" si="82"/>
        <v/>
      </c>
      <c r="E949" s="29" t="str">
        <f t="shared" ca="1" si="83"/>
        <v/>
      </c>
      <c r="F949" s="29" t="str">
        <f ca="1">IF(C949&lt;&gt;"",IF(OR(VLOOKUP(C949,$C$3:$L$6,5,0)=Variables!$B$5,B949&gt;VLOOKUP(C949,$C$3:$L$6,8,0)),-D949*VLOOKUP(C949,$C$3:$L$6,6,0)/12,0),"")</f>
        <v/>
      </c>
      <c r="G949" s="29" t="str">
        <f ca="1">IF(I949&lt;&gt;Variables!$B$1,IF(C949&lt;&gt;"",$I$9-E949-F949,""),-D949)</f>
        <v/>
      </c>
      <c r="H949" s="29" t="str">
        <f t="shared" ca="1" si="86"/>
        <v/>
      </c>
      <c r="I949" s="31" t="str">
        <f ca="1">IF(C949&lt;&gt;"",IF(D949+$I$9-E949-F949&gt;=0,IF(ISERROR(INDEX($C$3:$C$6,MATCH(C949,$C$3:$C$6,0)+1,0)),Variables!$B$1,INDEX($C$3:$C$6,MATCH(C949,$C$3:$C$6,0)+1,0)),""),"")</f>
        <v/>
      </c>
      <c r="J949" s="29" t="str">
        <f ca="1">IF(ISERROR(VLOOKUP(I949,$C$3:$L$6,5,0)),"",IF(OR(VLOOKUP(I949,$C$3:$L$6,5,0)=Variables!$B$5,B949&gt;VLOOKUP(I949,$C$3:$L$6,8,0)),IF(VLOOKUP(I949,$C$3:$L$6,5,0)=Variables!$B$5,((YEAR(B949)-YEAR($B$12))*12+MONTH(B949)-MONTH($B$12)),((YEAR(B949)-YEAR(VLOOKUP(I949,$C$3:$L$6,8,0)))*12+MONTH(B949)-MONTH(VLOOKUP(I949,$C$3:$L$6,8,0))))*(VLOOKUP(I949,$C$3:$L$6,10,0)*VLOOKUP(I949,$C$3:$L$6,6,0)/12),0))</f>
        <v/>
      </c>
      <c r="K949" s="29" t="str">
        <f ca="1">IF(C949&lt;&gt;"",IF(I949&lt;&gt;"",IF(ISERROR(VLOOKUP(I949,$C$3:$L$6,10,0)),"",VLOOKUP(I949,$C$3:$L$6,10,0)+J949+IF(OR(VLOOKUP(I949,$C$3:$L$6,5,0)=Variables!$B$5,B949&gt;VLOOKUP(I949,$C$3:$L$6,8,0)),IF(VLOOKUP(I949,$C$3:$L$6,5,0)=Variables!$B$5,((YEAR(B949)-YEAR($B$12))*12+MONTH(B949)-MONTH($B$12)),((YEAR(B949)-YEAR(VLOOKUP(I949,$C$3:$L$6,8,0)))*12+MONTH(B949)-MONTH(VLOOKUP(I949,$C$3:$L$6,8,0))))*VLOOKUP(I949,$C$3:$L$6,7,0),0)),""),"")</f>
        <v/>
      </c>
      <c r="L949" s="29" t="str">
        <f t="shared" ca="1" si="84"/>
        <v/>
      </c>
      <c r="M949" s="10"/>
      <c r="N949" s="10"/>
    </row>
    <row r="950" spans="1:14" x14ac:dyDescent="0.25">
      <c r="A950" s="10"/>
      <c r="B950" s="14" t="str">
        <f t="shared" ca="1" si="85"/>
        <v/>
      </c>
      <c r="C950" s="14" t="str">
        <f ca="1">IF(I949&lt;&gt;Variables!$B$1,IF(H949&lt;&gt;0,C949,I949),"")</f>
        <v/>
      </c>
      <c r="D950" s="29" t="str">
        <f t="shared" ca="1" si="82"/>
        <v/>
      </c>
      <c r="E950" s="29" t="str">
        <f t="shared" ca="1" si="83"/>
        <v/>
      </c>
      <c r="F950" s="29" t="str">
        <f ca="1">IF(C950&lt;&gt;"",IF(OR(VLOOKUP(C950,$C$3:$L$6,5,0)=Variables!$B$5,B950&gt;VLOOKUP(C950,$C$3:$L$6,8,0)),-D950*VLOOKUP(C950,$C$3:$L$6,6,0)/12,0),"")</f>
        <v/>
      </c>
      <c r="G950" s="29" t="str">
        <f ca="1">IF(I950&lt;&gt;Variables!$B$1,IF(C950&lt;&gt;"",$I$9-E950-F950,""),-D950)</f>
        <v/>
      </c>
      <c r="H950" s="29" t="str">
        <f t="shared" ca="1" si="86"/>
        <v/>
      </c>
      <c r="I950" s="31" t="str">
        <f ca="1">IF(C950&lt;&gt;"",IF(D950+$I$9-E950-F950&gt;=0,IF(ISERROR(INDEX($C$3:$C$6,MATCH(C950,$C$3:$C$6,0)+1,0)),Variables!$B$1,INDEX($C$3:$C$6,MATCH(C950,$C$3:$C$6,0)+1,0)),""),"")</f>
        <v/>
      </c>
      <c r="J950" s="29" t="str">
        <f ca="1">IF(ISERROR(VLOOKUP(I950,$C$3:$L$6,5,0)),"",IF(OR(VLOOKUP(I950,$C$3:$L$6,5,0)=Variables!$B$5,B950&gt;VLOOKUP(I950,$C$3:$L$6,8,0)),IF(VLOOKUP(I950,$C$3:$L$6,5,0)=Variables!$B$5,((YEAR(B950)-YEAR($B$12))*12+MONTH(B950)-MONTH($B$12)),((YEAR(B950)-YEAR(VLOOKUP(I950,$C$3:$L$6,8,0)))*12+MONTH(B950)-MONTH(VLOOKUP(I950,$C$3:$L$6,8,0))))*(VLOOKUP(I950,$C$3:$L$6,10,0)*VLOOKUP(I950,$C$3:$L$6,6,0)/12),0))</f>
        <v/>
      </c>
      <c r="K950" s="29" t="str">
        <f ca="1">IF(C950&lt;&gt;"",IF(I950&lt;&gt;"",IF(ISERROR(VLOOKUP(I950,$C$3:$L$6,10,0)),"",VLOOKUP(I950,$C$3:$L$6,10,0)+J950+IF(OR(VLOOKUP(I950,$C$3:$L$6,5,0)=Variables!$B$5,B950&gt;VLOOKUP(I950,$C$3:$L$6,8,0)),IF(VLOOKUP(I950,$C$3:$L$6,5,0)=Variables!$B$5,((YEAR(B950)-YEAR($B$12))*12+MONTH(B950)-MONTH($B$12)),((YEAR(B950)-YEAR(VLOOKUP(I950,$C$3:$L$6,8,0)))*12+MONTH(B950)-MONTH(VLOOKUP(I950,$C$3:$L$6,8,0))))*VLOOKUP(I950,$C$3:$L$6,7,0),0)),""),"")</f>
        <v/>
      </c>
      <c r="L950" s="29" t="str">
        <f t="shared" ca="1" si="84"/>
        <v/>
      </c>
      <c r="M950" s="10"/>
      <c r="N950" s="10"/>
    </row>
    <row r="951" spans="1:14" x14ac:dyDescent="0.25">
      <c r="A951" s="10"/>
      <c r="B951" s="14" t="str">
        <f t="shared" ca="1" si="85"/>
        <v/>
      </c>
      <c r="C951" s="14" t="str">
        <f ca="1">IF(I950&lt;&gt;Variables!$B$1,IF(H950&lt;&gt;0,C950,I950),"")</f>
        <v/>
      </c>
      <c r="D951" s="29" t="str">
        <f t="shared" ca="1" si="82"/>
        <v/>
      </c>
      <c r="E951" s="29" t="str">
        <f t="shared" ca="1" si="83"/>
        <v/>
      </c>
      <c r="F951" s="29" t="str">
        <f ca="1">IF(C951&lt;&gt;"",IF(OR(VLOOKUP(C951,$C$3:$L$6,5,0)=Variables!$B$5,B951&gt;VLOOKUP(C951,$C$3:$L$6,8,0)),-D951*VLOOKUP(C951,$C$3:$L$6,6,0)/12,0),"")</f>
        <v/>
      </c>
      <c r="G951" s="29" t="str">
        <f ca="1">IF(I951&lt;&gt;Variables!$B$1,IF(C951&lt;&gt;"",$I$9-E951-F951,""),-D951)</f>
        <v/>
      </c>
      <c r="H951" s="29" t="str">
        <f t="shared" ca="1" si="86"/>
        <v/>
      </c>
      <c r="I951" s="31" t="str">
        <f ca="1">IF(C951&lt;&gt;"",IF(D951+$I$9-E951-F951&gt;=0,IF(ISERROR(INDEX($C$3:$C$6,MATCH(C951,$C$3:$C$6,0)+1,0)),Variables!$B$1,INDEX($C$3:$C$6,MATCH(C951,$C$3:$C$6,0)+1,0)),""),"")</f>
        <v/>
      </c>
      <c r="J951" s="29" t="str">
        <f ca="1">IF(ISERROR(VLOOKUP(I951,$C$3:$L$6,5,0)),"",IF(OR(VLOOKUP(I951,$C$3:$L$6,5,0)=Variables!$B$5,B951&gt;VLOOKUP(I951,$C$3:$L$6,8,0)),IF(VLOOKUP(I951,$C$3:$L$6,5,0)=Variables!$B$5,((YEAR(B951)-YEAR($B$12))*12+MONTH(B951)-MONTH($B$12)),((YEAR(B951)-YEAR(VLOOKUP(I951,$C$3:$L$6,8,0)))*12+MONTH(B951)-MONTH(VLOOKUP(I951,$C$3:$L$6,8,0))))*(VLOOKUP(I951,$C$3:$L$6,10,0)*VLOOKUP(I951,$C$3:$L$6,6,0)/12),0))</f>
        <v/>
      </c>
      <c r="K951" s="29" t="str">
        <f ca="1">IF(C951&lt;&gt;"",IF(I951&lt;&gt;"",IF(ISERROR(VLOOKUP(I951,$C$3:$L$6,10,0)),"",VLOOKUP(I951,$C$3:$L$6,10,0)+J951+IF(OR(VLOOKUP(I951,$C$3:$L$6,5,0)=Variables!$B$5,B951&gt;VLOOKUP(I951,$C$3:$L$6,8,0)),IF(VLOOKUP(I951,$C$3:$L$6,5,0)=Variables!$B$5,((YEAR(B951)-YEAR($B$12))*12+MONTH(B951)-MONTH($B$12)),((YEAR(B951)-YEAR(VLOOKUP(I951,$C$3:$L$6,8,0)))*12+MONTH(B951)-MONTH(VLOOKUP(I951,$C$3:$L$6,8,0))))*VLOOKUP(I951,$C$3:$L$6,7,0),0)),""),"")</f>
        <v/>
      </c>
      <c r="L951" s="29" t="str">
        <f t="shared" ca="1" si="84"/>
        <v/>
      </c>
      <c r="M951" s="10"/>
      <c r="N951" s="10"/>
    </row>
    <row r="952" spans="1:14" x14ac:dyDescent="0.25">
      <c r="A952" s="10"/>
      <c r="B952" s="14" t="str">
        <f t="shared" ca="1" si="85"/>
        <v/>
      </c>
      <c r="C952" s="14" t="str">
        <f ca="1">IF(I951&lt;&gt;Variables!$B$1,IF(H951&lt;&gt;0,C951,I951),"")</f>
        <v/>
      </c>
      <c r="D952" s="29" t="str">
        <f t="shared" ca="1" si="82"/>
        <v/>
      </c>
      <c r="E952" s="29" t="str">
        <f t="shared" ca="1" si="83"/>
        <v/>
      </c>
      <c r="F952" s="29" t="str">
        <f ca="1">IF(C952&lt;&gt;"",IF(OR(VLOOKUP(C952,$C$3:$L$6,5,0)=Variables!$B$5,B952&gt;VLOOKUP(C952,$C$3:$L$6,8,0)),-D952*VLOOKUP(C952,$C$3:$L$6,6,0)/12,0),"")</f>
        <v/>
      </c>
      <c r="G952" s="29" t="str">
        <f ca="1">IF(I952&lt;&gt;Variables!$B$1,IF(C952&lt;&gt;"",$I$9-E952-F952,""),-D952)</f>
        <v/>
      </c>
      <c r="H952" s="29" t="str">
        <f t="shared" ca="1" si="86"/>
        <v/>
      </c>
      <c r="I952" s="31" t="str">
        <f ca="1">IF(C952&lt;&gt;"",IF(D952+$I$9-E952-F952&gt;=0,IF(ISERROR(INDEX($C$3:$C$6,MATCH(C952,$C$3:$C$6,0)+1,0)),Variables!$B$1,INDEX($C$3:$C$6,MATCH(C952,$C$3:$C$6,0)+1,0)),""),"")</f>
        <v/>
      </c>
      <c r="J952" s="29" t="str">
        <f ca="1">IF(ISERROR(VLOOKUP(I952,$C$3:$L$6,5,0)),"",IF(OR(VLOOKUP(I952,$C$3:$L$6,5,0)=Variables!$B$5,B952&gt;VLOOKUP(I952,$C$3:$L$6,8,0)),IF(VLOOKUP(I952,$C$3:$L$6,5,0)=Variables!$B$5,((YEAR(B952)-YEAR($B$12))*12+MONTH(B952)-MONTH($B$12)),((YEAR(B952)-YEAR(VLOOKUP(I952,$C$3:$L$6,8,0)))*12+MONTH(B952)-MONTH(VLOOKUP(I952,$C$3:$L$6,8,0))))*(VLOOKUP(I952,$C$3:$L$6,10,0)*VLOOKUP(I952,$C$3:$L$6,6,0)/12),0))</f>
        <v/>
      </c>
      <c r="K952" s="29" t="str">
        <f ca="1">IF(C952&lt;&gt;"",IF(I952&lt;&gt;"",IF(ISERROR(VLOOKUP(I952,$C$3:$L$6,10,0)),"",VLOOKUP(I952,$C$3:$L$6,10,0)+J952+IF(OR(VLOOKUP(I952,$C$3:$L$6,5,0)=Variables!$B$5,B952&gt;VLOOKUP(I952,$C$3:$L$6,8,0)),IF(VLOOKUP(I952,$C$3:$L$6,5,0)=Variables!$B$5,((YEAR(B952)-YEAR($B$12))*12+MONTH(B952)-MONTH($B$12)),((YEAR(B952)-YEAR(VLOOKUP(I952,$C$3:$L$6,8,0)))*12+MONTH(B952)-MONTH(VLOOKUP(I952,$C$3:$L$6,8,0))))*VLOOKUP(I952,$C$3:$L$6,7,0),0)),""),"")</f>
        <v/>
      </c>
      <c r="L952" s="29" t="str">
        <f t="shared" ca="1" si="84"/>
        <v/>
      </c>
      <c r="M952" s="10"/>
      <c r="N952" s="10"/>
    </row>
    <row r="953" spans="1:14" x14ac:dyDescent="0.25">
      <c r="A953" s="10"/>
      <c r="B953" s="14" t="str">
        <f t="shared" ca="1" si="85"/>
        <v/>
      </c>
      <c r="C953" s="14" t="str">
        <f ca="1">IF(I952&lt;&gt;Variables!$B$1,IF(H952&lt;&gt;0,C952,I952),"")</f>
        <v/>
      </c>
      <c r="D953" s="29" t="str">
        <f t="shared" ca="1" si="82"/>
        <v/>
      </c>
      <c r="E953" s="29" t="str">
        <f t="shared" ca="1" si="83"/>
        <v/>
      </c>
      <c r="F953" s="29" t="str">
        <f ca="1">IF(C953&lt;&gt;"",IF(OR(VLOOKUP(C953,$C$3:$L$6,5,0)=Variables!$B$5,B953&gt;VLOOKUP(C953,$C$3:$L$6,8,0)),-D953*VLOOKUP(C953,$C$3:$L$6,6,0)/12,0),"")</f>
        <v/>
      </c>
      <c r="G953" s="29" t="str">
        <f ca="1">IF(I953&lt;&gt;Variables!$B$1,IF(C953&lt;&gt;"",$I$9-E953-F953,""),-D953)</f>
        <v/>
      </c>
      <c r="H953" s="29" t="str">
        <f t="shared" ca="1" si="86"/>
        <v/>
      </c>
      <c r="I953" s="31" t="str">
        <f ca="1">IF(C953&lt;&gt;"",IF(D953+$I$9-E953-F953&gt;=0,IF(ISERROR(INDEX($C$3:$C$6,MATCH(C953,$C$3:$C$6,0)+1,0)),Variables!$B$1,INDEX($C$3:$C$6,MATCH(C953,$C$3:$C$6,0)+1,0)),""),"")</f>
        <v/>
      </c>
      <c r="J953" s="29" t="str">
        <f ca="1">IF(ISERROR(VLOOKUP(I953,$C$3:$L$6,5,0)),"",IF(OR(VLOOKUP(I953,$C$3:$L$6,5,0)=Variables!$B$5,B953&gt;VLOOKUP(I953,$C$3:$L$6,8,0)),IF(VLOOKUP(I953,$C$3:$L$6,5,0)=Variables!$B$5,((YEAR(B953)-YEAR($B$12))*12+MONTH(B953)-MONTH($B$12)),((YEAR(B953)-YEAR(VLOOKUP(I953,$C$3:$L$6,8,0)))*12+MONTH(B953)-MONTH(VLOOKUP(I953,$C$3:$L$6,8,0))))*(VLOOKUP(I953,$C$3:$L$6,10,0)*VLOOKUP(I953,$C$3:$L$6,6,0)/12),0))</f>
        <v/>
      </c>
      <c r="K953" s="29" t="str">
        <f ca="1">IF(C953&lt;&gt;"",IF(I953&lt;&gt;"",IF(ISERROR(VLOOKUP(I953,$C$3:$L$6,10,0)),"",VLOOKUP(I953,$C$3:$L$6,10,0)+J953+IF(OR(VLOOKUP(I953,$C$3:$L$6,5,0)=Variables!$B$5,B953&gt;VLOOKUP(I953,$C$3:$L$6,8,0)),IF(VLOOKUP(I953,$C$3:$L$6,5,0)=Variables!$B$5,((YEAR(B953)-YEAR($B$12))*12+MONTH(B953)-MONTH($B$12)),((YEAR(B953)-YEAR(VLOOKUP(I953,$C$3:$L$6,8,0)))*12+MONTH(B953)-MONTH(VLOOKUP(I953,$C$3:$L$6,8,0))))*VLOOKUP(I953,$C$3:$L$6,7,0),0)),""),"")</f>
        <v/>
      </c>
      <c r="L953" s="29" t="str">
        <f t="shared" ca="1" si="84"/>
        <v/>
      </c>
      <c r="M953" s="10"/>
      <c r="N953" s="10"/>
    </row>
    <row r="954" spans="1:14" x14ac:dyDescent="0.25">
      <c r="A954" s="10"/>
      <c r="B954" s="14" t="str">
        <f t="shared" ca="1" si="85"/>
        <v/>
      </c>
      <c r="C954" s="14" t="str">
        <f ca="1">IF(I953&lt;&gt;Variables!$B$1,IF(H953&lt;&gt;0,C953,I953),"")</f>
        <v/>
      </c>
      <c r="D954" s="29" t="str">
        <f t="shared" ca="1" si="82"/>
        <v/>
      </c>
      <c r="E954" s="29" t="str">
        <f t="shared" ca="1" si="83"/>
        <v/>
      </c>
      <c r="F954" s="29" t="str">
        <f ca="1">IF(C954&lt;&gt;"",IF(OR(VLOOKUP(C954,$C$3:$L$6,5,0)=Variables!$B$5,B954&gt;VLOOKUP(C954,$C$3:$L$6,8,0)),-D954*VLOOKUP(C954,$C$3:$L$6,6,0)/12,0),"")</f>
        <v/>
      </c>
      <c r="G954" s="29" t="str">
        <f ca="1">IF(I954&lt;&gt;Variables!$B$1,IF(C954&lt;&gt;"",$I$9-E954-F954,""),-D954)</f>
        <v/>
      </c>
      <c r="H954" s="29" t="str">
        <f t="shared" ca="1" si="86"/>
        <v/>
      </c>
      <c r="I954" s="31" t="str">
        <f ca="1">IF(C954&lt;&gt;"",IF(D954+$I$9-E954-F954&gt;=0,IF(ISERROR(INDEX($C$3:$C$6,MATCH(C954,$C$3:$C$6,0)+1,0)),Variables!$B$1,INDEX($C$3:$C$6,MATCH(C954,$C$3:$C$6,0)+1,0)),""),"")</f>
        <v/>
      </c>
      <c r="J954" s="29" t="str">
        <f ca="1">IF(ISERROR(VLOOKUP(I954,$C$3:$L$6,5,0)),"",IF(OR(VLOOKUP(I954,$C$3:$L$6,5,0)=Variables!$B$5,B954&gt;VLOOKUP(I954,$C$3:$L$6,8,0)),IF(VLOOKUP(I954,$C$3:$L$6,5,0)=Variables!$B$5,((YEAR(B954)-YEAR($B$12))*12+MONTH(B954)-MONTH($B$12)),((YEAR(B954)-YEAR(VLOOKUP(I954,$C$3:$L$6,8,0)))*12+MONTH(B954)-MONTH(VLOOKUP(I954,$C$3:$L$6,8,0))))*(VLOOKUP(I954,$C$3:$L$6,10,0)*VLOOKUP(I954,$C$3:$L$6,6,0)/12),0))</f>
        <v/>
      </c>
      <c r="K954" s="29" t="str">
        <f ca="1">IF(C954&lt;&gt;"",IF(I954&lt;&gt;"",IF(ISERROR(VLOOKUP(I954,$C$3:$L$6,10,0)),"",VLOOKUP(I954,$C$3:$L$6,10,0)+J954+IF(OR(VLOOKUP(I954,$C$3:$L$6,5,0)=Variables!$B$5,B954&gt;VLOOKUP(I954,$C$3:$L$6,8,0)),IF(VLOOKUP(I954,$C$3:$L$6,5,0)=Variables!$B$5,((YEAR(B954)-YEAR($B$12))*12+MONTH(B954)-MONTH($B$12)),((YEAR(B954)-YEAR(VLOOKUP(I954,$C$3:$L$6,8,0)))*12+MONTH(B954)-MONTH(VLOOKUP(I954,$C$3:$L$6,8,0))))*VLOOKUP(I954,$C$3:$L$6,7,0),0)),""),"")</f>
        <v/>
      </c>
      <c r="L954" s="29" t="str">
        <f t="shared" ca="1" si="84"/>
        <v/>
      </c>
      <c r="M954" s="10"/>
      <c r="N954" s="10"/>
    </row>
    <row r="955" spans="1:14" x14ac:dyDescent="0.25">
      <c r="A955" s="10"/>
      <c r="B955" s="14" t="str">
        <f t="shared" ca="1" si="85"/>
        <v/>
      </c>
      <c r="C955" s="14" t="str">
        <f ca="1">IF(I954&lt;&gt;Variables!$B$1,IF(H954&lt;&gt;0,C954,I954),"")</f>
        <v/>
      </c>
      <c r="D955" s="29" t="str">
        <f t="shared" ca="1" si="82"/>
        <v/>
      </c>
      <c r="E955" s="29" t="str">
        <f t="shared" ca="1" si="83"/>
        <v/>
      </c>
      <c r="F955" s="29" t="str">
        <f ca="1">IF(C955&lt;&gt;"",IF(OR(VLOOKUP(C955,$C$3:$L$6,5,0)=Variables!$B$5,B955&gt;VLOOKUP(C955,$C$3:$L$6,8,0)),-D955*VLOOKUP(C955,$C$3:$L$6,6,0)/12,0),"")</f>
        <v/>
      </c>
      <c r="G955" s="29" t="str">
        <f ca="1">IF(I955&lt;&gt;Variables!$B$1,IF(C955&lt;&gt;"",$I$9-E955-F955,""),-D955)</f>
        <v/>
      </c>
      <c r="H955" s="29" t="str">
        <f t="shared" ca="1" si="86"/>
        <v/>
      </c>
      <c r="I955" s="31" t="str">
        <f ca="1">IF(C955&lt;&gt;"",IF(D955+$I$9-E955-F955&gt;=0,IF(ISERROR(INDEX($C$3:$C$6,MATCH(C955,$C$3:$C$6,0)+1,0)),Variables!$B$1,INDEX($C$3:$C$6,MATCH(C955,$C$3:$C$6,0)+1,0)),""),"")</f>
        <v/>
      </c>
      <c r="J955" s="29" t="str">
        <f ca="1">IF(ISERROR(VLOOKUP(I955,$C$3:$L$6,5,0)),"",IF(OR(VLOOKUP(I955,$C$3:$L$6,5,0)=Variables!$B$5,B955&gt;VLOOKUP(I955,$C$3:$L$6,8,0)),IF(VLOOKUP(I955,$C$3:$L$6,5,0)=Variables!$B$5,((YEAR(B955)-YEAR($B$12))*12+MONTH(B955)-MONTH($B$12)),((YEAR(B955)-YEAR(VLOOKUP(I955,$C$3:$L$6,8,0)))*12+MONTH(B955)-MONTH(VLOOKUP(I955,$C$3:$L$6,8,0))))*(VLOOKUP(I955,$C$3:$L$6,10,0)*VLOOKUP(I955,$C$3:$L$6,6,0)/12),0))</f>
        <v/>
      </c>
      <c r="K955" s="29" t="str">
        <f ca="1">IF(C955&lt;&gt;"",IF(I955&lt;&gt;"",IF(ISERROR(VLOOKUP(I955,$C$3:$L$6,10,0)),"",VLOOKUP(I955,$C$3:$L$6,10,0)+J955+IF(OR(VLOOKUP(I955,$C$3:$L$6,5,0)=Variables!$B$5,B955&gt;VLOOKUP(I955,$C$3:$L$6,8,0)),IF(VLOOKUP(I955,$C$3:$L$6,5,0)=Variables!$B$5,((YEAR(B955)-YEAR($B$12))*12+MONTH(B955)-MONTH($B$12)),((YEAR(B955)-YEAR(VLOOKUP(I955,$C$3:$L$6,8,0)))*12+MONTH(B955)-MONTH(VLOOKUP(I955,$C$3:$L$6,8,0))))*VLOOKUP(I955,$C$3:$L$6,7,0),0)),""),"")</f>
        <v/>
      </c>
      <c r="L955" s="29" t="str">
        <f t="shared" ca="1" si="84"/>
        <v/>
      </c>
      <c r="M955" s="10"/>
      <c r="N955" s="10"/>
    </row>
    <row r="956" spans="1:14" x14ac:dyDescent="0.25">
      <c r="A956" s="10"/>
      <c r="B956" s="14" t="str">
        <f t="shared" ca="1" si="85"/>
        <v/>
      </c>
      <c r="C956" s="14" t="str">
        <f ca="1">IF(I955&lt;&gt;Variables!$B$1,IF(H955&lt;&gt;0,C955,I955),"")</f>
        <v/>
      </c>
      <c r="D956" s="29" t="str">
        <f t="shared" ca="1" si="82"/>
        <v/>
      </c>
      <c r="E956" s="29" t="str">
        <f t="shared" ca="1" si="83"/>
        <v/>
      </c>
      <c r="F956" s="29" t="str">
        <f ca="1">IF(C956&lt;&gt;"",IF(OR(VLOOKUP(C956,$C$3:$L$6,5,0)=Variables!$B$5,B956&gt;VLOOKUP(C956,$C$3:$L$6,8,0)),-D956*VLOOKUP(C956,$C$3:$L$6,6,0)/12,0),"")</f>
        <v/>
      </c>
      <c r="G956" s="29" t="str">
        <f ca="1">IF(I956&lt;&gt;Variables!$B$1,IF(C956&lt;&gt;"",$I$9-E956-F956,""),-D956)</f>
        <v/>
      </c>
      <c r="H956" s="29" t="str">
        <f t="shared" ca="1" si="86"/>
        <v/>
      </c>
      <c r="I956" s="31" t="str">
        <f ca="1">IF(C956&lt;&gt;"",IF(D956+$I$9-E956-F956&gt;=0,IF(ISERROR(INDEX($C$3:$C$6,MATCH(C956,$C$3:$C$6,0)+1,0)),Variables!$B$1,INDEX($C$3:$C$6,MATCH(C956,$C$3:$C$6,0)+1,0)),""),"")</f>
        <v/>
      </c>
      <c r="J956" s="29" t="str">
        <f ca="1">IF(ISERROR(VLOOKUP(I956,$C$3:$L$6,5,0)),"",IF(OR(VLOOKUP(I956,$C$3:$L$6,5,0)=Variables!$B$5,B956&gt;VLOOKUP(I956,$C$3:$L$6,8,0)),IF(VLOOKUP(I956,$C$3:$L$6,5,0)=Variables!$B$5,((YEAR(B956)-YEAR($B$12))*12+MONTH(B956)-MONTH($B$12)),((YEAR(B956)-YEAR(VLOOKUP(I956,$C$3:$L$6,8,0)))*12+MONTH(B956)-MONTH(VLOOKUP(I956,$C$3:$L$6,8,0))))*(VLOOKUP(I956,$C$3:$L$6,10,0)*VLOOKUP(I956,$C$3:$L$6,6,0)/12),0))</f>
        <v/>
      </c>
      <c r="K956" s="29" t="str">
        <f ca="1">IF(C956&lt;&gt;"",IF(I956&lt;&gt;"",IF(ISERROR(VLOOKUP(I956,$C$3:$L$6,10,0)),"",VLOOKUP(I956,$C$3:$L$6,10,0)+J956+IF(OR(VLOOKUP(I956,$C$3:$L$6,5,0)=Variables!$B$5,B956&gt;VLOOKUP(I956,$C$3:$L$6,8,0)),IF(VLOOKUP(I956,$C$3:$L$6,5,0)=Variables!$B$5,((YEAR(B956)-YEAR($B$12))*12+MONTH(B956)-MONTH($B$12)),((YEAR(B956)-YEAR(VLOOKUP(I956,$C$3:$L$6,8,0)))*12+MONTH(B956)-MONTH(VLOOKUP(I956,$C$3:$L$6,8,0))))*VLOOKUP(I956,$C$3:$L$6,7,0),0)),""),"")</f>
        <v/>
      </c>
      <c r="L956" s="29" t="str">
        <f t="shared" ca="1" si="84"/>
        <v/>
      </c>
      <c r="M956" s="10"/>
      <c r="N956" s="10"/>
    </row>
    <row r="957" spans="1:14" x14ac:dyDescent="0.25">
      <c r="A957" s="10"/>
      <c r="B957" s="14" t="str">
        <f t="shared" ca="1" si="85"/>
        <v/>
      </c>
      <c r="C957" s="14" t="str">
        <f ca="1">IF(I956&lt;&gt;Variables!$B$1,IF(H956&lt;&gt;0,C956,I956),"")</f>
        <v/>
      </c>
      <c r="D957" s="29" t="str">
        <f t="shared" ca="1" si="82"/>
        <v/>
      </c>
      <c r="E957" s="29" t="str">
        <f t="shared" ca="1" si="83"/>
        <v/>
      </c>
      <c r="F957" s="29" t="str">
        <f ca="1">IF(C957&lt;&gt;"",IF(OR(VLOOKUP(C957,$C$3:$L$6,5,0)=Variables!$B$5,B957&gt;VLOOKUP(C957,$C$3:$L$6,8,0)),-D957*VLOOKUP(C957,$C$3:$L$6,6,0)/12,0),"")</f>
        <v/>
      </c>
      <c r="G957" s="29" t="str">
        <f ca="1">IF(I957&lt;&gt;Variables!$B$1,IF(C957&lt;&gt;"",$I$9-E957-F957,""),-D957)</f>
        <v/>
      </c>
      <c r="H957" s="29" t="str">
        <f t="shared" ca="1" si="86"/>
        <v/>
      </c>
      <c r="I957" s="31" t="str">
        <f ca="1">IF(C957&lt;&gt;"",IF(D957+$I$9-E957-F957&gt;=0,IF(ISERROR(INDEX($C$3:$C$6,MATCH(C957,$C$3:$C$6,0)+1,0)),Variables!$B$1,INDEX($C$3:$C$6,MATCH(C957,$C$3:$C$6,0)+1,0)),""),"")</f>
        <v/>
      </c>
      <c r="J957" s="29" t="str">
        <f ca="1">IF(ISERROR(VLOOKUP(I957,$C$3:$L$6,5,0)),"",IF(OR(VLOOKUP(I957,$C$3:$L$6,5,0)=Variables!$B$5,B957&gt;VLOOKUP(I957,$C$3:$L$6,8,0)),IF(VLOOKUP(I957,$C$3:$L$6,5,0)=Variables!$B$5,((YEAR(B957)-YEAR($B$12))*12+MONTH(B957)-MONTH($B$12)),((YEAR(B957)-YEAR(VLOOKUP(I957,$C$3:$L$6,8,0)))*12+MONTH(B957)-MONTH(VLOOKUP(I957,$C$3:$L$6,8,0))))*(VLOOKUP(I957,$C$3:$L$6,10,0)*VLOOKUP(I957,$C$3:$L$6,6,0)/12),0))</f>
        <v/>
      </c>
      <c r="K957" s="29" t="str">
        <f ca="1">IF(C957&lt;&gt;"",IF(I957&lt;&gt;"",IF(ISERROR(VLOOKUP(I957,$C$3:$L$6,10,0)),"",VLOOKUP(I957,$C$3:$L$6,10,0)+J957+IF(OR(VLOOKUP(I957,$C$3:$L$6,5,0)=Variables!$B$5,B957&gt;VLOOKUP(I957,$C$3:$L$6,8,0)),IF(VLOOKUP(I957,$C$3:$L$6,5,0)=Variables!$B$5,((YEAR(B957)-YEAR($B$12))*12+MONTH(B957)-MONTH($B$12)),((YEAR(B957)-YEAR(VLOOKUP(I957,$C$3:$L$6,8,0)))*12+MONTH(B957)-MONTH(VLOOKUP(I957,$C$3:$L$6,8,0))))*VLOOKUP(I957,$C$3:$L$6,7,0),0)),""),"")</f>
        <v/>
      </c>
      <c r="L957" s="29" t="str">
        <f t="shared" ca="1" si="84"/>
        <v/>
      </c>
      <c r="M957" s="10"/>
      <c r="N957" s="10"/>
    </row>
    <row r="958" spans="1:14" x14ac:dyDescent="0.25">
      <c r="A958" s="10"/>
      <c r="B958" s="14" t="str">
        <f t="shared" ca="1" si="85"/>
        <v/>
      </c>
      <c r="C958" s="14" t="str">
        <f ca="1">IF(I957&lt;&gt;Variables!$B$1,IF(H957&lt;&gt;0,C957,I957),"")</f>
        <v/>
      </c>
      <c r="D958" s="29" t="str">
        <f t="shared" ca="1" si="82"/>
        <v/>
      </c>
      <c r="E958" s="29" t="str">
        <f t="shared" ca="1" si="83"/>
        <v/>
      </c>
      <c r="F958" s="29" t="str">
        <f ca="1">IF(C958&lt;&gt;"",IF(OR(VLOOKUP(C958,$C$3:$L$6,5,0)=Variables!$B$5,B958&gt;VLOOKUP(C958,$C$3:$L$6,8,0)),-D958*VLOOKUP(C958,$C$3:$L$6,6,0)/12,0),"")</f>
        <v/>
      </c>
      <c r="G958" s="29" t="str">
        <f ca="1">IF(I958&lt;&gt;Variables!$B$1,IF(C958&lt;&gt;"",$I$9-E958-F958,""),-D958)</f>
        <v/>
      </c>
      <c r="H958" s="29" t="str">
        <f t="shared" ca="1" si="86"/>
        <v/>
      </c>
      <c r="I958" s="31" t="str">
        <f ca="1">IF(C958&lt;&gt;"",IF(D958+$I$9-E958-F958&gt;=0,IF(ISERROR(INDEX($C$3:$C$6,MATCH(C958,$C$3:$C$6,0)+1,0)),Variables!$B$1,INDEX($C$3:$C$6,MATCH(C958,$C$3:$C$6,0)+1,0)),""),"")</f>
        <v/>
      </c>
      <c r="J958" s="29" t="str">
        <f ca="1">IF(ISERROR(VLOOKUP(I958,$C$3:$L$6,5,0)),"",IF(OR(VLOOKUP(I958,$C$3:$L$6,5,0)=Variables!$B$5,B958&gt;VLOOKUP(I958,$C$3:$L$6,8,0)),IF(VLOOKUP(I958,$C$3:$L$6,5,0)=Variables!$B$5,((YEAR(B958)-YEAR($B$12))*12+MONTH(B958)-MONTH($B$12)),((YEAR(B958)-YEAR(VLOOKUP(I958,$C$3:$L$6,8,0)))*12+MONTH(B958)-MONTH(VLOOKUP(I958,$C$3:$L$6,8,0))))*(VLOOKUP(I958,$C$3:$L$6,10,0)*VLOOKUP(I958,$C$3:$L$6,6,0)/12),0))</f>
        <v/>
      </c>
      <c r="K958" s="29" t="str">
        <f ca="1">IF(C958&lt;&gt;"",IF(I958&lt;&gt;"",IF(ISERROR(VLOOKUP(I958,$C$3:$L$6,10,0)),"",VLOOKUP(I958,$C$3:$L$6,10,0)+J958+IF(OR(VLOOKUP(I958,$C$3:$L$6,5,0)=Variables!$B$5,B958&gt;VLOOKUP(I958,$C$3:$L$6,8,0)),IF(VLOOKUP(I958,$C$3:$L$6,5,0)=Variables!$B$5,((YEAR(B958)-YEAR($B$12))*12+MONTH(B958)-MONTH($B$12)),((YEAR(B958)-YEAR(VLOOKUP(I958,$C$3:$L$6,8,0)))*12+MONTH(B958)-MONTH(VLOOKUP(I958,$C$3:$L$6,8,0))))*VLOOKUP(I958,$C$3:$L$6,7,0),0)),""),"")</f>
        <v/>
      </c>
      <c r="L958" s="29" t="str">
        <f t="shared" ca="1" si="84"/>
        <v/>
      </c>
      <c r="M958" s="10"/>
      <c r="N958" s="10"/>
    </row>
    <row r="959" spans="1:14" x14ac:dyDescent="0.25">
      <c r="A959" s="10"/>
      <c r="B959" s="14" t="str">
        <f t="shared" ca="1" si="85"/>
        <v/>
      </c>
      <c r="C959" s="14" t="str">
        <f ca="1">IF(I958&lt;&gt;Variables!$B$1,IF(H958&lt;&gt;0,C958,I958),"")</f>
        <v/>
      </c>
      <c r="D959" s="29" t="str">
        <f t="shared" ca="1" si="82"/>
        <v/>
      </c>
      <c r="E959" s="29" t="str">
        <f t="shared" ca="1" si="83"/>
        <v/>
      </c>
      <c r="F959" s="29" t="str">
        <f ca="1">IF(C959&lt;&gt;"",IF(OR(VLOOKUP(C959,$C$3:$L$6,5,0)=Variables!$B$5,B959&gt;VLOOKUP(C959,$C$3:$L$6,8,0)),-D959*VLOOKUP(C959,$C$3:$L$6,6,0)/12,0),"")</f>
        <v/>
      </c>
      <c r="G959" s="29" t="str">
        <f ca="1">IF(I959&lt;&gt;Variables!$B$1,IF(C959&lt;&gt;"",$I$9-E959-F959,""),-D959)</f>
        <v/>
      </c>
      <c r="H959" s="29" t="str">
        <f t="shared" ca="1" si="86"/>
        <v/>
      </c>
      <c r="I959" s="31" t="str">
        <f ca="1">IF(C959&lt;&gt;"",IF(D959+$I$9-E959-F959&gt;=0,IF(ISERROR(INDEX($C$3:$C$6,MATCH(C959,$C$3:$C$6,0)+1,0)),Variables!$B$1,INDEX($C$3:$C$6,MATCH(C959,$C$3:$C$6,0)+1,0)),""),"")</f>
        <v/>
      </c>
      <c r="J959" s="29" t="str">
        <f ca="1">IF(ISERROR(VLOOKUP(I959,$C$3:$L$6,5,0)),"",IF(OR(VLOOKUP(I959,$C$3:$L$6,5,0)=Variables!$B$5,B959&gt;VLOOKUP(I959,$C$3:$L$6,8,0)),IF(VLOOKUP(I959,$C$3:$L$6,5,0)=Variables!$B$5,((YEAR(B959)-YEAR($B$12))*12+MONTH(B959)-MONTH($B$12)),((YEAR(B959)-YEAR(VLOOKUP(I959,$C$3:$L$6,8,0)))*12+MONTH(B959)-MONTH(VLOOKUP(I959,$C$3:$L$6,8,0))))*(VLOOKUP(I959,$C$3:$L$6,10,0)*VLOOKUP(I959,$C$3:$L$6,6,0)/12),0))</f>
        <v/>
      </c>
      <c r="K959" s="29" t="str">
        <f ca="1">IF(C959&lt;&gt;"",IF(I959&lt;&gt;"",IF(ISERROR(VLOOKUP(I959,$C$3:$L$6,10,0)),"",VLOOKUP(I959,$C$3:$L$6,10,0)+J959+IF(OR(VLOOKUP(I959,$C$3:$L$6,5,0)=Variables!$B$5,B959&gt;VLOOKUP(I959,$C$3:$L$6,8,0)),IF(VLOOKUP(I959,$C$3:$L$6,5,0)=Variables!$B$5,((YEAR(B959)-YEAR($B$12))*12+MONTH(B959)-MONTH($B$12)),((YEAR(B959)-YEAR(VLOOKUP(I959,$C$3:$L$6,8,0)))*12+MONTH(B959)-MONTH(VLOOKUP(I959,$C$3:$L$6,8,0))))*VLOOKUP(I959,$C$3:$L$6,7,0),0)),""),"")</f>
        <v/>
      </c>
      <c r="L959" s="29" t="str">
        <f t="shared" ca="1" si="84"/>
        <v/>
      </c>
      <c r="M959" s="10"/>
      <c r="N959" s="10"/>
    </row>
    <row r="960" spans="1:14" x14ac:dyDescent="0.25">
      <c r="A960" s="10"/>
      <c r="B960" s="14" t="str">
        <f t="shared" ca="1" si="85"/>
        <v/>
      </c>
      <c r="C960" s="14" t="str">
        <f ca="1">IF(I959&lt;&gt;Variables!$B$1,IF(H959&lt;&gt;0,C959,I959),"")</f>
        <v/>
      </c>
      <c r="D960" s="29" t="str">
        <f t="shared" ca="1" si="82"/>
        <v/>
      </c>
      <c r="E960" s="29" t="str">
        <f t="shared" ca="1" si="83"/>
        <v/>
      </c>
      <c r="F960" s="29" t="str">
        <f ca="1">IF(C960&lt;&gt;"",IF(OR(VLOOKUP(C960,$C$3:$L$6,5,0)=Variables!$B$5,B960&gt;VLOOKUP(C960,$C$3:$L$6,8,0)),-D960*VLOOKUP(C960,$C$3:$L$6,6,0)/12,0),"")</f>
        <v/>
      </c>
      <c r="G960" s="29" t="str">
        <f ca="1">IF(I960&lt;&gt;Variables!$B$1,IF(C960&lt;&gt;"",$I$9-E960-F960,""),-D960)</f>
        <v/>
      </c>
      <c r="H960" s="29" t="str">
        <f t="shared" ca="1" si="86"/>
        <v/>
      </c>
      <c r="I960" s="31" t="str">
        <f ca="1">IF(C960&lt;&gt;"",IF(D960+$I$9-E960-F960&gt;=0,IF(ISERROR(INDEX($C$3:$C$6,MATCH(C960,$C$3:$C$6,0)+1,0)),Variables!$B$1,INDEX($C$3:$C$6,MATCH(C960,$C$3:$C$6,0)+1,0)),""),"")</f>
        <v/>
      </c>
      <c r="J960" s="29" t="str">
        <f ca="1">IF(ISERROR(VLOOKUP(I960,$C$3:$L$6,5,0)),"",IF(OR(VLOOKUP(I960,$C$3:$L$6,5,0)=Variables!$B$5,B960&gt;VLOOKUP(I960,$C$3:$L$6,8,0)),IF(VLOOKUP(I960,$C$3:$L$6,5,0)=Variables!$B$5,((YEAR(B960)-YEAR($B$12))*12+MONTH(B960)-MONTH($B$12)),((YEAR(B960)-YEAR(VLOOKUP(I960,$C$3:$L$6,8,0)))*12+MONTH(B960)-MONTH(VLOOKUP(I960,$C$3:$L$6,8,0))))*(VLOOKUP(I960,$C$3:$L$6,10,0)*VLOOKUP(I960,$C$3:$L$6,6,0)/12),0))</f>
        <v/>
      </c>
      <c r="K960" s="29" t="str">
        <f ca="1">IF(C960&lt;&gt;"",IF(I960&lt;&gt;"",IF(ISERROR(VLOOKUP(I960,$C$3:$L$6,10,0)),"",VLOOKUP(I960,$C$3:$L$6,10,0)+J960+IF(OR(VLOOKUP(I960,$C$3:$L$6,5,0)=Variables!$B$5,B960&gt;VLOOKUP(I960,$C$3:$L$6,8,0)),IF(VLOOKUP(I960,$C$3:$L$6,5,0)=Variables!$B$5,((YEAR(B960)-YEAR($B$12))*12+MONTH(B960)-MONTH($B$12)),((YEAR(B960)-YEAR(VLOOKUP(I960,$C$3:$L$6,8,0)))*12+MONTH(B960)-MONTH(VLOOKUP(I960,$C$3:$L$6,8,0))))*VLOOKUP(I960,$C$3:$L$6,7,0),0)),""),"")</f>
        <v/>
      </c>
      <c r="L960" s="29" t="str">
        <f t="shared" ca="1" si="84"/>
        <v/>
      </c>
      <c r="M960" s="10"/>
      <c r="N960" s="10"/>
    </row>
    <row r="961" spans="1:14" x14ac:dyDescent="0.25">
      <c r="A961" s="10"/>
      <c r="B961" s="14" t="str">
        <f t="shared" ca="1" si="85"/>
        <v/>
      </c>
      <c r="C961" s="14" t="str">
        <f ca="1">IF(I960&lt;&gt;Variables!$B$1,IF(H960&lt;&gt;0,C960,I960),"")</f>
        <v/>
      </c>
      <c r="D961" s="29" t="str">
        <f t="shared" ca="1" si="82"/>
        <v/>
      </c>
      <c r="E961" s="29" t="str">
        <f t="shared" ca="1" si="83"/>
        <v/>
      </c>
      <c r="F961" s="29" t="str">
        <f ca="1">IF(C961&lt;&gt;"",IF(OR(VLOOKUP(C961,$C$3:$L$6,5,0)=Variables!$B$5,B961&gt;VLOOKUP(C961,$C$3:$L$6,8,0)),-D961*VLOOKUP(C961,$C$3:$L$6,6,0)/12,0),"")</f>
        <v/>
      </c>
      <c r="G961" s="29" t="str">
        <f ca="1">IF(I961&lt;&gt;Variables!$B$1,IF(C961&lt;&gt;"",$I$9-E961-F961,""),-D961)</f>
        <v/>
      </c>
      <c r="H961" s="29" t="str">
        <f t="shared" ca="1" si="86"/>
        <v/>
      </c>
      <c r="I961" s="31" t="str">
        <f ca="1">IF(C961&lt;&gt;"",IF(D961+$I$9-E961-F961&gt;=0,IF(ISERROR(INDEX($C$3:$C$6,MATCH(C961,$C$3:$C$6,0)+1,0)),Variables!$B$1,INDEX($C$3:$C$6,MATCH(C961,$C$3:$C$6,0)+1,0)),""),"")</f>
        <v/>
      </c>
      <c r="J961" s="29" t="str">
        <f ca="1">IF(ISERROR(VLOOKUP(I961,$C$3:$L$6,5,0)),"",IF(OR(VLOOKUP(I961,$C$3:$L$6,5,0)=Variables!$B$5,B961&gt;VLOOKUP(I961,$C$3:$L$6,8,0)),IF(VLOOKUP(I961,$C$3:$L$6,5,0)=Variables!$B$5,((YEAR(B961)-YEAR($B$12))*12+MONTH(B961)-MONTH($B$12)),((YEAR(B961)-YEAR(VLOOKUP(I961,$C$3:$L$6,8,0)))*12+MONTH(B961)-MONTH(VLOOKUP(I961,$C$3:$L$6,8,0))))*(VLOOKUP(I961,$C$3:$L$6,10,0)*VLOOKUP(I961,$C$3:$L$6,6,0)/12),0))</f>
        <v/>
      </c>
      <c r="K961" s="29" t="str">
        <f ca="1">IF(C961&lt;&gt;"",IF(I961&lt;&gt;"",IF(ISERROR(VLOOKUP(I961,$C$3:$L$6,10,0)),"",VLOOKUP(I961,$C$3:$L$6,10,0)+J961+IF(OR(VLOOKUP(I961,$C$3:$L$6,5,0)=Variables!$B$5,B961&gt;VLOOKUP(I961,$C$3:$L$6,8,0)),IF(VLOOKUP(I961,$C$3:$L$6,5,0)=Variables!$B$5,((YEAR(B961)-YEAR($B$12))*12+MONTH(B961)-MONTH($B$12)),((YEAR(B961)-YEAR(VLOOKUP(I961,$C$3:$L$6,8,0)))*12+MONTH(B961)-MONTH(VLOOKUP(I961,$C$3:$L$6,8,0))))*VLOOKUP(I961,$C$3:$L$6,7,0),0)),""),"")</f>
        <v/>
      </c>
      <c r="L961" s="29" t="str">
        <f t="shared" ca="1" si="84"/>
        <v/>
      </c>
      <c r="M961" s="10"/>
      <c r="N961" s="10"/>
    </row>
    <row r="962" spans="1:14" x14ac:dyDescent="0.25">
      <c r="A962" s="10"/>
      <c r="B962" s="14" t="str">
        <f t="shared" ca="1" si="85"/>
        <v/>
      </c>
      <c r="C962" s="14" t="str">
        <f ca="1">IF(I961&lt;&gt;Variables!$B$1,IF(H961&lt;&gt;0,C961,I961),"")</f>
        <v/>
      </c>
      <c r="D962" s="29" t="str">
        <f t="shared" ca="1" si="82"/>
        <v/>
      </c>
      <c r="E962" s="29" t="str">
        <f t="shared" ca="1" si="83"/>
        <v/>
      </c>
      <c r="F962" s="29" t="str">
        <f ca="1">IF(C962&lt;&gt;"",IF(OR(VLOOKUP(C962,$C$3:$L$6,5,0)=Variables!$B$5,B962&gt;VLOOKUP(C962,$C$3:$L$6,8,0)),-D962*VLOOKUP(C962,$C$3:$L$6,6,0)/12,0),"")</f>
        <v/>
      </c>
      <c r="G962" s="29" t="str">
        <f ca="1">IF(I962&lt;&gt;Variables!$B$1,IF(C962&lt;&gt;"",$I$9-E962-F962,""),-D962)</f>
        <v/>
      </c>
      <c r="H962" s="29" t="str">
        <f t="shared" ca="1" si="86"/>
        <v/>
      </c>
      <c r="I962" s="31" t="str">
        <f ca="1">IF(C962&lt;&gt;"",IF(D962+$I$9-E962-F962&gt;=0,IF(ISERROR(INDEX($C$3:$C$6,MATCH(C962,$C$3:$C$6,0)+1,0)),Variables!$B$1,INDEX($C$3:$C$6,MATCH(C962,$C$3:$C$6,0)+1,0)),""),"")</f>
        <v/>
      </c>
      <c r="J962" s="29" t="str">
        <f ca="1">IF(ISERROR(VLOOKUP(I962,$C$3:$L$6,5,0)),"",IF(OR(VLOOKUP(I962,$C$3:$L$6,5,0)=Variables!$B$5,B962&gt;VLOOKUP(I962,$C$3:$L$6,8,0)),IF(VLOOKUP(I962,$C$3:$L$6,5,0)=Variables!$B$5,((YEAR(B962)-YEAR($B$12))*12+MONTH(B962)-MONTH($B$12)),((YEAR(B962)-YEAR(VLOOKUP(I962,$C$3:$L$6,8,0)))*12+MONTH(B962)-MONTH(VLOOKUP(I962,$C$3:$L$6,8,0))))*(VLOOKUP(I962,$C$3:$L$6,10,0)*VLOOKUP(I962,$C$3:$L$6,6,0)/12),0))</f>
        <v/>
      </c>
      <c r="K962" s="29" t="str">
        <f ca="1">IF(C962&lt;&gt;"",IF(I962&lt;&gt;"",IF(ISERROR(VLOOKUP(I962,$C$3:$L$6,10,0)),"",VLOOKUP(I962,$C$3:$L$6,10,0)+J962+IF(OR(VLOOKUP(I962,$C$3:$L$6,5,0)=Variables!$B$5,B962&gt;VLOOKUP(I962,$C$3:$L$6,8,0)),IF(VLOOKUP(I962,$C$3:$L$6,5,0)=Variables!$B$5,((YEAR(B962)-YEAR($B$12))*12+MONTH(B962)-MONTH($B$12)),((YEAR(B962)-YEAR(VLOOKUP(I962,$C$3:$L$6,8,0)))*12+MONTH(B962)-MONTH(VLOOKUP(I962,$C$3:$L$6,8,0))))*VLOOKUP(I962,$C$3:$L$6,7,0),0)),""),"")</f>
        <v/>
      </c>
      <c r="L962" s="29" t="str">
        <f t="shared" ca="1" si="84"/>
        <v/>
      </c>
      <c r="M962" s="10"/>
      <c r="N962" s="10"/>
    </row>
    <row r="963" spans="1:14" x14ac:dyDescent="0.25">
      <c r="A963" s="10"/>
      <c r="B963" s="14" t="str">
        <f t="shared" ca="1" si="85"/>
        <v/>
      </c>
      <c r="C963" s="14" t="str">
        <f ca="1">IF(I962&lt;&gt;Variables!$B$1,IF(H962&lt;&gt;0,C962,I962),"")</f>
        <v/>
      </c>
      <c r="D963" s="29" t="str">
        <f t="shared" ca="1" si="82"/>
        <v/>
      </c>
      <c r="E963" s="29" t="str">
        <f t="shared" ca="1" si="83"/>
        <v/>
      </c>
      <c r="F963" s="29" t="str">
        <f ca="1">IF(C963&lt;&gt;"",IF(OR(VLOOKUP(C963,$C$3:$L$6,5,0)=Variables!$B$5,B963&gt;VLOOKUP(C963,$C$3:$L$6,8,0)),-D963*VLOOKUP(C963,$C$3:$L$6,6,0)/12,0),"")</f>
        <v/>
      </c>
      <c r="G963" s="29" t="str">
        <f ca="1">IF(I963&lt;&gt;Variables!$B$1,IF(C963&lt;&gt;"",$I$9-E963-F963,""),-D963)</f>
        <v/>
      </c>
      <c r="H963" s="29" t="str">
        <f t="shared" ca="1" si="86"/>
        <v/>
      </c>
      <c r="I963" s="31" t="str">
        <f ca="1">IF(C963&lt;&gt;"",IF(D963+$I$9-E963-F963&gt;=0,IF(ISERROR(INDEX($C$3:$C$6,MATCH(C963,$C$3:$C$6,0)+1,0)),Variables!$B$1,INDEX($C$3:$C$6,MATCH(C963,$C$3:$C$6,0)+1,0)),""),"")</f>
        <v/>
      </c>
      <c r="J963" s="29" t="str">
        <f ca="1">IF(ISERROR(VLOOKUP(I963,$C$3:$L$6,5,0)),"",IF(OR(VLOOKUP(I963,$C$3:$L$6,5,0)=Variables!$B$5,B963&gt;VLOOKUP(I963,$C$3:$L$6,8,0)),IF(VLOOKUP(I963,$C$3:$L$6,5,0)=Variables!$B$5,((YEAR(B963)-YEAR($B$12))*12+MONTH(B963)-MONTH($B$12)),((YEAR(B963)-YEAR(VLOOKUP(I963,$C$3:$L$6,8,0)))*12+MONTH(B963)-MONTH(VLOOKUP(I963,$C$3:$L$6,8,0))))*(VLOOKUP(I963,$C$3:$L$6,10,0)*VLOOKUP(I963,$C$3:$L$6,6,0)/12),0))</f>
        <v/>
      </c>
      <c r="K963" s="29" t="str">
        <f ca="1">IF(C963&lt;&gt;"",IF(I963&lt;&gt;"",IF(ISERROR(VLOOKUP(I963,$C$3:$L$6,10,0)),"",VLOOKUP(I963,$C$3:$L$6,10,0)+J963+IF(OR(VLOOKUP(I963,$C$3:$L$6,5,0)=Variables!$B$5,B963&gt;VLOOKUP(I963,$C$3:$L$6,8,0)),IF(VLOOKUP(I963,$C$3:$L$6,5,0)=Variables!$B$5,((YEAR(B963)-YEAR($B$12))*12+MONTH(B963)-MONTH($B$12)),((YEAR(B963)-YEAR(VLOOKUP(I963,$C$3:$L$6,8,0)))*12+MONTH(B963)-MONTH(VLOOKUP(I963,$C$3:$L$6,8,0))))*VLOOKUP(I963,$C$3:$L$6,7,0),0)),""),"")</f>
        <v/>
      </c>
      <c r="L963" s="29" t="str">
        <f t="shared" ca="1" si="84"/>
        <v/>
      </c>
      <c r="M963" s="10"/>
      <c r="N963" s="10"/>
    </row>
    <row r="964" spans="1:14" x14ac:dyDescent="0.25">
      <c r="A964" s="10"/>
      <c r="B964" s="14" t="str">
        <f t="shared" ca="1" si="85"/>
        <v/>
      </c>
      <c r="C964" s="14" t="str">
        <f ca="1">IF(I963&lt;&gt;Variables!$B$1,IF(H963&lt;&gt;0,C963,I963),"")</f>
        <v/>
      </c>
      <c r="D964" s="29" t="str">
        <f t="shared" ca="1" si="82"/>
        <v/>
      </c>
      <c r="E964" s="29" t="str">
        <f t="shared" ca="1" si="83"/>
        <v/>
      </c>
      <c r="F964" s="29" t="str">
        <f ca="1">IF(C964&lt;&gt;"",IF(OR(VLOOKUP(C964,$C$3:$L$6,5,0)=Variables!$B$5,B964&gt;VLOOKUP(C964,$C$3:$L$6,8,0)),-D964*VLOOKUP(C964,$C$3:$L$6,6,0)/12,0),"")</f>
        <v/>
      </c>
      <c r="G964" s="29" t="str">
        <f ca="1">IF(I964&lt;&gt;Variables!$B$1,IF(C964&lt;&gt;"",$I$9-E964-F964,""),-D964)</f>
        <v/>
      </c>
      <c r="H964" s="29" t="str">
        <f t="shared" ca="1" si="86"/>
        <v/>
      </c>
      <c r="I964" s="31" t="str">
        <f ca="1">IF(C964&lt;&gt;"",IF(D964+$I$9-E964-F964&gt;=0,IF(ISERROR(INDEX($C$3:$C$6,MATCH(C964,$C$3:$C$6,0)+1,0)),Variables!$B$1,INDEX($C$3:$C$6,MATCH(C964,$C$3:$C$6,0)+1,0)),""),"")</f>
        <v/>
      </c>
      <c r="J964" s="29" t="str">
        <f ca="1">IF(ISERROR(VLOOKUP(I964,$C$3:$L$6,5,0)),"",IF(OR(VLOOKUP(I964,$C$3:$L$6,5,0)=Variables!$B$5,B964&gt;VLOOKUP(I964,$C$3:$L$6,8,0)),IF(VLOOKUP(I964,$C$3:$L$6,5,0)=Variables!$B$5,((YEAR(B964)-YEAR($B$12))*12+MONTH(B964)-MONTH($B$12)),((YEAR(B964)-YEAR(VLOOKUP(I964,$C$3:$L$6,8,0)))*12+MONTH(B964)-MONTH(VLOOKUP(I964,$C$3:$L$6,8,0))))*(VLOOKUP(I964,$C$3:$L$6,10,0)*VLOOKUP(I964,$C$3:$L$6,6,0)/12),0))</f>
        <v/>
      </c>
      <c r="K964" s="29" t="str">
        <f ca="1">IF(C964&lt;&gt;"",IF(I964&lt;&gt;"",IF(ISERROR(VLOOKUP(I964,$C$3:$L$6,10,0)),"",VLOOKUP(I964,$C$3:$L$6,10,0)+J964+IF(OR(VLOOKUP(I964,$C$3:$L$6,5,0)=Variables!$B$5,B964&gt;VLOOKUP(I964,$C$3:$L$6,8,0)),IF(VLOOKUP(I964,$C$3:$L$6,5,0)=Variables!$B$5,((YEAR(B964)-YEAR($B$12))*12+MONTH(B964)-MONTH($B$12)),((YEAR(B964)-YEAR(VLOOKUP(I964,$C$3:$L$6,8,0)))*12+MONTH(B964)-MONTH(VLOOKUP(I964,$C$3:$L$6,8,0))))*VLOOKUP(I964,$C$3:$L$6,7,0),0)),""),"")</f>
        <v/>
      </c>
      <c r="L964" s="29" t="str">
        <f t="shared" ca="1" si="84"/>
        <v/>
      </c>
      <c r="M964" s="10"/>
      <c r="N964" s="10"/>
    </row>
    <row r="965" spans="1:14" x14ac:dyDescent="0.25">
      <c r="A965" s="10"/>
      <c r="B965" s="14" t="str">
        <f t="shared" ca="1" si="85"/>
        <v/>
      </c>
      <c r="C965" s="14" t="str">
        <f ca="1">IF(I964&lt;&gt;Variables!$B$1,IF(H964&lt;&gt;0,C964,I964),"")</f>
        <v/>
      </c>
      <c r="D965" s="29" t="str">
        <f t="shared" ca="1" si="82"/>
        <v/>
      </c>
      <c r="E965" s="29" t="str">
        <f t="shared" ca="1" si="83"/>
        <v/>
      </c>
      <c r="F965" s="29" t="str">
        <f ca="1">IF(C965&lt;&gt;"",IF(OR(VLOOKUP(C965,$C$3:$L$6,5,0)=Variables!$B$5,B965&gt;VLOOKUP(C965,$C$3:$L$6,8,0)),-D965*VLOOKUP(C965,$C$3:$L$6,6,0)/12,0),"")</f>
        <v/>
      </c>
      <c r="G965" s="29" t="str">
        <f ca="1">IF(I965&lt;&gt;Variables!$B$1,IF(C965&lt;&gt;"",$I$9-E965-F965,""),-D965)</f>
        <v/>
      </c>
      <c r="H965" s="29" t="str">
        <f t="shared" ca="1" si="86"/>
        <v/>
      </c>
      <c r="I965" s="31" t="str">
        <f ca="1">IF(C965&lt;&gt;"",IF(D965+$I$9-E965-F965&gt;=0,IF(ISERROR(INDEX($C$3:$C$6,MATCH(C965,$C$3:$C$6,0)+1,0)),Variables!$B$1,INDEX($C$3:$C$6,MATCH(C965,$C$3:$C$6,0)+1,0)),""),"")</f>
        <v/>
      </c>
      <c r="J965" s="29" t="str">
        <f ca="1">IF(ISERROR(VLOOKUP(I965,$C$3:$L$6,5,0)),"",IF(OR(VLOOKUP(I965,$C$3:$L$6,5,0)=Variables!$B$5,B965&gt;VLOOKUP(I965,$C$3:$L$6,8,0)),IF(VLOOKUP(I965,$C$3:$L$6,5,0)=Variables!$B$5,((YEAR(B965)-YEAR($B$12))*12+MONTH(B965)-MONTH($B$12)),((YEAR(B965)-YEAR(VLOOKUP(I965,$C$3:$L$6,8,0)))*12+MONTH(B965)-MONTH(VLOOKUP(I965,$C$3:$L$6,8,0))))*(VLOOKUP(I965,$C$3:$L$6,10,0)*VLOOKUP(I965,$C$3:$L$6,6,0)/12),0))</f>
        <v/>
      </c>
      <c r="K965" s="29" t="str">
        <f ca="1">IF(C965&lt;&gt;"",IF(I965&lt;&gt;"",IF(ISERROR(VLOOKUP(I965,$C$3:$L$6,10,0)),"",VLOOKUP(I965,$C$3:$L$6,10,0)+J965+IF(OR(VLOOKUP(I965,$C$3:$L$6,5,0)=Variables!$B$5,B965&gt;VLOOKUP(I965,$C$3:$L$6,8,0)),IF(VLOOKUP(I965,$C$3:$L$6,5,0)=Variables!$B$5,((YEAR(B965)-YEAR($B$12))*12+MONTH(B965)-MONTH($B$12)),((YEAR(B965)-YEAR(VLOOKUP(I965,$C$3:$L$6,8,0)))*12+MONTH(B965)-MONTH(VLOOKUP(I965,$C$3:$L$6,8,0))))*VLOOKUP(I965,$C$3:$L$6,7,0),0)),""),"")</f>
        <v/>
      </c>
      <c r="L965" s="29" t="str">
        <f t="shared" ca="1" si="84"/>
        <v/>
      </c>
      <c r="M965" s="10"/>
      <c r="N965" s="10"/>
    </row>
    <row r="966" spans="1:14" x14ac:dyDescent="0.25">
      <c r="A966" s="10"/>
      <c r="B966" s="14" t="str">
        <f t="shared" ca="1" si="85"/>
        <v/>
      </c>
      <c r="C966" s="14" t="str">
        <f ca="1">IF(I965&lt;&gt;Variables!$B$1,IF(H965&lt;&gt;0,C965,I965),"")</f>
        <v/>
      </c>
      <c r="D966" s="29" t="str">
        <f t="shared" ca="1" si="82"/>
        <v/>
      </c>
      <c r="E966" s="29" t="str">
        <f t="shared" ca="1" si="83"/>
        <v/>
      </c>
      <c r="F966" s="29" t="str">
        <f ca="1">IF(C966&lt;&gt;"",IF(OR(VLOOKUP(C966,$C$3:$L$6,5,0)=Variables!$B$5,B966&gt;VLOOKUP(C966,$C$3:$L$6,8,0)),-D966*VLOOKUP(C966,$C$3:$L$6,6,0)/12,0),"")</f>
        <v/>
      </c>
      <c r="G966" s="29" t="str">
        <f ca="1">IF(I966&lt;&gt;Variables!$B$1,IF(C966&lt;&gt;"",$I$9-E966-F966,""),-D966)</f>
        <v/>
      </c>
      <c r="H966" s="29" t="str">
        <f t="shared" ca="1" si="86"/>
        <v/>
      </c>
      <c r="I966" s="31" t="str">
        <f ca="1">IF(C966&lt;&gt;"",IF(D966+$I$9-E966-F966&gt;=0,IF(ISERROR(INDEX($C$3:$C$6,MATCH(C966,$C$3:$C$6,0)+1,0)),Variables!$B$1,INDEX($C$3:$C$6,MATCH(C966,$C$3:$C$6,0)+1,0)),""),"")</f>
        <v/>
      </c>
      <c r="J966" s="29" t="str">
        <f ca="1">IF(ISERROR(VLOOKUP(I966,$C$3:$L$6,5,0)),"",IF(OR(VLOOKUP(I966,$C$3:$L$6,5,0)=Variables!$B$5,B966&gt;VLOOKUP(I966,$C$3:$L$6,8,0)),IF(VLOOKUP(I966,$C$3:$L$6,5,0)=Variables!$B$5,((YEAR(B966)-YEAR($B$12))*12+MONTH(B966)-MONTH($B$12)),((YEAR(B966)-YEAR(VLOOKUP(I966,$C$3:$L$6,8,0)))*12+MONTH(B966)-MONTH(VLOOKUP(I966,$C$3:$L$6,8,0))))*(VLOOKUP(I966,$C$3:$L$6,10,0)*VLOOKUP(I966,$C$3:$L$6,6,0)/12),0))</f>
        <v/>
      </c>
      <c r="K966" s="29" t="str">
        <f ca="1">IF(C966&lt;&gt;"",IF(I966&lt;&gt;"",IF(ISERROR(VLOOKUP(I966,$C$3:$L$6,10,0)),"",VLOOKUP(I966,$C$3:$L$6,10,0)+J966+IF(OR(VLOOKUP(I966,$C$3:$L$6,5,0)=Variables!$B$5,B966&gt;VLOOKUP(I966,$C$3:$L$6,8,0)),IF(VLOOKUP(I966,$C$3:$L$6,5,0)=Variables!$B$5,((YEAR(B966)-YEAR($B$12))*12+MONTH(B966)-MONTH($B$12)),((YEAR(B966)-YEAR(VLOOKUP(I966,$C$3:$L$6,8,0)))*12+MONTH(B966)-MONTH(VLOOKUP(I966,$C$3:$L$6,8,0))))*VLOOKUP(I966,$C$3:$L$6,7,0),0)),""),"")</f>
        <v/>
      </c>
      <c r="L966" s="29" t="str">
        <f t="shared" ca="1" si="84"/>
        <v/>
      </c>
      <c r="M966" s="10"/>
      <c r="N966" s="10"/>
    </row>
    <row r="967" spans="1:14" x14ac:dyDescent="0.25">
      <c r="A967" s="10"/>
      <c r="B967" s="14" t="str">
        <f t="shared" ca="1" si="85"/>
        <v/>
      </c>
      <c r="C967" s="14" t="str">
        <f ca="1">IF(I966&lt;&gt;Variables!$B$1,IF(H966&lt;&gt;0,C966,I966),"")</f>
        <v/>
      </c>
      <c r="D967" s="29" t="str">
        <f t="shared" ca="1" si="82"/>
        <v/>
      </c>
      <c r="E967" s="29" t="str">
        <f t="shared" ca="1" si="83"/>
        <v/>
      </c>
      <c r="F967" s="29" t="str">
        <f ca="1">IF(C967&lt;&gt;"",IF(OR(VLOOKUP(C967,$C$3:$L$6,5,0)=Variables!$B$5,B967&gt;VLOOKUP(C967,$C$3:$L$6,8,0)),-D967*VLOOKUP(C967,$C$3:$L$6,6,0)/12,0),"")</f>
        <v/>
      </c>
      <c r="G967" s="29" t="str">
        <f ca="1">IF(I967&lt;&gt;Variables!$B$1,IF(C967&lt;&gt;"",$I$9-E967-F967,""),-D967)</f>
        <v/>
      </c>
      <c r="H967" s="29" t="str">
        <f t="shared" ca="1" si="86"/>
        <v/>
      </c>
      <c r="I967" s="31" t="str">
        <f ca="1">IF(C967&lt;&gt;"",IF(D967+$I$9-E967-F967&gt;=0,IF(ISERROR(INDEX($C$3:$C$6,MATCH(C967,$C$3:$C$6,0)+1,0)),Variables!$B$1,INDEX($C$3:$C$6,MATCH(C967,$C$3:$C$6,0)+1,0)),""),"")</f>
        <v/>
      </c>
      <c r="J967" s="29" t="str">
        <f ca="1">IF(ISERROR(VLOOKUP(I967,$C$3:$L$6,5,0)),"",IF(OR(VLOOKUP(I967,$C$3:$L$6,5,0)=Variables!$B$5,B967&gt;VLOOKUP(I967,$C$3:$L$6,8,0)),IF(VLOOKUP(I967,$C$3:$L$6,5,0)=Variables!$B$5,((YEAR(B967)-YEAR($B$12))*12+MONTH(B967)-MONTH($B$12)),((YEAR(B967)-YEAR(VLOOKUP(I967,$C$3:$L$6,8,0)))*12+MONTH(B967)-MONTH(VLOOKUP(I967,$C$3:$L$6,8,0))))*(VLOOKUP(I967,$C$3:$L$6,10,0)*VLOOKUP(I967,$C$3:$L$6,6,0)/12),0))</f>
        <v/>
      </c>
      <c r="K967" s="29" t="str">
        <f ca="1">IF(C967&lt;&gt;"",IF(I967&lt;&gt;"",IF(ISERROR(VLOOKUP(I967,$C$3:$L$6,10,0)),"",VLOOKUP(I967,$C$3:$L$6,10,0)+J967+IF(OR(VLOOKUP(I967,$C$3:$L$6,5,0)=Variables!$B$5,B967&gt;VLOOKUP(I967,$C$3:$L$6,8,0)),IF(VLOOKUP(I967,$C$3:$L$6,5,0)=Variables!$B$5,((YEAR(B967)-YEAR($B$12))*12+MONTH(B967)-MONTH($B$12)),((YEAR(B967)-YEAR(VLOOKUP(I967,$C$3:$L$6,8,0)))*12+MONTH(B967)-MONTH(VLOOKUP(I967,$C$3:$L$6,8,0))))*VLOOKUP(I967,$C$3:$L$6,7,0),0)),""),"")</f>
        <v/>
      </c>
      <c r="L967" s="29" t="str">
        <f t="shared" ca="1" si="84"/>
        <v/>
      </c>
      <c r="M967" s="10"/>
      <c r="N967" s="10"/>
    </row>
    <row r="968" spans="1:14" x14ac:dyDescent="0.25">
      <c r="A968" s="10"/>
      <c r="B968" s="14" t="str">
        <f t="shared" ca="1" si="85"/>
        <v/>
      </c>
      <c r="C968" s="14" t="str">
        <f ca="1">IF(I967&lt;&gt;Variables!$B$1,IF(H967&lt;&gt;0,C967,I967),"")</f>
        <v/>
      </c>
      <c r="D968" s="29" t="str">
        <f t="shared" ca="1" si="82"/>
        <v/>
      </c>
      <c r="E968" s="29" t="str">
        <f t="shared" ca="1" si="83"/>
        <v/>
      </c>
      <c r="F968" s="29" t="str">
        <f ca="1">IF(C968&lt;&gt;"",IF(OR(VLOOKUP(C968,$C$3:$L$6,5,0)=Variables!$B$5,B968&gt;VLOOKUP(C968,$C$3:$L$6,8,0)),-D968*VLOOKUP(C968,$C$3:$L$6,6,0)/12,0),"")</f>
        <v/>
      </c>
      <c r="G968" s="29" t="str">
        <f ca="1">IF(I968&lt;&gt;Variables!$B$1,IF(C968&lt;&gt;"",$I$9-E968-F968,""),-D968)</f>
        <v/>
      </c>
      <c r="H968" s="29" t="str">
        <f t="shared" ca="1" si="86"/>
        <v/>
      </c>
      <c r="I968" s="31" t="str">
        <f ca="1">IF(C968&lt;&gt;"",IF(D968+$I$9-E968-F968&gt;=0,IF(ISERROR(INDEX($C$3:$C$6,MATCH(C968,$C$3:$C$6,0)+1,0)),Variables!$B$1,INDEX($C$3:$C$6,MATCH(C968,$C$3:$C$6,0)+1,0)),""),"")</f>
        <v/>
      </c>
      <c r="J968" s="29" t="str">
        <f ca="1">IF(ISERROR(VLOOKUP(I968,$C$3:$L$6,5,0)),"",IF(OR(VLOOKUP(I968,$C$3:$L$6,5,0)=Variables!$B$5,B968&gt;VLOOKUP(I968,$C$3:$L$6,8,0)),IF(VLOOKUP(I968,$C$3:$L$6,5,0)=Variables!$B$5,((YEAR(B968)-YEAR($B$12))*12+MONTH(B968)-MONTH($B$12)),((YEAR(B968)-YEAR(VLOOKUP(I968,$C$3:$L$6,8,0)))*12+MONTH(B968)-MONTH(VLOOKUP(I968,$C$3:$L$6,8,0))))*(VLOOKUP(I968,$C$3:$L$6,10,0)*VLOOKUP(I968,$C$3:$L$6,6,0)/12),0))</f>
        <v/>
      </c>
      <c r="K968" s="29" t="str">
        <f ca="1">IF(C968&lt;&gt;"",IF(I968&lt;&gt;"",IF(ISERROR(VLOOKUP(I968,$C$3:$L$6,10,0)),"",VLOOKUP(I968,$C$3:$L$6,10,0)+J968+IF(OR(VLOOKUP(I968,$C$3:$L$6,5,0)=Variables!$B$5,B968&gt;VLOOKUP(I968,$C$3:$L$6,8,0)),IF(VLOOKUP(I968,$C$3:$L$6,5,0)=Variables!$B$5,((YEAR(B968)-YEAR($B$12))*12+MONTH(B968)-MONTH($B$12)),((YEAR(B968)-YEAR(VLOOKUP(I968,$C$3:$L$6,8,0)))*12+MONTH(B968)-MONTH(VLOOKUP(I968,$C$3:$L$6,8,0))))*VLOOKUP(I968,$C$3:$L$6,7,0),0)),""),"")</f>
        <v/>
      </c>
      <c r="L968" s="29" t="str">
        <f t="shared" ca="1" si="84"/>
        <v/>
      </c>
      <c r="M968" s="10"/>
      <c r="N968" s="10"/>
    </row>
    <row r="969" spans="1:14" x14ac:dyDescent="0.25">
      <c r="A969" s="10"/>
      <c r="B969" s="14" t="str">
        <f t="shared" ca="1" si="85"/>
        <v/>
      </c>
      <c r="C969" s="14" t="str">
        <f ca="1">IF(I968&lt;&gt;Variables!$B$1,IF(H968&lt;&gt;0,C968,I968),"")</f>
        <v/>
      </c>
      <c r="D969" s="29" t="str">
        <f t="shared" ca="1" si="82"/>
        <v/>
      </c>
      <c r="E969" s="29" t="str">
        <f t="shared" ca="1" si="83"/>
        <v/>
      </c>
      <c r="F969" s="29" t="str">
        <f ca="1">IF(C969&lt;&gt;"",IF(OR(VLOOKUP(C969,$C$3:$L$6,5,0)=Variables!$B$5,B969&gt;VLOOKUP(C969,$C$3:$L$6,8,0)),-D969*VLOOKUP(C969,$C$3:$L$6,6,0)/12,0),"")</f>
        <v/>
      </c>
      <c r="G969" s="29" t="str">
        <f ca="1">IF(I969&lt;&gt;Variables!$B$1,IF(C969&lt;&gt;"",$I$9-E969-F969,""),-D969)</f>
        <v/>
      </c>
      <c r="H969" s="29" t="str">
        <f t="shared" ca="1" si="86"/>
        <v/>
      </c>
      <c r="I969" s="31" t="str">
        <f ca="1">IF(C969&lt;&gt;"",IF(D969+$I$9-E969-F969&gt;=0,IF(ISERROR(INDEX($C$3:$C$6,MATCH(C969,$C$3:$C$6,0)+1,0)),Variables!$B$1,INDEX($C$3:$C$6,MATCH(C969,$C$3:$C$6,0)+1,0)),""),"")</f>
        <v/>
      </c>
      <c r="J969" s="29" t="str">
        <f ca="1">IF(ISERROR(VLOOKUP(I969,$C$3:$L$6,5,0)),"",IF(OR(VLOOKUP(I969,$C$3:$L$6,5,0)=Variables!$B$5,B969&gt;VLOOKUP(I969,$C$3:$L$6,8,0)),IF(VLOOKUP(I969,$C$3:$L$6,5,0)=Variables!$B$5,((YEAR(B969)-YEAR($B$12))*12+MONTH(B969)-MONTH($B$12)),((YEAR(B969)-YEAR(VLOOKUP(I969,$C$3:$L$6,8,0)))*12+MONTH(B969)-MONTH(VLOOKUP(I969,$C$3:$L$6,8,0))))*(VLOOKUP(I969,$C$3:$L$6,10,0)*VLOOKUP(I969,$C$3:$L$6,6,0)/12),0))</f>
        <v/>
      </c>
      <c r="K969" s="29" t="str">
        <f ca="1">IF(C969&lt;&gt;"",IF(I969&lt;&gt;"",IF(ISERROR(VLOOKUP(I969,$C$3:$L$6,10,0)),"",VLOOKUP(I969,$C$3:$L$6,10,0)+J969+IF(OR(VLOOKUP(I969,$C$3:$L$6,5,0)=Variables!$B$5,B969&gt;VLOOKUP(I969,$C$3:$L$6,8,0)),IF(VLOOKUP(I969,$C$3:$L$6,5,0)=Variables!$B$5,((YEAR(B969)-YEAR($B$12))*12+MONTH(B969)-MONTH($B$12)),((YEAR(B969)-YEAR(VLOOKUP(I969,$C$3:$L$6,8,0)))*12+MONTH(B969)-MONTH(VLOOKUP(I969,$C$3:$L$6,8,0))))*VLOOKUP(I969,$C$3:$L$6,7,0),0)),""),"")</f>
        <v/>
      </c>
      <c r="L969" s="29" t="str">
        <f t="shared" ca="1" si="84"/>
        <v/>
      </c>
      <c r="M969" s="10"/>
      <c r="N969" s="10"/>
    </row>
    <row r="970" spans="1:14" x14ac:dyDescent="0.25">
      <c r="A970" s="10"/>
      <c r="B970" s="14" t="str">
        <f t="shared" ca="1" si="85"/>
        <v/>
      </c>
      <c r="C970" s="14" t="str">
        <f ca="1">IF(I969&lt;&gt;Variables!$B$1,IF(H969&lt;&gt;0,C969,I969),"")</f>
        <v/>
      </c>
      <c r="D970" s="29" t="str">
        <f t="shared" ca="1" si="82"/>
        <v/>
      </c>
      <c r="E970" s="29" t="str">
        <f t="shared" ca="1" si="83"/>
        <v/>
      </c>
      <c r="F970" s="29" t="str">
        <f ca="1">IF(C970&lt;&gt;"",IF(OR(VLOOKUP(C970,$C$3:$L$6,5,0)=Variables!$B$5,B970&gt;VLOOKUP(C970,$C$3:$L$6,8,0)),-D970*VLOOKUP(C970,$C$3:$L$6,6,0)/12,0),"")</f>
        <v/>
      </c>
      <c r="G970" s="29" t="str">
        <f ca="1">IF(I970&lt;&gt;Variables!$B$1,IF(C970&lt;&gt;"",$I$9-E970-F970,""),-D970)</f>
        <v/>
      </c>
      <c r="H970" s="29" t="str">
        <f t="shared" ca="1" si="86"/>
        <v/>
      </c>
      <c r="I970" s="31" t="str">
        <f ca="1">IF(C970&lt;&gt;"",IF(D970+$I$9-E970-F970&gt;=0,IF(ISERROR(INDEX($C$3:$C$6,MATCH(C970,$C$3:$C$6,0)+1,0)),Variables!$B$1,INDEX($C$3:$C$6,MATCH(C970,$C$3:$C$6,0)+1,0)),""),"")</f>
        <v/>
      </c>
      <c r="J970" s="29" t="str">
        <f ca="1">IF(ISERROR(VLOOKUP(I970,$C$3:$L$6,5,0)),"",IF(OR(VLOOKUP(I970,$C$3:$L$6,5,0)=Variables!$B$5,B970&gt;VLOOKUP(I970,$C$3:$L$6,8,0)),IF(VLOOKUP(I970,$C$3:$L$6,5,0)=Variables!$B$5,((YEAR(B970)-YEAR($B$12))*12+MONTH(B970)-MONTH($B$12)),((YEAR(B970)-YEAR(VLOOKUP(I970,$C$3:$L$6,8,0)))*12+MONTH(B970)-MONTH(VLOOKUP(I970,$C$3:$L$6,8,0))))*(VLOOKUP(I970,$C$3:$L$6,10,0)*VLOOKUP(I970,$C$3:$L$6,6,0)/12),0))</f>
        <v/>
      </c>
      <c r="K970" s="29" t="str">
        <f ca="1">IF(C970&lt;&gt;"",IF(I970&lt;&gt;"",IF(ISERROR(VLOOKUP(I970,$C$3:$L$6,10,0)),"",VLOOKUP(I970,$C$3:$L$6,10,0)+J970+IF(OR(VLOOKUP(I970,$C$3:$L$6,5,0)=Variables!$B$5,B970&gt;VLOOKUP(I970,$C$3:$L$6,8,0)),IF(VLOOKUP(I970,$C$3:$L$6,5,0)=Variables!$B$5,((YEAR(B970)-YEAR($B$12))*12+MONTH(B970)-MONTH($B$12)),((YEAR(B970)-YEAR(VLOOKUP(I970,$C$3:$L$6,8,0)))*12+MONTH(B970)-MONTH(VLOOKUP(I970,$C$3:$L$6,8,0))))*VLOOKUP(I970,$C$3:$L$6,7,0),0)),""),"")</f>
        <v/>
      </c>
      <c r="L970" s="29" t="str">
        <f t="shared" ca="1" si="84"/>
        <v/>
      </c>
      <c r="M970" s="10"/>
      <c r="N970" s="10"/>
    </row>
    <row r="971" spans="1:14" x14ac:dyDescent="0.25">
      <c r="A971" s="10"/>
      <c r="B971" s="14" t="str">
        <f t="shared" ca="1" si="85"/>
        <v/>
      </c>
      <c r="C971" s="14" t="str">
        <f ca="1">IF(I970&lt;&gt;Variables!$B$1,IF(H970&lt;&gt;0,C970,I970),"")</f>
        <v/>
      </c>
      <c r="D971" s="29" t="str">
        <f t="shared" ca="1" si="82"/>
        <v/>
      </c>
      <c r="E971" s="29" t="str">
        <f t="shared" ca="1" si="83"/>
        <v/>
      </c>
      <c r="F971" s="29" t="str">
        <f ca="1">IF(C971&lt;&gt;"",IF(OR(VLOOKUP(C971,$C$3:$L$6,5,0)=Variables!$B$5,B971&gt;VLOOKUP(C971,$C$3:$L$6,8,0)),-D971*VLOOKUP(C971,$C$3:$L$6,6,0)/12,0),"")</f>
        <v/>
      </c>
      <c r="G971" s="29" t="str">
        <f ca="1">IF(I971&lt;&gt;Variables!$B$1,IF(C971&lt;&gt;"",$I$9-E971-F971,""),-D971)</f>
        <v/>
      </c>
      <c r="H971" s="29" t="str">
        <f t="shared" ca="1" si="86"/>
        <v/>
      </c>
      <c r="I971" s="31" t="str">
        <f ca="1">IF(C971&lt;&gt;"",IF(D971+$I$9-E971-F971&gt;=0,IF(ISERROR(INDEX($C$3:$C$6,MATCH(C971,$C$3:$C$6,0)+1,0)),Variables!$B$1,INDEX($C$3:$C$6,MATCH(C971,$C$3:$C$6,0)+1,0)),""),"")</f>
        <v/>
      </c>
      <c r="J971" s="29" t="str">
        <f ca="1">IF(ISERROR(VLOOKUP(I971,$C$3:$L$6,5,0)),"",IF(OR(VLOOKUP(I971,$C$3:$L$6,5,0)=Variables!$B$5,B971&gt;VLOOKUP(I971,$C$3:$L$6,8,0)),IF(VLOOKUP(I971,$C$3:$L$6,5,0)=Variables!$B$5,((YEAR(B971)-YEAR($B$12))*12+MONTH(B971)-MONTH($B$12)),((YEAR(B971)-YEAR(VLOOKUP(I971,$C$3:$L$6,8,0)))*12+MONTH(B971)-MONTH(VLOOKUP(I971,$C$3:$L$6,8,0))))*(VLOOKUP(I971,$C$3:$L$6,10,0)*VLOOKUP(I971,$C$3:$L$6,6,0)/12),0))</f>
        <v/>
      </c>
      <c r="K971" s="29" t="str">
        <f ca="1">IF(C971&lt;&gt;"",IF(I971&lt;&gt;"",IF(ISERROR(VLOOKUP(I971,$C$3:$L$6,10,0)),"",VLOOKUP(I971,$C$3:$L$6,10,0)+J971+IF(OR(VLOOKUP(I971,$C$3:$L$6,5,0)=Variables!$B$5,B971&gt;VLOOKUP(I971,$C$3:$L$6,8,0)),IF(VLOOKUP(I971,$C$3:$L$6,5,0)=Variables!$B$5,((YEAR(B971)-YEAR($B$12))*12+MONTH(B971)-MONTH($B$12)),((YEAR(B971)-YEAR(VLOOKUP(I971,$C$3:$L$6,8,0)))*12+MONTH(B971)-MONTH(VLOOKUP(I971,$C$3:$L$6,8,0))))*VLOOKUP(I971,$C$3:$L$6,7,0),0)),""),"")</f>
        <v/>
      </c>
      <c r="L971" s="29" t="str">
        <f t="shared" ca="1" si="84"/>
        <v/>
      </c>
      <c r="M971" s="10"/>
      <c r="N971" s="10"/>
    </row>
    <row r="972" spans="1:14" x14ac:dyDescent="0.25">
      <c r="A972" s="10"/>
      <c r="B972" s="14" t="str">
        <f t="shared" ca="1" si="85"/>
        <v/>
      </c>
      <c r="C972" s="14" t="str">
        <f ca="1">IF(I971&lt;&gt;Variables!$B$1,IF(H971&lt;&gt;0,C971,I971),"")</f>
        <v/>
      </c>
      <c r="D972" s="29" t="str">
        <f t="shared" ca="1" si="82"/>
        <v/>
      </c>
      <c r="E972" s="29" t="str">
        <f t="shared" ca="1" si="83"/>
        <v/>
      </c>
      <c r="F972" s="29" t="str">
        <f ca="1">IF(C972&lt;&gt;"",IF(OR(VLOOKUP(C972,$C$3:$L$6,5,0)=Variables!$B$5,B972&gt;VLOOKUP(C972,$C$3:$L$6,8,0)),-D972*VLOOKUP(C972,$C$3:$L$6,6,0)/12,0),"")</f>
        <v/>
      </c>
      <c r="G972" s="29" t="str">
        <f ca="1">IF(I972&lt;&gt;Variables!$B$1,IF(C972&lt;&gt;"",$I$9-E972-F972,""),-D972)</f>
        <v/>
      </c>
      <c r="H972" s="29" t="str">
        <f t="shared" ca="1" si="86"/>
        <v/>
      </c>
      <c r="I972" s="31" t="str">
        <f ca="1">IF(C972&lt;&gt;"",IF(D972+$I$9-E972-F972&gt;=0,IF(ISERROR(INDEX($C$3:$C$6,MATCH(C972,$C$3:$C$6,0)+1,0)),Variables!$B$1,INDEX($C$3:$C$6,MATCH(C972,$C$3:$C$6,0)+1,0)),""),"")</f>
        <v/>
      </c>
      <c r="J972" s="29" t="str">
        <f ca="1">IF(ISERROR(VLOOKUP(I972,$C$3:$L$6,5,0)),"",IF(OR(VLOOKUP(I972,$C$3:$L$6,5,0)=Variables!$B$5,B972&gt;VLOOKUP(I972,$C$3:$L$6,8,0)),IF(VLOOKUP(I972,$C$3:$L$6,5,0)=Variables!$B$5,((YEAR(B972)-YEAR($B$12))*12+MONTH(B972)-MONTH($B$12)),((YEAR(B972)-YEAR(VLOOKUP(I972,$C$3:$L$6,8,0)))*12+MONTH(B972)-MONTH(VLOOKUP(I972,$C$3:$L$6,8,0))))*(VLOOKUP(I972,$C$3:$L$6,10,0)*VLOOKUP(I972,$C$3:$L$6,6,0)/12),0))</f>
        <v/>
      </c>
      <c r="K972" s="29" t="str">
        <f ca="1">IF(C972&lt;&gt;"",IF(I972&lt;&gt;"",IF(ISERROR(VLOOKUP(I972,$C$3:$L$6,10,0)),"",VLOOKUP(I972,$C$3:$L$6,10,0)+J972+IF(OR(VLOOKUP(I972,$C$3:$L$6,5,0)=Variables!$B$5,B972&gt;VLOOKUP(I972,$C$3:$L$6,8,0)),IF(VLOOKUP(I972,$C$3:$L$6,5,0)=Variables!$B$5,((YEAR(B972)-YEAR($B$12))*12+MONTH(B972)-MONTH($B$12)),((YEAR(B972)-YEAR(VLOOKUP(I972,$C$3:$L$6,8,0)))*12+MONTH(B972)-MONTH(VLOOKUP(I972,$C$3:$L$6,8,0))))*VLOOKUP(I972,$C$3:$L$6,7,0),0)),""),"")</f>
        <v/>
      </c>
      <c r="L972" s="29" t="str">
        <f t="shared" ca="1" si="84"/>
        <v/>
      </c>
      <c r="M972" s="10"/>
      <c r="N972" s="10"/>
    </row>
    <row r="973" spans="1:14" x14ac:dyDescent="0.25">
      <c r="A973" s="10"/>
      <c r="B973" s="14" t="str">
        <f t="shared" ca="1" si="85"/>
        <v/>
      </c>
      <c r="C973" s="14" t="str">
        <f ca="1">IF(I972&lt;&gt;Variables!$B$1,IF(H972&lt;&gt;0,C972,I972),"")</f>
        <v/>
      </c>
      <c r="D973" s="29" t="str">
        <f t="shared" ca="1" si="82"/>
        <v/>
      </c>
      <c r="E973" s="29" t="str">
        <f t="shared" ca="1" si="83"/>
        <v/>
      </c>
      <c r="F973" s="29" t="str">
        <f ca="1">IF(C973&lt;&gt;"",IF(OR(VLOOKUP(C973,$C$3:$L$6,5,0)=Variables!$B$5,B973&gt;VLOOKUP(C973,$C$3:$L$6,8,0)),-D973*VLOOKUP(C973,$C$3:$L$6,6,0)/12,0),"")</f>
        <v/>
      </c>
      <c r="G973" s="29" t="str">
        <f ca="1">IF(I973&lt;&gt;Variables!$B$1,IF(C973&lt;&gt;"",$I$9-E973-F973,""),-D973)</f>
        <v/>
      </c>
      <c r="H973" s="29" t="str">
        <f t="shared" ca="1" si="86"/>
        <v/>
      </c>
      <c r="I973" s="31" t="str">
        <f ca="1">IF(C973&lt;&gt;"",IF(D973+$I$9-E973-F973&gt;=0,IF(ISERROR(INDEX($C$3:$C$6,MATCH(C973,$C$3:$C$6,0)+1,0)),Variables!$B$1,INDEX($C$3:$C$6,MATCH(C973,$C$3:$C$6,0)+1,0)),""),"")</f>
        <v/>
      </c>
      <c r="J973" s="29" t="str">
        <f ca="1">IF(ISERROR(VLOOKUP(I973,$C$3:$L$6,5,0)),"",IF(OR(VLOOKUP(I973,$C$3:$L$6,5,0)=Variables!$B$5,B973&gt;VLOOKUP(I973,$C$3:$L$6,8,0)),IF(VLOOKUP(I973,$C$3:$L$6,5,0)=Variables!$B$5,((YEAR(B973)-YEAR($B$12))*12+MONTH(B973)-MONTH($B$12)),((YEAR(B973)-YEAR(VLOOKUP(I973,$C$3:$L$6,8,0)))*12+MONTH(B973)-MONTH(VLOOKUP(I973,$C$3:$L$6,8,0))))*(VLOOKUP(I973,$C$3:$L$6,10,0)*VLOOKUP(I973,$C$3:$L$6,6,0)/12),0))</f>
        <v/>
      </c>
      <c r="K973" s="29" t="str">
        <f ca="1">IF(C973&lt;&gt;"",IF(I973&lt;&gt;"",IF(ISERROR(VLOOKUP(I973,$C$3:$L$6,10,0)),"",VLOOKUP(I973,$C$3:$L$6,10,0)+J973+IF(OR(VLOOKUP(I973,$C$3:$L$6,5,0)=Variables!$B$5,B973&gt;VLOOKUP(I973,$C$3:$L$6,8,0)),IF(VLOOKUP(I973,$C$3:$L$6,5,0)=Variables!$B$5,((YEAR(B973)-YEAR($B$12))*12+MONTH(B973)-MONTH($B$12)),((YEAR(B973)-YEAR(VLOOKUP(I973,$C$3:$L$6,8,0)))*12+MONTH(B973)-MONTH(VLOOKUP(I973,$C$3:$L$6,8,0))))*VLOOKUP(I973,$C$3:$L$6,7,0),0)),""),"")</f>
        <v/>
      </c>
      <c r="L973" s="29" t="str">
        <f t="shared" ca="1" si="84"/>
        <v/>
      </c>
      <c r="M973" s="10"/>
      <c r="N973" s="10"/>
    </row>
    <row r="974" spans="1:14" x14ac:dyDescent="0.25">
      <c r="A974" s="10"/>
      <c r="B974" s="14" t="str">
        <f t="shared" ca="1" si="85"/>
        <v/>
      </c>
      <c r="C974" s="14" t="str">
        <f ca="1">IF(I973&lt;&gt;Variables!$B$1,IF(H973&lt;&gt;0,C973,I973),"")</f>
        <v/>
      </c>
      <c r="D974" s="29" t="str">
        <f t="shared" ca="1" si="82"/>
        <v/>
      </c>
      <c r="E974" s="29" t="str">
        <f t="shared" ca="1" si="83"/>
        <v/>
      </c>
      <c r="F974" s="29" t="str">
        <f ca="1">IF(C974&lt;&gt;"",IF(OR(VLOOKUP(C974,$C$3:$L$6,5,0)=Variables!$B$5,B974&gt;VLOOKUP(C974,$C$3:$L$6,8,0)),-D974*VLOOKUP(C974,$C$3:$L$6,6,0)/12,0),"")</f>
        <v/>
      </c>
      <c r="G974" s="29" t="str">
        <f ca="1">IF(I974&lt;&gt;Variables!$B$1,IF(C974&lt;&gt;"",$I$9-E974-F974,""),-D974)</f>
        <v/>
      </c>
      <c r="H974" s="29" t="str">
        <f t="shared" ca="1" si="86"/>
        <v/>
      </c>
      <c r="I974" s="31" t="str">
        <f ca="1">IF(C974&lt;&gt;"",IF(D974+$I$9-E974-F974&gt;=0,IF(ISERROR(INDEX($C$3:$C$6,MATCH(C974,$C$3:$C$6,0)+1,0)),Variables!$B$1,INDEX($C$3:$C$6,MATCH(C974,$C$3:$C$6,0)+1,0)),""),"")</f>
        <v/>
      </c>
      <c r="J974" s="29" t="str">
        <f ca="1">IF(ISERROR(VLOOKUP(I974,$C$3:$L$6,5,0)),"",IF(OR(VLOOKUP(I974,$C$3:$L$6,5,0)=Variables!$B$5,B974&gt;VLOOKUP(I974,$C$3:$L$6,8,0)),IF(VLOOKUP(I974,$C$3:$L$6,5,0)=Variables!$B$5,((YEAR(B974)-YEAR($B$12))*12+MONTH(B974)-MONTH($B$12)),((YEAR(B974)-YEAR(VLOOKUP(I974,$C$3:$L$6,8,0)))*12+MONTH(B974)-MONTH(VLOOKUP(I974,$C$3:$L$6,8,0))))*(VLOOKUP(I974,$C$3:$L$6,10,0)*VLOOKUP(I974,$C$3:$L$6,6,0)/12),0))</f>
        <v/>
      </c>
      <c r="K974" s="29" t="str">
        <f ca="1">IF(C974&lt;&gt;"",IF(I974&lt;&gt;"",IF(ISERROR(VLOOKUP(I974,$C$3:$L$6,10,0)),"",VLOOKUP(I974,$C$3:$L$6,10,0)+J974+IF(OR(VLOOKUP(I974,$C$3:$L$6,5,0)=Variables!$B$5,B974&gt;VLOOKUP(I974,$C$3:$L$6,8,0)),IF(VLOOKUP(I974,$C$3:$L$6,5,0)=Variables!$B$5,((YEAR(B974)-YEAR($B$12))*12+MONTH(B974)-MONTH($B$12)),((YEAR(B974)-YEAR(VLOOKUP(I974,$C$3:$L$6,8,0)))*12+MONTH(B974)-MONTH(VLOOKUP(I974,$C$3:$L$6,8,0))))*VLOOKUP(I974,$C$3:$L$6,7,0),0)),""),"")</f>
        <v/>
      </c>
      <c r="L974" s="29" t="str">
        <f t="shared" ca="1" si="84"/>
        <v/>
      </c>
      <c r="M974" s="10"/>
      <c r="N974" s="10"/>
    </row>
    <row r="975" spans="1:14" x14ac:dyDescent="0.25">
      <c r="A975" s="10"/>
      <c r="B975" s="14" t="str">
        <f t="shared" ca="1" si="85"/>
        <v/>
      </c>
      <c r="C975" s="14" t="str">
        <f ca="1">IF(I974&lt;&gt;Variables!$B$1,IF(H974&lt;&gt;0,C974,I974),"")</f>
        <v/>
      </c>
      <c r="D975" s="29" t="str">
        <f t="shared" ca="1" si="82"/>
        <v/>
      </c>
      <c r="E975" s="29" t="str">
        <f t="shared" ca="1" si="83"/>
        <v/>
      </c>
      <c r="F975" s="29" t="str">
        <f ca="1">IF(C975&lt;&gt;"",IF(OR(VLOOKUP(C975,$C$3:$L$6,5,0)=Variables!$B$5,B975&gt;VLOOKUP(C975,$C$3:$L$6,8,0)),-D975*VLOOKUP(C975,$C$3:$L$6,6,0)/12,0),"")</f>
        <v/>
      </c>
      <c r="G975" s="29" t="str">
        <f ca="1">IF(I975&lt;&gt;Variables!$B$1,IF(C975&lt;&gt;"",$I$9-E975-F975,""),-D975)</f>
        <v/>
      </c>
      <c r="H975" s="29" t="str">
        <f t="shared" ca="1" si="86"/>
        <v/>
      </c>
      <c r="I975" s="31" t="str">
        <f ca="1">IF(C975&lt;&gt;"",IF(D975+$I$9-E975-F975&gt;=0,IF(ISERROR(INDEX($C$3:$C$6,MATCH(C975,$C$3:$C$6,0)+1,0)),Variables!$B$1,INDEX($C$3:$C$6,MATCH(C975,$C$3:$C$6,0)+1,0)),""),"")</f>
        <v/>
      </c>
      <c r="J975" s="29" t="str">
        <f ca="1">IF(ISERROR(VLOOKUP(I975,$C$3:$L$6,5,0)),"",IF(OR(VLOOKUP(I975,$C$3:$L$6,5,0)=Variables!$B$5,B975&gt;VLOOKUP(I975,$C$3:$L$6,8,0)),IF(VLOOKUP(I975,$C$3:$L$6,5,0)=Variables!$B$5,((YEAR(B975)-YEAR($B$12))*12+MONTH(B975)-MONTH($B$12)),((YEAR(B975)-YEAR(VLOOKUP(I975,$C$3:$L$6,8,0)))*12+MONTH(B975)-MONTH(VLOOKUP(I975,$C$3:$L$6,8,0))))*(VLOOKUP(I975,$C$3:$L$6,10,0)*VLOOKUP(I975,$C$3:$L$6,6,0)/12),0))</f>
        <v/>
      </c>
      <c r="K975" s="29" t="str">
        <f ca="1">IF(C975&lt;&gt;"",IF(I975&lt;&gt;"",IF(ISERROR(VLOOKUP(I975,$C$3:$L$6,10,0)),"",VLOOKUP(I975,$C$3:$L$6,10,0)+J975+IF(OR(VLOOKUP(I975,$C$3:$L$6,5,0)=Variables!$B$5,B975&gt;VLOOKUP(I975,$C$3:$L$6,8,0)),IF(VLOOKUP(I975,$C$3:$L$6,5,0)=Variables!$B$5,((YEAR(B975)-YEAR($B$12))*12+MONTH(B975)-MONTH($B$12)),((YEAR(B975)-YEAR(VLOOKUP(I975,$C$3:$L$6,8,0)))*12+MONTH(B975)-MONTH(VLOOKUP(I975,$C$3:$L$6,8,0))))*VLOOKUP(I975,$C$3:$L$6,7,0),0)),""),"")</f>
        <v/>
      </c>
      <c r="L975" s="29" t="str">
        <f t="shared" ca="1" si="84"/>
        <v/>
      </c>
      <c r="M975" s="10"/>
      <c r="N975" s="10"/>
    </row>
    <row r="976" spans="1:14" x14ac:dyDescent="0.25">
      <c r="A976" s="10"/>
      <c r="B976" s="14" t="str">
        <f t="shared" ca="1" si="85"/>
        <v/>
      </c>
      <c r="C976" s="14" t="str">
        <f ca="1">IF(I975&lt;&gt;Variables!$B$1,IF(H975&lt;&gt;0,C975,I975),"")</f>
        <v/>
      </c>
      <c r="D976" s="29" t="str">
        <f t="shared" ca="1" si="82"/>
        <v/>
      </c>
      <c r="E976" s="29" t="str">
        <f t="shared" ca="1" si="83"/>
        <v/>
      </c>
      <c r="F976" s="29" t="str">
        <f ca="1">IF(C976&lt;&gt;"",IF(OR(VLOOKUP(C976,$C$3:$L$6,5,0)=Variables!$B$5,B976&gt;VLOOKUP(C976,$C$3:$L$6,8,0)),-D976*VLOOKUP(C976,$C$3:$L$6,6,0)/12,0),"")</f>
        <v/>
      </c>
      <c r="G976" s="29" t="str">
        <f ca="1">IF(I976&lt;&gt;Variables!$B$1,IF(C976&lt;&gt;"",$I$9-E976-F976,""),-D976)</f>
        <v/>
      </c>
      <c r="H976" s="29" t="str">
        <f t="shared" ca="1" si="86"/>
        <v/>
      </c>
      <c r="I976" s="31" t="str">
        <f ca="1">IF(C976&lt;&gt;"",IF(D976+$I$9-E976-F976&gt;=0,IF(ISERROR(INDEX($C$3:$C$6,MATCH(C976,$C$3:$C$6,0)+1,0)),Variables!$B$1,INDEX($C$3:$C$6,MATCH(C976,$C$3:$C$6,0)+1,0)),""),"")</f>
        <v/>
      </c>
      <c r="J976" s="29" t="str">
        <f ca="1">IF(ISERROR(VLOOKUP(I976,$C$3:$L$6,5,0)),"",IF(OR(VLOOKUP(I976,$C$3:$L$6,5,0)=Variables!$B$5,B976&gt;VLOOKUP(I976,$C$3:$L$6,8,0)),IF(VLOOKUP(I976,$C$3:$L$6,5,0)=Variables!$B$5,((YEAR(B976)-YEAR($B$12))*12+MONTH(B976)-MONTH($B$12)),((YEAR(B976)-YEAR(VLOOKUP(I976,$C$3:$L$6,8,0)))*12+MONTH(B976)-MONTH(VLOOKUP(I976,$C$3:$L$6,8,0))))*(VLOOKUP(I976,$C$3:$L$6,10,0)*VLOOKUP(I976,$C$3:$L$6,6,0)/12),0))</f>
        <v/>
      </c>
      <c r="K976" s="29" t="str">
        <f ca="1">IF(C976&lt;&gt;"",IF(I976&lt;&gt;"",IF(ISERROR(VLOOKUP(I976,$C$3:$L$6,10,0)),"",VLOOKUP(I976,$C$3:$L$6,10,0)+J976+IF(OR(VLOOKUP(I976,$C$3:$L$6,5,0)=Variables!$B$5,B976&gt;VLOOKUP(I976,$C$3:$L$6,8,0)),IF(VLOOKUP(I976,$C$3:$L$6,5,0)=Variables!$B$5,((YEAR(B976)-YEAR($B$12))*12+MONTH(B976)-MONTH($B$12)),((YEAR(B976)-YEAR(VLOOKUP(I976,$C$3:$L$6,8,0)))*12+MONTH(B976)-MONTH(VLOOKUP(I976,$C$3:$L$6,8,0))))*VLOOKUP(I976,$C$3:$L$6,7,0),0)),""),"")</f>
        <v/>
      </c>
      <c r="L976" s="29" t="str">
        <f t="shared" ca="1" si="84"/>
        <v/>
      </c>
      <c r="M976" s="10"/>
      <c r="N976" s="10"/>
    </row>
    <row r="977" spans="1:14" x14ac:dyDescent="0.25">
      <c r="A977" s="10"/>
      <c r="B977" s="14" t="str">
        <f t="shared" ca="1" si="85"/>
        <v/>
      </c>
      <c r="C977" s="14" t="str">
        <f ca="1">IF(I976&lt;&gt;Variables!$B$1,IF(H976&lt;&gt;0,C976,I976),"")</f>
        <v/>
      </c>
      <c r="D977" s="29" t="str">
        <f t="shared" ca="1" si="82"/>
        <v/>
      </c>
      <c r="E977" s="29" t="str">
        <f t="shared" ca="1" si="83"/>
        <v/>
      </c>
      <c r="F977" s="29" t="str">
        <f ca="1">IF(C977&lt;&gt;"",IF(OR(VLOOKUP(C977,$C$3:$L$6,5,0)=Variables!$B$5,B977&gt;VLOOKUP(C977,$C$3:$L$6,8,0)),-D977*VLOOKUP(C977,$C$3:$L$6,6,0)/12,0),"")</f>
        <v/>
      </c>
      <c r="G977" s="29" t="str">
        <f ca="1">IF(I977&lt;&gt;Variables!$B$1,IF(C977&lt;&gt;"",$I$9-E977-F977,""),-D977)</f>
        <v/>
      </c>
      <c r="H977" s="29" t="str">
        <f t="shared" ca="1" si="86"/>
        <v/>
      </c>
      <c r="I977" s="31" t="str">
        <f ca="1">IF(C977&lt;&gt;"",IF(D977+$I$9-E977-F977&gt;=0,IF(ISERROR(INDEX($C$3:$C$6,MATCH(C977,$C$3:$C$6,0)+1,0)),Variables!$B$1,INDEX($C$3:$C$6,MATCH(C977,$C$3:$C$6,0)+1,0)),""),"")</f>
        <v/>
      </c>
      <c r="J977" s="29" t="str">
        <f ca="1">IF(ISERROR(VLOOKUP(I977,$C$3:$L$6,5,0)),"",IF(OR(VLOOKUP(I977,$C$3:$L$6,5,0)=Variables!$B$5,B977&gt;VLOOKUP(I977,$C$3:$L$6,8,0)),IF(VLOOKUP(I977,$C$3:$L$6,5,0)=Variables!$B$5,((YEAR(B977)-YEAR($B$12))*12+MONTH(B977)-MONTH($B$12)),((YEAR(B977)-YEAR(VLOOKUP(I977,$C$3:$L$6,8,0)))*12+MONTH(B977)-MONTH(VLOOKUP(I977,$C$3:$L$6,8,0))))*(VLOOKUP(I977,$C$3:$L$6,10,0)*VLOOKUP(I977,$C$3:$L$6,6,0)/12),0))</f>
        <v/>
      </c>
      <c r="K977" s="29" t="str">
        <f ca="1">IF(C977&lt;&gt;"",IF(I977&lt;&gt;"",IF(ISERROR(VLOOKUP(I977,$C$3:$L$6,10,0)),"",VLOOKUP(I977,$C$3:$L$6,10,0)+J977+IF(OR(VLOOKUP(I977,$C$3:$L$6,5,0)=Variables!$B$5,B977&gt;VLOOKUP(I977,$C$3:$L$6,8,0)),IF(VLOOKUP(I977,$C$3:$L$6,5,0)=Variables!$B$5,((YEAR(B977)-YEAR($B$12))*12+MONTH(B977)-MONTH($B$12)),((YEAR(B977)-YEAR(VLOOKUP(I977,$C$3:$L$6,8,0)))*12+MONTH(B977)-MONTH(VLOOKUP(I977,$C$3:$L$6,8,0))))*VLOOKUP(I977,$C$3:$L$6,7,0),0)),""),"")</f>
        <v/>
      </c>
      <c r="L977" s="29" t="str">
        <f t="shared" ca="1" si="84"/>
        <v/>
      </c>
      <c r="M977" s="10"/>
      <c r="N977" s="10"/>
    </row>
    <row r="978" spans="1:14" x14ac:dyDescent="0.25">
      <c r="A978" s="10"/>
      <c r="B978" s="14" t="str">
        <f t="shared" ca="1" si="85"/>
        <v/>
      </c>
      <c r="C978" s="14" t="str">
        <f ca="1">IF(I977&lt;&gt;Variables!$B$1,IF(H977&lt;&gt;0,C977,I977),"")</f>
        <v/>
      </c>
      <c r="D978" s="29" t="str">
        <f t="shared" ca="1" si="82"/>
        <v/>
      </c>
      <c r="E978" s="29" t="str">
        <f t="shared" ca="1" si="83"/>
        <v/>
      </c>
      <c r="F978" s="29" t="str">
        <f ca="1">IF(C978&lt;&gt;"",IF(OR(VLOOKUP(C978,$C$3:$L$6,5,0)=Variables!$B$5,B978&gt;VLOOKUP(C978,$C$3:$L$6,8,0)),-D978*VLOOKUP(C978,$C$3:$L$6,6,0)/12,0),"")</f>
        <v/>
      </c>
      <c r="G978" s="29" t="str">
        <f ca="1">IF(I978&lt;&gt;Variables!$B$1,IF(C978&lt;&gt;"",$I$9-E978-F978,""),-D978)</f>
        <v/>
      </c>
      <c r="H978" s="29" t="str">
        <f t="shared" ca="1" si="86"/>
        <v/>
      </c>
      <c r="I978" s="31" t="str">
        <f ca="1">IF(C978&lt;&gt;"",IF(D978+$I$9-E978-F978&gt;=0,IF(ISERROR(INDEX($C$3:$C$6,MATCH(C978,$C$3:$C$6,0)+1,0)),Variables!$B$1,INDEX($C$3:$C$6,MATCH(C978,$C$3:$C$6,0)+1,0)),""),"")</f>
        <v/>
      </c>
      <c r="J978" s="29" t="str">
        <f ca="1">IF(ISERROR(VLOOKUP(I978,$C$3:$L$6,5,0)),"",IF(OR(VLOOKUP(I978,$C$3:$L$6,5,0)=Variables!$B$5,B978&gt;VLOOKUP(I978,$C$3:$L$6,8,0)),IF(VLOOKUP(I978,$C$3:$L$6,5,0)=Variables!$B$5,((YEAR(B978)-YEAR($B$12))*12+MONTH(B978)-MONTH($B$12)),((YEAR(B978)-YEAR(VLOOKUP(I978,$C$3:$L$6,8,0)))*12+MONTH(B978)-MONTH(VLOOKUP(I978,$C$3:$L$6,8,0))))*(VLOOKUP(I978,$C$3:$L$6,10,0)*VLOOKUP(I978,$C$3:$L$6,6,0)/12),0))</f>
        <v/>
      </c>
      <c r="K978" s="29" t="str">
        <f ca="1">IF(C978&lt;&gt;"",IF(I978&lt;&gt;"",IF(ISERROR(VLOOKUP(I978,$C$3:$L$6,10,0)),"",VLOOKUP(I978,$C$3:$L$6,10,0)+J978+IF(OR(VLOOKUP(I978,$C$3:$L$6,5,0)=Variables!$B$5,B978&gt;VLOOKUP(I978,$C$3:$L$6,8,0)),IF(VLOOKUP(I978,$C$3:$L$6,5,0)=Variables!$B$5,((YEAR(B978)-YEAR($B$12))*12+MONTH(B978)-MONTH($B$12)),((YEAR(B978)-YEAR(VLOOKUP(I978,$C$3:$L$6,8,0)))*12+MONTH(B978)-MONTH(VLOOKUP(I978,$C$3:$L$6,8,0))))*VLOOKUP(I978,$C$3:$L$6,7,0),0)),""),"")</f>
        <v/>
      </c>
      <c r="L978" s="29" t="str">
        <f t="shared" ca="1" si="84"/>
        <v/>
      </c>
      <c r="M978" s="10"/>
      <c r="N978" s="10"/>
    </row>
    <row r="979" spans="1:14" x14ac:dyDescent="0.25">
      <c r="A979" s="10"/>
      <c r="B979" s="14" t="str">
        <f t="shared" ca="1" si="85"/>
        <v/>
      </c>
      <c r="C979" s="14" t="str">
        <f ca="1">IF(I978&lt;&gt;Variables!$B$1,IF(H978&lt;&gt;0,C978,I978),"")</f>
        <v/>
      </c>
      <c r="D979" s="29" t="str">
        <f t="shared" ca="1" si="82"/>
        <v/>
      </c>
      <c r="E979" s="29" t="str">
        <f t="shared" ca="1" si="83"/>
        <v/>
      </c>
      <c r="F979" s="29" t="str">
        <f ca="1">IF(C979&lt;&gt;"",IF(OR(VLOOKUP(C979,$C$3:$L$6,5,0)=Variables!$B$5,B979&gt;VLOOKUP(C979,$C$3:$L$6,8,0)),-D979*VLOOKUP(C979,$C$3:$L$6,6,0)/12,0),"")</f>
        <v/>
      </c>
      <c r="G979" s="29" t="str">
        <f ca="1">IF(I979&lt;&gt;Variables!$B$1,IF(C979&lt;&gt;"",$I$9-E979-F979,""),-D979)</f>
        <v/>
      </c>
      <c r="H979" s="29" t="str">
        <f t="shared" ca="1" si="86"/>
        <v/>
      </c>
      <c r="I979" s="31" t="str">
        <f ca="1">IF(C979&lt;&gt;"",IF(D979+$I$9-E979-F979&gt;=0,IF(ISERROR(INDEX($C$3:$C$6,MATCH(C979,$C$3:$C$6,0)+1,0)),Variables!$B$1,INDEX($C$3:$C$6,MATCH(C979,$C$3:$C$6,0)+1,0)),""),"")</f>
        <v/>
      </c>
      <c r="J979" s="29" t="str">
        <f ca="1">IF(ISERROR(VLOOKUP(I979,$C$3:$L$6,5,0)),"",IF(OR(VLOOKUP(I979,$C$3:$L$6,5,0)=Variables!$B$5,B979&gt;VLOOKUP(I979,$C$3:$L$6,8,0)),IF(VLOOKUP(I979,$C$3:$L$6,5,0)=Variables!$B$5,((YEAR(B979)-YEAR($B$12))*12+MONTH(B979)-MONTH($B$12)),((YEAR(B979)-YEAR(VLOOKUP(I979,$C$3:$L$6,8,0)))*12+MONTH(B979)-MONTH(VLOOKUP(I979,$C$3:$L$6,8,0))))*(VLOOKUP(I979,$C$3:$L$6,10,0)*VLOOKUP(I979,$C$3:$L$6,6,0)/12),0))</f>
        <v/>
      </c>
      <c r="K979" s="29" t="str">
        <f ca="1">IF(C979&lt;&gt;"",IF(I979&lt;&gt;"",IF(ISERROR(VLOOKUP(I979,$C$3:$L$6,10,0)),"",VLOOKUP(I979,$C$3:$L$6,10,0)+J979+IF(OR(VLOOKUP(I979,$C$3:$L$6,5,0)=Variables!$B$5,B979&gt;VLOOKUP(I979,$C$3:$L$6,8,0)),IF(VLOOKUP(I979,$C$3:$L$6,5,0)=Variables!$B$5,((YEAR(B979)-YEAR($B$12))*12+MONTH(B979)-MONTH($B$12)),((YEAR(B979)-YEAR(VLOOKUP(I979,$C$3:$L$6,8,0)))*12+MONTH(B979)-MONTH(VLOOKUP(I979,$C$3:$L$6,8,0))))*VLOOKUP(I979,$C$3:$L$6,7,0),0)),""),"")</f>
        <v/>
      </c>
      <c r="L979" s="29" t="str">
        <f t="shared" ca="1" si="84"/>
        <v/>
      </c>
      <c r="M979" s="10"/>
      <c r="N979" s="10"/>
    </row>
    <row r="980" spans="1:14" x14ac:dyDescent="0.25">
      <c r="A980" s="10"/>
      <c r="B980" s="14" t="str">
        <f t="shared" ca="1" si="85"/>
        <v/>
      </c>
      <c r="C980" s="14" t="str">
        <f ca="1">IF(I979&lt;&gt;Variables!$B$1,IF(H979&lt;&gt;0,C979,I979),"")</f>
        <v/>
      </c>
      <c r="D980" s="29" t="str">
        <f t="shared" ca="1" si="82"/>
        <v/>
      </c>
      <c r="E980" s="29" t="str">
        <f t="shared" ca="1" si="83"/>
        <v/>
      </c>
      <c r="F980" s="29" t="str">
        <f ca="1">IF(C980&lt;&gt;"",IF(OR(VLOOKUP(C980,$C$3:$L$6,5,0)=Variables!$B$5,B980&gt;VLOOKUP(C980,$C$3:$L$6,8,0)),-D980*VLOOKUP(C980,$C$3:$L$6,6,0)/12,0),"")</f>
        <v/>
      </c>
      <c r="G980" s="29" t="str">
        <f ca="1">IF(I980&lt;&gt;Variables!$B$1,IF(C980&lt;&gt;"",$I$9-E980-F980,""),-D980)</f>
        <v/>
      </c>
      <c r="H980" s="29" t="str">
        <f t="shared" ca="1" si="86"/>
        <v/>
      </c>
      <c r="I980" s="31" t="str">
        <f ca="1">IF(C980&lt;&gt;"",IF(D980+$I$9-E980-F980&gt;=0,IF(ISERROR(INDEX($C$3:$C$6,MATCH(C980,$C$3:$C$6,0)+1,0)),Variables!$B$1,INDEX($C$3:$C$6,MATCH(C980,$C$3:$C$6,0)+1,0)),""),"")</f>
        <v/>
      </c>
      <c r="J980" s="29" t="str">
        <f ca="1">IF(ISERROR(VLOOKUP(I980,$C$3:$L$6,5,0)),"",IF(OR(VLOOKUP(I980,$C$3:$L$6,5,0)=Variables!$B$5,B980&gt;VLOOKUP(I980,$C$3:$L$6,8,0)),IF(VLOOKUP(I980,$C$3:$L$6,5,0)=Variables!$B$5,((YEAR(B980)-YEAR($B$12))*12+MONTH(B980)-MONTH($B$12)),((YEAR(B980)-YEAR(VLOOKUP(I980,$C$3:$L$6,8,0)))*12+MONTH(B980)-MONTH(VLOOKUP(I980,$C$3:$L$6,8,0))))*(VLOOKUP(I980,$C$3:$L$6,10,0)*VLOOKUP(I980,$C$3:$L$6,6,0)/12),0))</f>
        <v/>
      </c>
      <c r="K980" s="29" t="str">
        <f ca="1">IF(C980&lt;&gt;"",IF(I980&lt;&gt;"",IF(ISERROR(VLOOKUP(I980,$C$3:$L$6,10,0)),"",VLOOKUP(I980,$C$3:$L$6,10,0)+J980+IF(OR(VLOOKUP(I980,$C$3:$L$6,5,0)=Variables!$B$5,B980&gt;VLOOKUP(I980,$C$3:$L$6,8,0)),IF(VLOOKUP(I980,$C$3:$L$6,5,0)=Variables!$B$5,((YEAR(B980)-YEAR($B$12))*12+MONTH(B980)-MONTH($B$12)),((YEAR(B980)-YEAR(VLOOKUP(I980,$C$3:$L$6,8,0)))*12+MONTH(B980)-MONTH(VLOOKUP(I980,$C$3:$L$6,8,0))))*VLOOKUP(I980,$C$3:$L$6,7,0),0)),""),"")</f>
        <v/>
      </c>
      <c r="L980" s="29" t="str">
        <f t="shared" ca="1" si="84"/>
        <v/>
      </c>
      <c r="M980" s="10"/>
      <c r="N980" s="10"/>
    </row>
    <row r="981" spans="1:14" x14ac:dyDescent="0.25">
      <c r="A981" s="10"/>
      <c r="B981" s="14" t="str">
        <f t="shared" ca="1" si="85"/>
        <v/>
      </c>
      <c r="C981" s="14" t="str">
        <f ca="1">IF(I980&lt;&gt;Variables!$B$1,IF(H980&lt;&gt;0,C980,I980),"")</f>
        <v/>
      </c>
      <c r="D981" s="29" t="str">
        <f t="shared" ca="1" si="82"/>
        <v/>
      </c>
      <c r="E981" s="29" t="str">
        <f t="shared" ca="1" si="83"/>
        <v/>
      </c>
      <c r="F981" s="29" t="str">
        <f ca="1">IF(C981&lt;&gt;"",IF(OR(VLOOKUP(C981,$C$3:$L$6,5,0)=Variables!$B$5,B981&gt;VLOOKUP(C981,$C$3:$L$6,8,0)),-D981*VLOOKUP(C981,$C$3:$L$6,6,0)/12,0),"")</f>
        <v/>
      </c>
      <c r="G981" s="29" t="str">
        <f ca="1">IF(I981&lt;&gt;Variables!$B$1,IF(C981&lt;&gt;"",$I$9-E981-F981,""),-D981)</f>
        <v/>
      </c>
      <c r="H981" s="29" t="str">
        <f t="shared" ca="1" si="86"/>
        <v/>
      </c>
      <c r="I981" s="31" t="str">
        <f ca="1">IF(C981&lt;&gt;"",IF(D981+$I$9-E981-F981&gt;=0,IF(ISERROR(INDEX($C$3:$C$6,MATCH(C981,$C$3:$C$6,0)+1,0)),Variables!$B$1,INDEX($C$3:$C$6,MATCH(C981,$C$3:$C$6,0)+1,0)),""),"")</f>
        <v/>
      </c>
      <c r="J981" s="29" t="str">
        <f ca="1">IF(ISERROR(VLOOKUP(I981,$C$3:$L$6,5,0)),"",IF(OR(VLOOKUP(I981,$C$3:$L$6,5,0)=Variables!$B$5,B981&gt;VLOOKUP(I981,$C$3:$L$6,8,0)),IF(VLOOKUP(I981,$C$3:$L$6,5,0)=Variables!$B$5,((YEAR(B981)-YEAR($B$12))*12+MONTH(B981)-MONTH($B$12)),((YEAR(B981)-YEAR(VLOOKUP(I981,$C$3:$L$6,8,0)))*12+MONTH(B981)-MONTH(VLOOKUP(I981,$C$3:$L$6,8,0))))*(VLOOKUP(I981,$C$3:$L$6,10,0)*VLOOKUP(I981,$C$3:$L$6,6,0)/12),0))</f>
        <v/>
      </c>
      <c r="K981" s="29" t="str">
        <f ca="1">IF(C981&lt;&gt;"",IF(I981&lt;&gt;"",IF(ISERROR(VLOOKUP(I981,$C$3:$L$6,10,0)),"",VLOOKUP(I981,$C$3:$L$6,10,0)+J981+IF(OR(VLOOKUP(I981,$C$3:$L$6,5,0)=Variables!$B$5,B981&gt;VLOOKUP(I981,$C$3:$L$6,8,0)),IF(VLOOKUP(I981,$C$3:$L$6,5,0)=Variables!$B$5,((YEAR(B981)-YEAR($B$12))*12+MONTH(B981)-MONTH($B$12)),((YEAR(B981)-YEAR(VLOOKUP(I981,$C$3:$L$6,8,0)))*12+MONTH(B981)-MONTH(VLOOKUP(I981,$C$3:$L$6,8,0))))*VLOOKUP(I981,$C$3:$L$6,7,0),0)),""),"")</f>
        <v/>
      </c>
      <c r="L981" s="29" t="str">
        <f t="shared" ca="1" si="84"/>
        <v/>
      </c>
      <c r="M981" s="10"/>
      <c r="N981" s="10"/>
    </row>
    <row r="982" spans="1:14" x14ac:dyDescent="0.25">
      <c r="A982" s="10"/>
      <c r="B982" s="14" t="str">
        <f t="shared" ca="1" si="85"/>
        <v/>
      </c>
      <c r="C982" s="14" t="str">
        <f ca="1">IF(I981&lt;&gt;Variables!$B$1,IF(H981&lt;&gt;0,C981,I981),"")</f>
        <v/>
      </c>
      <c r="D982" s="29" t="str">
        <f t="shared" ca="1" si="82"/>
        <v/>
      </c>
      <c r="E982" s="29" t="str">
        <f t="shared" ca="1" si="83"/>
        <v/>
      </c>
      <c r="F982" s="29" t="str">
        <f ca="1">IF(C982&lt;&gt;"",IF(OR(VLOOKUP(C982,$C$3:$L$6,5,0)=Variables!$B$5,B982&gt;VLOOKUP(C982,$C$3:$L$6,8,0)),-D982*VLOOKUP(C982,$C$3:$L$6,6,0)/12,0),"")</f>
        <v/>
      </c>
      <c r="G982" s="29" t="str">
        <f ca="1">IF(I982&lt;&gt;Variables!$B$1,IF(C982&lt;&gt;"",$I$9-E982-F982,""),-D982)</f>
        <v/>
      </c>
      <c r="H982" s="29" t="str">
        <f t="shared" ca="1" si="86"/>
        <v/>
      </c>
      <c r="I982" s="31" t="str">
        <f ca="1">IF(C982&lt;&gt;"",IF(D982+$I$9-E982-F982&gt;=0,IF(ISERROR(INDEX($C$3:$C$6,MATCH(C982,$C$3:$C$6,0)+1,0)),Variables!$B$1,INDEX($C$3:$C$6,MATCH(C982,$C$3:$C$6,0)+1,0)),""),"")</f>
        <v/>
      </c>
      <c r="J982" s="29" t="str">
        <f ca="1">IF(ISERROR(VLOOKUP(I982,$C$3:$L$6,5,0)),"",IF(OR(VLOOKUP(I982,$C$3:$L$6,5,0)=Variables!$B$5,B982&gt;VLOOKUP(I982,$C$3:$L$6,8,0)),IF(VLOOKUP(I982,$C$3:$L$6,5,0)=Variables!$B$5,((YEAR(B982)-YEAR($B$12))*12+MONTH(B982)-MONTH($B$12)),((YEAR(B982)-YEAR(VLOOKUP(I982,$C$3:$L$6,8,0)))*12+MONTH(B982)-MONTH(VLOOKUP(I982,$C$3:$L$6,8,0))))*(VLOOKUP(I982,$C$3:$L$6,10,0)*VLOOKUP(I982,$C$3:$L$6,6,0)/12),0))</f>
        <v/>
      </c>
      <c r="K982" s="29" t="str">
        <f ca="1">IF(C982&lt;&gt;"",IF(I982&lt;&gt;"",IF(ISERROR(VLOOKUP(I982,$C$3:$L$6,10,0)),"",VLOOKUP(I982,$C$3:$L$6,10,0)+J982+IF(OR(VLOOKUP(I982,$C$3:$L$6,5,0)=Variables!$B$5,B982&gt;VLOOKUP(I982,$C$3:$L$6,8,0)),IF(VLOOKUP(I982,$C$3:$L$6,5,0)=Variables!$B$5,((YEAR(B982)-YEAR($B$12))*12+MONTH(B982)-MONTH($B$12)),((YEAR(B982)-YEAR(VLOOKUP(I982,$C$3:$L$6,8,0)))*12+MONTH(B982)-MONTH(VLOOKUP(I982,$C$3:$L$6,8,0))))*VLOOKUP(I982,$C$3:$L$6,7,0),0)),""),"")</f>
        <v/>
      </c>
      <c r="L982" s="29" t="str">
        <f t="shared" ca="1" si="84"/>
        <v/>
      </c>
      <c r="M982" s="10"/>
      <c r="N982" s="10"/>
    </row>
    <row r="983" spans="1:14" x14ac:dyDescent="0.25">
      <c r="A983" s="10"/>
      <c r="B983" s="14" t="str">
        <f t="shared" ca="1" si="85"/>
        <v/>
      </c>
      <c r="C983" s="14" t="str">
        <f ca="1">IF(I982&lt;&gt;Variables!$B$1,IF(H982&lt;&gt;0,C982,I982),"")</f>
        <v/>
      </c>
      <c r="D983" s="29" t="str">
        <f t="shared" ca="1" si="82"/>
        <v/>
      </c>
      <c r="E983" s="29" t="str">
        <f t="shared" ca="1" si="83"/>
        <v/>
      </c>
      <c r="F983" s="29" t="str">
        <f ca="1">IF(C983&lt;&gt;"",IF(OR(VLOOKUP(C983,$C$3:$L$6,5,0)=Variables!$B$5,B983&gt;VLOOKUP(C983,$C$3:$L$6,8,0)),-D983*VLOOKUP(C983,$C$3:$L$6,6,0)/12,0),"")</f>
        <v/>
      </c>
      <c r="G983" s="29" t="str">
        <f ca="1">IF(I983&lt;&gt;Variables!$B$1,IF(C983&lt;&gt;"",$I$9-E983-F983,""),-D983)</f>
        <v/>
      </c>
      <c r="H983" s="29" t="str">
        <f t="shared" ca="1" si="86"/>
        <v/>
      </c>
      <c r="I983" s="31" t="str">
        <f ca="1">IF(C983&lt;&gt;"",IF(D983+$I$9-E983-F983&gt;=0,IF(ISERROR(INDEX($C$3:$C$6,MATCH(C983,$C$3:$C$6,0)+1,0)),Variables!$B$1,INDEX($C$3:$C$6,MATCH(C983,$C$3:$C$6,0)+1,0)),""),"")</f>
        <v/>
      </c>
      <c r="J983" s="29" t="str">
        <f ca="1">IF(ISERROR(VLOOKUP(I983,$C$3:$L$6,5,0)),"",IF(OR(VLOOKUP(I983,$C$3:$L$6,5,0)=Variables!$B$5,B983&gt;VLOOKUP(I983,$C$3:$L$6,8,0)),IF(VLOOKUP(I983,$C$3:$L$6,5,0)=Variables!$B$5,((YEAR(B983)-YEAR($B$12))*12+MONTH(B983)-MONTH($B$12)),((YEAR(B983)-YEAR(VLOOKUP(I983,$C$3:$L$6,8,0)))*12+MONTH(B983)-MONTH(VLOOKUP(I983,$C$3:$L$6,8,0))))*(VLOOKUP(I983,$C$3:$L$6,10,0)*VLOOKUP(I983,$C$3:$L$6,6,0)/12),0))</f>
        <v/>
      </c>
      <c r="K983" s="29" t="str">
        <f ca="1">IF(C983&lt;&gt;"",IF(I983&lt;&gt;"",IF(ISERROR(VLOOKUP(I983,$C$3:$L$6,10,0)),"",VLOOKUP(I983,$C$3:$L$6,10,0)+J983+IF(OR(VLOOKUP(I983,$C$3:$L$6,5,0)=Variables!$B$5,B983&gt;VLOOKUP(I983,$C$3:$L$6,8,0)),IF(VLOOKUP(I983,$C$3:$L$6,5,0)=Variables!$B$5,((YEAR(B983)-YEAR($B$12))*12+MONTH(B983)-MONTH($B$12)),((YEAR(B983)-YEAR(VLOOKUP(I983,$C$3:$L$6,8,0)))*12+MONTH(B983)-MONTH(VLOOKUP(I983,$C$3:$L$6,8,0))))*VLOOKUP(I983,$C$3:$L$6,7,0),0)),""),"")</f>
        <v/>
      </c>
      <c r="L983" s="29" t="str">
        <f t="shared" ca="1" si="84"/>
        <v/>
      </c>
      <c r="M983" s="10"/>
      <c r="N983" s="10"/>
    </row>
    <row r="984" spans="1:14" x14ac:dyDescent="0.25">
      <c r="A984" s="10"/>
      <c r="B984" s="14" t="str">
        <f t="shared" ca="1" si="85"/>
        <v/>
      </c>
      <c r="C984" s="14" t="str">
        <f ca="1">IF(I983&lt;&gt;Variables!$B$1,IF(H983&lt;&gt;0,C983,I983),"")</f>
        <v/>
      </c>
      <c r="D984" s="29" t="str">
        <f t="shared" ca="1" si="82"/>
        <v/>
      </c>
      <c r="E984" s="29" t="str">
        <f t="shared" ca="1" si="83"/>
        <v/>
      </c>
      <c r="F984" s="29" t="str">
        <f ca="1">IF(C984&lt;&gt;"",IF(OR(VLOOKUP(C984,$C$3:$L$6,5,0)=Variables!$B$5,B984&gt;VLOOKUP(C984,$C$3:$L$6,8,0)),-D984*VLOOKUP(C984,$C$3:$L$6,6,0)/12,0),"")</f>
        <v/>
      </c>
      <c r="G984" s="29" t="str">
        <f ca="1">IF(I984&lt;&gt;Variables!$B$1,IF(C984&lt;&gt;"",$I$9-E984-F984,""),-D984)</f>
        <v/>
      </c>
      <c r="H984" s="29" t="str">
        <f t="shared" ca="1" si="86"/>
        <v/>
      </c>
      <c r="I984" s="31" t="str">
        <f ca="1">IF(C984&lt;&gt;"",IF(D984+$I$9-E984-F984&gt;=0,IF(ISERROR(INDEX($C$3:$C$6,MATCH(C984,$C$3:$C$6,0)+1,0)),Variables!$B$1,INDEX($C$3:$C$6,MATCH(C984,$C$3:$C$6,0)+1,0)),""),"")</f>
        <v/>
      </c>
      <c r="J984" s="29" t="str">
        <f ca="1">IF(ISERROR(VLOOKUP(I984,$C$3:$L$6,5,0)),"",IF(OR(VLOOKUP(I984,$C$3:$L$6,5,0)=Variables!$B$5,B984&gt;VLOOKUP(I984,$C$3:$L$6,8,0)),IF(VLOOKUP(I984,$C$3:$L$6,5,0)=Variables!$B$5,((YEAR(B984)-YEAR($B$12))*12+MONTH(B984)-MONTH($B$12)),((YEAR(B984)-YEAR(VLOOKUP(I984,$C$3:$L$6,8,0)))*12+MONTH(B984)-MONTH(VLOOKUP(I984,$C$3:$L$6,8,0))))*(VLOOKUP(I984,$C$3:$L$6,10,0)*VLOOKUP(I984,$C$3:$L$6,6,0)/12),0))</f>
        <v/>
      </c>
      <c r="K984" s="29" t="str">
        <f ca="1">IF(C984&lt;&gt;"",IF(I984&lt;&gt;"",IF(ISERROR(VLOOKUP(I984,$C$3:$L$6,10,0)),"",VLOOKUP(I984,$C$3:$L$6,10,0)+J984+IF(OR(VLOOKUP(I984,$C$3:$L$6,5,0)=Variables!$B$5,B984&gt;VLOOKUP(I984,$C$3:$L$6,8,0)),IF(VLOOKUP(I984,$C$3:$L$6,5,0)=Variables!$B$5,((YEAR(B984)-YEAR($B$12))*12+MONTH(B984)-MONTH($B$12)),((YEAR(B984)-YEAR(VLOOKUP(I984,$C$3:$L$6,8,0)))*12+MONTH(B984)-MONTH(VLOOKUP(I984,$C$3:$L$6,8,0))))*VLOOKUP(I984,$C$3:$L$6,7,0),0)),""),"")</f>
        <v/>
      </c>
      <c r="L984" s="29" t="str">
        <f t="shared" ca="1" si="84"/>
        <v/>
      </c>
      <c r="M984" s="10"/>
      <c r="N984" s="10"/>
    </row>
    <row r="985" spans="1:14" x14ac:dyDescent="0.25">
      <c r="A985" s="10"/>
      <c r="B985" s="14" t="str">
        <f t="shared" ca="1" si="85"/>
        <v/>
      </c>
      <c r="C985" s="14" t="str">
        <f ca="1">IF(I984&lt;&gt;Variables!$B$1,IF(H984&lt;&gt;0,C984,I984),"")</f>
        <v/>
      </c>
      <c r="D985" s="29" t="str">
        <f t="shared" ca="1" si="82"/>
        <v/>
      </c>
      <c r="E985" s="29" t="str">
        <f t="shared" ca="1" si="83"/>
        <v/>
      </c>
      <c r="F985" s="29" t="str">
        <f ca="1">IF(C985&lt;&gt;"",IF(OR(VLOOKUP(C985,$C$3:$L$6,5,0)=Variables!$B$5,B985&gt;VLOOKUP(C985,$C$3:$L$6,8,0)),-D985*VLOOKUP(C985,$C$3:$L$6,6,0)/12,0),"")</f>
        <v/>
      </c>
      <c r="G985" s="29" t="str">
        <f ca="1">IF(I985&lt;&gt;Variables!$B$1,IF(C985&lt;&gt;"",$I$9-E985-F985,""),-D985)</f>
        <v/>
      </c>
      <c r="H985" s="29" t="str">
        <f t="shared" ca="1" si="86"/>
        <v/>
      </c>
      <c r="I985" s="31" t="str">
        <f ca="1">IF(C985&lt;&gt;"",IF(D985+$I$9-E985-F985&gt;=0,IF(ISERROR(INDEX($C$3:$C$6,MATCH(C985,$C$3:$C$6,0)+1,0)),Variables!$B$1,INDEX($C$3:$C$6,MATCH(C985,$C$3:$C$6,0)+1,0)),""),"")</f>
        <v/>
      </c>
      <c r="J985" s="29" t="str">
        <f ca="1">IF(ISERROR(VLOOKUP(I985,$C$3:$L$6,5,0)),"",IF(OR(VLOOKUP(I985,$C$3:$L$6,5,0)=Variables!$B$5,B985&gt;VLOOKUP(I985,$C$3:$L$6,8,0)),IF(VLOOKUP(I985,$C$3:$L$6,5,0)=Variables!$B$5,((YEAR(B985)-YEAR($B$12))*12+MONTH(B985)-MONTH($B$12)),((YEAR(B985)-YEAR(VLOOKUP(I985,$C$3:$L$6,8,0)))*12+MONTH(B985)-MONTH(VLOOKUP(I985,$C$3:$L$6,8,0))))*(VLOOKUP(I985,$C$3:$L$6,10,0)*VLOOKUP(I985,$C$3:$L$6,6,0)/12),0))</f>
        <v/>
      </c>
      <c r="K985" s="29" t="str">
        <f ca="1">IF(C985&lt;&gt;"",IF(I985&lt;&gt;"",IF(ISERROR(VLOOKUP(I985,$C$3:$L$6,10,0)),"",VLOOKUP(I985,$C$3:$L$6,10,0)+J985+IF(OR(VLOOKUP(I985,$C$3:$L$6,5,0)=Variables!$B$5,B985&gt;VLOOKUP(I985,$C$3:$L$6,8,0)),IF(VLOOKUP(I985,$C$3:$L$6,5,0)=Variables!$B$5,((YEAR(B985)-YEAR($B$12))*12+MONTH(B985)-MONTH($B$12)),((YEAR(B985)-YEAR(VLOOKUP(I985,$C$3:$L$6,8,0)))*12+MONTH(B985)-MONTH(VLOOKUP(I985,$C$3:$L$6,8,0))))*VLOOKUP(I985,$C$3:$L$6,7,0),0)),""),"")</f>
        <v/>
      </c>
      <c r="L985" s="29" t="str">
        <f t="shared" ca="1" si="84"/>
        <v/>
      </c>
      <c r="M985" s="10"/>
      <c r="N985" s="10"/>
    </row>
    <row r="986" spans="1:14" x14ac:dyDescent="0.25">
      <c r="A986" s="10"/>
      <c r="B986" s="14" t="str">
        <f t="shared" ca="1" si="85"/>
        <v/>
      </c>
      <c r="C986" s="14" t="str">
        <f ca="1">IF(I985&lt;&gt;Variables!$B$1,IF(H985&lt;&gt;0,C985,I985),"")</f>
        <v/>
      </c>
      <c r="D986" s="29" t="str">
        <f t="shared" ca="1" si="82"/>
        <v/>
      </c>
      <c r="E986" s="29" t="str">
        <f t="shared" ca="1" si="83"/>
        <v/>
      </c>
      <c r="F986" s="29" t="str">
        <f ca="1">IF(C986&lt;&gt;"",IF(OR(VLOOKUP(C986,$C$3:$L$6,5,0)=Variables!$B$5,B986&gt;VLOOKUP(C986,$C$3:$L$6,8,0)),-D986*VLOOKUP(C986,$C$3:$L$6,6,0)/12,0),"")</f>
        <v/>
      </c>
      <c r="G986" s="29" t="str">
        <f ca="1">IF(I986&lt;&gt;Variables!$B$1,IF(C986&lt;&gt;"",$I$9-E986-F986,""),-D986)</f>
        <v/>
      </c>
      <c r="H986" s="29" t="str">
        <f t="shared" ca="1" si="86"/>
        <v/>
      </c>
      <c r="I986" s="31" t="str">
        <f ca="1">IF(C986&lt;&gt;"",IF(D986+$I$9-E986-F986&gt;=0,IF(ISERROR(INDEX($C$3:$C$6,MATCH(C986,$C$3:$C$6,0)+1,0)),Variables!$B$1,INDEX($C$3:$C$6,MATCH(C986,$C$3:$C$6,0)+1,0)),""),"")</f>
        <v/>
      </c>
      <c r="J986" s="29" t="str">
        <f ca="1">IF(ISERROR(VLOOKUP(I986,$C$3:$L$6,5,0)),"",IF(OR(VLOOKUP(I986,$C$3:$L$6,5,0)=Variables!$B$5,B986&gt;VLOOKUP(I986,$C$3:$L$6,8,0)),IF(VLOOKUP(I986,$C$3:$L$6,5,0)=Variables!$B$5,((YEAR(B986)-YEAR($B$12))*12+MONTH(B986)-MONTH($B$12)),((YEAR(B986)-YEAR(VLOOKUP(I986,$C$3:$L$6,8,0)))*12+MONTH(B986)-MONTH(VLOOKUP(I986,$C$3:$L$6,8,0))))*(VLOOKUP(I986,$C$3:$L$6,10,0)*VLOOKUP(I986,$C$3:$L$6,6,0)/12),0))</f>
        <v/>
      </c>
      <c r="K986" s="29" t="str">
        <f ca="1">IF(C986&lt;&gt;"",IF(I986&lt;&gt;"",IF(ISERROR(VLOOKUP(I986,$C$3:$L$6,10,0)),"",VLOOKUP(I986,$C$3:$L$6,10,0)+J986+IF(OR(VLOOKUP(I986,$C$3:$L$6,5,0)=Variables!$B$5,B986&gt;VLOOKUP(I986,$C$3:$L$6,8,0)),IF(VLOOKUP(I986,$C$3:$L$6,5,0)=Variables!$B$5,((YEAR(B986)-YEAR($B$12))*12+MONTH(B986)-MONTH($B$12)),((YEAR(B986)-YEAR(VLOOKUP(I986,$C$3:$L$6,8,0)))*12+MONTH(B986)-MONTH(VLOOKUP(I986,$C$3:$L$6,8,0))))*VLOOKUP(I986,$C$3:$L$6,7,0),0)),""),"")</f>
        <v/>
      </c>
      <c r="L986" s="29" t="str">
        <f t="shared" ca="1" si="84"/>
        <v/>
      </c>
      <c r="M986" s="10"/>
      <c r="N986" s="10"/>
    </row>
    <row r="987" spans="1:14" x14ac:dyDescent="0.25">
      <c r="A987" s="10"/>
      <c r="B987" s="14" t="str">
        <f t="shared" ca="1" si="85"/>
        <v/>
      </c>
      <c r="C987" s="14" t="str">
        <f ca="1">IF(I986&lt;&gt;Variables!$B$1,IF(H986&lt;&gt;0,C986,I986),"")</f>
        <v/>
      </c>
      <c r="D987" s="29" t="str">
        <f t="shared" ca="1" si="82"/>
        <v/>
      </c>
      <c r="E987" s="29" t="str">
        <f t="shared" ca="1" si="83"/>
        <v/>
      </c>
      <c r="F987" s="29" t="str">
        <f ca="1">IF(C987&lt;&gt;"",IF(OR(VLOOKUP(C987,$C$3:$L$6,5,0)=Variables!$B$5,B987&gt;VLOOKUP(C987,$C$3:$L$6,8,0)),-D987*VLOOKUP(C987,$C$3:$L$6,6,0)/12,0),"")</f>
        <v/>
      </c>
      <c r="G987" s="29" t="str">
        <f ca="1">IF(I987&lt;&gt;Variables!$B$1,IF(C987&lt;&gt;"",$I$9-E987-F987,""),-D987)</f>
        <v/>
      </c>
      <c r="H987" s="29" t="str">
        <f t="shared" ca="1" si="86"/>
        <v/>
      </c>
      <c r="I987" s="31" t="str">
        <f ca="1">IF(C987&lt;&gt;"",IF(D987+$I$9-E987-F987&gt;=0,IF(ISERROR(INDEX($C$3:$C$6,MATCH(C987,$C$3:$C$6,0)+1,0)),Variables!$B$1,INDEX($C$3:$C$6,MATCH(C987,$C$3:$C$6,0)+1,0)),""),"")</f>
        <v/>
      </c>
      <c r="J987" s="29" t="str">
        <f ca="1">IF(ISERROR(VLOOKUP(I987,$C$3:$L$6,5,0)),"",IF(OR(VLOOKUP(I987,$C$3:$L$6,5,0)=Variables!$B$5,B987&gt;VLOOKUP(I987,$C$3:$L$6,8,0)),IF(VLOOKUP(I987,$C$3:$L$6,5,0)=Variables!$B$5,((YEAR(B987)-YEAR($B$12))*12+MONTH(B987)-MONTH($B$12)),((YEAR(B987)-YEAR(VLOOKUP(I987,$C$3:$L$6,8,0)))*12+MONTH(B987)-MONTH(VLOOKUP(I987,$C$3:$L$6,8,0))))*(VLOOKUP(I987,$C$3:$L$6,10,0)*VLOOKUP(I987,$C$3:$L$6,6,0)/12),0))</f>
        <v/>
      </c>
      <c r="K987" s="29" t="str">
        <f ca="1">IF(C987&lt;&gt;"",IF(I987&lt;&gt;"",IF(ISERROR(VLOOKUP(I987,$C$3:$L$6,10,0)),"",VLOOKUP(I987,$C$3:$L$6,10,0)+J987+IF(OR(VLOOKUP(I987,$C$3:$L$6,5,0)=Variables!$B$5,B987&gt;VLOOKUP(I987,$C$3:$L$6,8,0)),IF(VLOOKUP(I987,$C$3:$L$6,5,0)=Variables!$B$5,((YEAR(B987)-YEAR($B$12))*12+MONTH(B987)-MONTH($B$12)),((YEAR(B987)-YEAR(VLOOKUP(I987,$C$3:$L$6,8,0)))*12+MONTH(B987)-MONTH(VLOOKUP(I987,$C$3:$L$6,8,0))))*VLOOKUP(I987,$C$3:$L$6,7,0),0)),""),"")</f>
        <v/>
      </c>
      <c r="L987" s="29" t="str">
        <f t="shared" ca="1" si="84"/>
        <v/>
      </c>
      <c r="M987" s="10"/>
      <c r="N987" s="10"/>
    </row>
    <row r="988" spans="1:14" x14ac:dyDescent="0.25">
      <c r="A988" s="10"/>
      <c r="B988" s="14" t="str">
        <f t="shared" ca="1" si="85"/>
        <v/>
      </c>
      <c r="C988" s="14" t="str">
        <f ca="1">IF(I987&lt;&gt;Variables!$B$1,IF(H987&lt;&gt;0,C987,I987),"")</f>
        <v/>
      </c>
      <c r="D988" s="29" t="str">
        <f t="shared" ref="D988:D1051" ca="1" si="87">IF(C988&lt;&gt;"",IF(H987&lt;&gt;0,H987,L987),"")</f>
        <v/>
      </c>
      <c r="E988" s="29" t="str">
        <f t="shared" ref="E988:E1051" ca="1" si="88">IF(C988&lt;&gt;"",MINPAYMENT(C988,ROW(B988),COLUMN(B988)),"")</f>
        <v/>
      </c>
      <c r="F988" s="29" t="str">
        <f ca="1">IF(C988&lt;&gt;"",IF(OR(VLOOKUP(C988,$C$3:$L$6,5,0)=Variables!$B$5,B988&gt;VLOOKUP(C988,$C$3:$L$6,8,0)),-D988*VLOOKUP(C988,$C$3:$L$6,6,0)/12,0),"")</f>
        <v/>
      </c>
      <c r="G988" s="29" t="str">
        <f ca="1">IF(I988&lt;&gt;Variables!$B$1,IF(C988&lt;&gt;"",$I$9-E988-F988,""),-D988)</f>
        <v/>
      </c>
      <c r="H988" s="29" t="str">
        <f t="shared" ca="1" si="86"/>
        <v/>
      </c>
      <c r="I988" s="31" t="str">
        <f ca="1">IF(C988&lt;&gt;"",IF(D988+$I$9-E988-F988&gt;=0,IF(ISERROR(INDEX($C$3:$C$6,MATCH(C988,$C$3:$C$6,0)+1,0)),Variables!$B$1,INDEX($C$3:$C$6,MATCH(C988,$C$3:$C$6,0)+1,0)),""),"")</f>
        <v/>
      </c>
      <c r="J988" s="29" t="str">
        <f ca="1">IF(ISERROR(VLOOKUP(I988,$C$3:$L$6,5,0)),"",IF(OR(VLOOKUP(I988,$C$3:$L$6,5,0)=Variables!$B$5,B988&gt;VLOOKUP(I988,$C$3:$L$6,8,0)),IF(VLOOKUP(I988,$C$3:$L$6,5,0)=Variables!$B$5,((YEAR(B988)-YEAR($B$12))*12+MONTH(B988)-MONTH($B$12)),((YEAR(B988)-YEAR(VLOOKUP(I988,$C$3:$L$6,8,0)))*12+MONTH(B988)-MONTH(VLOOKUP(I988,$C$3:$L$6,8,0))))*(VLOOKUP(I988,$C$3:$L$6,10,0)*VLOOKUP(I988,$C$3:$L$6,6,0)/12),0))</f>
        <v/>
      </c>
      <c r="K988" s="29" t="str">
        <f ca="1">IF(C988&lt;&gt;"",IF(I988&lt;&gt;"",IF(ISERROR(VLOOKUP(I988,$C$3:$L$6,10,0)),"",VLOOKUP(I988,$C$3:$L$6,10,0)+J988+IF(OR(VLOOKUP(I988,$C$3:$L$6,5,0)=Variables!$B$5,B988&gt;VLOOKUP(I988,$C$3:$L$6,8,0)),IF(VLOOKUP(I988,$C$3:$L$6,5,0)=Variables!$B$5,((YEAR(B988)-YEAR($B$12))*12+MONTH(B988)-MONTH($B$12)),((YEAR(B988)-YEAR(VLOOKUP(I988,$C$3:$L$6,8,0)))*12+MONTH(B988)-MONTH(VLOOKUP(I988,$C$3:$L$6,8,0))))*VLOOKUP(I988,$C$3:$L$6,7,0),0)),""),"")</f>
        <v/>
      </c>
      <c r="L988" s="29" t="str">
        <f t="shared" ref="L988:L1051" ca="1" si="89">IF(C988&lt;&gt;"",IF(ISERROR(IF(D988+G988&gt;=0,K988+D988+G988,"")),"",IF(D988+G988&gt;=0,K988+D988+G988,"")),"")</f>
        <v/>
      </c>
      <c r="M988" s="10"/>
      <c r="N988" s="10"/>
    </row>
    <row r="989" spans="1:14" x14ac:dyDescent="0.25">
      <c r="A989" s="10"/>
      <c r="B989" s="14" t="str">
        <f t="shared" ref="B989:B1052" ca="1" si="90">IF(C989&lt;&gt;"",DATE(YEAR(B988),MONTH(B988)+1,DAY(B988)),"")</f>
        <v/>
      </c>
      <c r="C989" s="14" t="str">
        <f ca="1">IF(I988&lt;&gt;Variables!$B$1,IF(H988&lt;&gt;0,C988,I988),"")</f>
        <v/>
      </c>
      <c r="D989" s="29" t="str">
        <f t="shared" ca="1" si="87"/>
        <v/>
      </c>
      <c r="E989" s="29" t="str">
        <f t="shared" ca="1" si="88"/>
        <v/>
      </c>
      <c r="F989" s="29" t="str">
        <f ca="1">IF(C989&lt;&gt;"",IF(OR(VLOOKUP(C989,$C$3:$L$6,5,0)=Variables!$B$5,B989&gt;VLOOKUP(C989,$C$3:$L$6,8,0)),-D989*VLOOKUP(C989,$C$3:$L$6,6,0)/12,0),"")</f>
        <v/>
      </c>
      <c r="G989" s="29" t="str">
        <f ca="1">IF(I989&lt;&gt;Variables!$B$1,IF(C989&lt;&gt;"",$I$9-E989-F989,""),-D989)</f>
        <v/>
      </c>
      <c r="H989" s="29" t="str">
        <f t="shared" ref="H989:H1052" ca="1" si="91">IF(C989&lt;&gt;"",IF(D989+G989&lt;0,D989+G989,0),"")</f>
        <v/>
      </c>
      <c r="I989" s="31" t="str">
        <f ca="1">IF(C989&lt;&gt;"",IF(D989+$I$9-E989-F989&gt;=0,IF(ISERROR(INDEX($C$3:$C$6,MATCH(C989,$C$3:$C$6,0)+1,0)),Variables!$B$1,INDEX($C$3:$C$6,MATCH(C989,$C$3:$C$6,0)+1,0)),""),"")</f>
        <v/>
      </c>
      <c r="J989" s="29" t="str">
        <f ca="1">IF(ISERROR(VLOOKUP(I989,$C$3:$L$6,5,0)),"",IF(OR(VLOOKUP(I989,$C$3:$L$6,5,0)=Variables!$B$5,B989&gt;VLOOKUP(I989,$C$3:$L$6,8,0)),IF(VLOOKUP(I989,$C$3:$L$6,5,0)=Variables!$B$5,((YEAR(B989)-YEAR($B$12))*12+MONTH(B989)-MONTH($B$12)),((YEAR(B989)-YEAR(VLOOKUP(I989,$C$3:$L$6,8,0)))*12+MONTH(B989)-MONTH(VLOOKUP(I989,$C$3:$L$6,8,0))))*(VLOOKUP(I989,$C$3:$L$6,10,0)*VLOOKUP(I989,$C$3:$L$6,6,0)/12),0))</f>
        <v/>
      </c>
      <c r="K989" s="29" t="str">
        <f ca="1">IF(C989&lt;&gt;"",IF(I989&lt;&gt;"",IF(ISERROR(VLOOKUP(I989,$C$3:$L$6,10,0)),"",VLOOKUP(I989,$C$3:$L$6,10,0)+J989+IF(OR(VLOOKUP(I989,$C$3:$L$6,5,0)=Variables!$B$5,B989&gt;VLOOKUP(I989,$C$3:$L$6,8,0)),IF(VLOOKUP(I989,$C$3:$L$6,5,0)=Variables!$B$5,((YEAR(B989)-YEAR($B$12))*12+MONTH(B989)-MONTH($B$12)),((YEAR(B989)-YEAR(VLOOKUP(I989,$C$3:$L$6,8,0)))*12+MONTH(B989)-MONTH(VLOOKUP(I989,$C$3:$L$6,8,0))))*VLOOKUP(I989,$C$3:$L$6,7,0),0)),""),"")</f>
        <v/>
      </c>
      <c r="L989" s="29" t="str">
        <f t="shared" ca="1" si="89"/>
        <v/>
      </c>
      <c r="M989" s="10"/>
      <c r="N989" s="10"/>
    </row>
    <row r="990" spans="1:14" x14ac:dyDescent="0.25">
      <c r="A990" s="10"/>
      <c r="B990" s="14" t="str">
        <f t="shared" ca="1" si="90"/>
        <v/>
      </c>
      <c r="C990" s="14" t="str">
        <f ca="1">IF(I989&lt;&gt;Variables!$B$1,IF(H989&lt;&gt;0,C989,I989),"")</f>
        <v/>
      </c>
      <c r="D990" s="29" t="str">
        <f t="shared" ca="1" si="87"/>
        <v/>
      </c>
      <c r="E990" s="29" t="str">
        <f t="shared" ca="1" si="88"/>
        <v/>
      </c>
      <c r="F990" s="29" t="str">
        <f ca="1">IF(C990&lt;&gt;"",IF(OR(VLOOKUP(C990,$C$3:$L$6,5,0)=Variables!$B$5,B990&gt;VLOOKUP(C990,$C$3:$L$6,8,0)),-D990*VLOOKUP(C990,$C$3:$L$6,6,0)/12,0),"")</f>
        <v/>
      </c>
      <c r="G990" s="29" t="str">
        <f ca="1">IF(I990&lt;&gt;Variables!$B$1,IF(C990&lt;&gt;"",$I$9-E990-F990,""),-D990)</f>
        <v/>
      </c>
      <c r="H990" s="29" t="str">
        <f t="shared" ca="1" si="91"/>
        <v/>
      </c>
      <c r="I990" s="31" t="str">
        <f ca="1">IF(C990&lt;&gt;"",IF(D990+$I$9-E990-F990&gt;=0,IF(ISERROR(INDEX($C$3:$C$6,MATCH(C990,$C$3:$C$6,0)+1,0)),Variables!$B$1,INDEX($C$3:$C$6,MATCH(C990,$C$3:$C$6,0)+1,0)),""),"")</f>
        <v/>
      </c>
      <c r="J990" s="29" t="str">
        <f ca="1">IF(ISERROR(VLOOKUP(I990,$C$3:$L$6,5,0)),"",IF(OR(VLOOKUP(I990,$C$3:$L$6,5,0)=Variables!$B$5,B990&gt;VLOOKUP(I990,$C$3:$L$6,8,0)),IF(VLOOKUP(I990,$C$3:$L$6,5,0)=Variables!$B$5,((YEAR(B990)-YEAR($B$12))*12+MONTH(B990)-MONTH($B$12)),((YEAR(B990)-YEAR(VLOOKUP(I990,$C$3:$L$6,8,0)))*12+MONTH(B990)-MONTH(VLOOKUP(I990,$C$3:$L$6,8,0))))*(VLOOKUP(I990,$C$3:$L$6,10,0)*VLOOKUP(I990,$C$3:$L$6,6,0)/12),0))</f>
        <v/>
      </c>
      <c r="K990" s="29" t="str">
        <f ca="1">IF(C990&lt;&gt;"",IF(I990&lt;&gt;"",IF(ISERROR(VLOOKUP(I990,$C$3:$L$6,10,0)),"",VLOOKUP(I990,$C$3:$L$6,10,0)+J990+IF(OR(VLOOKUP(I990,$C$3:$L$6,5,0)=Variables!$B$5,B990&gt;VLOOKUP(I990,$C$3:$L$6,8,0)),IF(VLOOKUP(I990,$C$3:$L$6,5,0)=Variables!$B$5,((YEAR(B990)-YEAR($B$12))*12+MONTH(B990)-MONTH($B$12)),((YEAR(B990)-YEAR(VLOOKUP(I990,$C$3:$L$6,8,0)))*12+MONTH(B990)-MONTH(VLOOKUP(I990,$C$3:$L$6,8,0))))*VLOOKUP(I990,$C$3:$L$6,7,0),0)),""),"")</f>
        <v/>
      </c>
      <c r="L990" s="29" t="str">
        <f t="shared" ca="1" si="89"/>
        <v/>
      </c>
      <c r="M990" s="10"/>
      <c r="N990" s="10"/>
    </row>
    <row r="991" spans="1:14" x14ac:dyDescent="0.25">
      <c r="A991" s="10"/>
      <c r="B991" s="14" t="str">
        <f t="shared" ca="1" si="90"/>
        <v/>
      </c>
      <c r="C991" s="14" t="str">
        <f ca="1">IF(I990&lt;&gt;Variables!$B$1,IF(H990&lt;&gt;0,C990,I990),"")</f>
        <v/>
      </c>
      <c r="D991" s="29" t="str">
        <f t="shared" ca="1" si="87"/>
        <v/>
      </c>
      <c r="E991" s="29" t="str">
        <f t="shared" ca="1" si="88"/>
        <v/>
      </c>
      <c r="F991" s="29" t="str">
        <f ca="1">IF(C991&lt;&gt;"",IF(OR(VLOOKUP(C991,$C$3:$L$6,5,0)=Variables!$B$5,B991&gt;VLOOKUP(C991,$C$3:$L$6,8,0)),-D991*VLOOKUP(C991,$C$3:$L$6,6,0)/12,0),"")</f>
        <v/>
      </c>
      <c r="G991" s="29" t="str">
        <f ca="1">IF(I991&lt;&gt;Variables!$B$1,IF(C991&lt;&gt;"",$I$9-E991-F991,""),-D991)</f>
        <v/>
      </c>
      <c r="H991" s="29" t="str">
        <f t="shared" ca="1" si="91"/>
        <v/>
      </c>
      <c r="I991" s="31" t="str">
        <f ca="1">IF(C991&lt;&gt;"",IF(D991+$I$9-E991-F991&gt;=0,IF(ISERROR(INDEX($C$3:$C$6,MATCH(C991,$C$3:$C$6,0)+1,0)),Variables!$B$1,INDEX($C$3:$C$6,MATCH(C991,$C$3:$C$6,0)+1,0)),""),"")</f>
        <v/>
      </c>
      <c r="J991" s="29" t="str">
        <f ca="1">IF(ISERROR(VLOOKUP(I991,$C$3:$L$6,5,0)),"",IF(OR(VLOOKUP(I991,$C$3:$L$6,5,0)=Variables!$B$5,B991&gt;VLOOKUP(I991,$C$3:$L$6,8,0)),IF(VLOOKUP(I991,$C$3:$L$6,5,0)=Variables!$B$5,((YEAR(B991)-YEAR($B$12))*12+MONTH(B991)-MONTH($B$12)),((YEAR(B991)-YEAR(VLOOKUP(I991,$C$3:$L$6,8,0)))*12+MONTH(B991)-MONTH(VLOOKUP(I991,$C$3:$L$6,8,0))))*(VLOOKUP(I991,$C$3:$L$6,10,0)*VLOOKUP(I991,$C$3:$L$6,6,0)/12),0))</f>
        <v/>
      </c>
      <c r="K991" s="29" t="str">
        <f ca="1">IF(C991&lt;&gt;"",IF(I991&lt;&gt;"",IF(ISERROR(VLOOKUP(I991,$C$3:$L$6,10,0)),"",VLOOKUP(I991,$C$3:$L$6,10,0)+J991+IF(OR(VLOOKUP(I991,$C$3:$L$6,5,0)=Variables!$B$5,B991&gt;VLOOKUP(I991,$C$3:$L$6,8,0)),IF(VLOOKUP(I991,$C$3:$L$6,5,0)=Variables!$B$5,((YEAR(B991)-YEAR($B$12))*12+MONTH(B991)-MONTH($B$12)),((YEAR(B991)-YEAR(VLOOKUP(I991,$C$3:$L$6,8,0)))*12+MONTH(B991)-MONTH(VLOOKUP(I991,$C$3:$L$6,8,0))))*VLOOKUP(I991,$C$3:$L$6,7,0),0)),""),"")</f>
        <v/>
      </c>
      <c r="L991" s="29" t="str">
        <f t="shared" ca="1" si="89"/>
        <v/>
      </c>
      <c r="M991" s="10"/>
      <c r="N991" s="10"/>
    </row>
    <row r="992" spans="1:14" x14ac:dyDescent="0.25">
      <c r="A992" s="10"/>
      <c r="B992" s="14" t="str">
        <f t="shared" ca="1" si="90"/>
        <v/>
      </c>
      <c r="C992" s="14" t="str">
        <f ca="1">IF(I991&lt;&gt;Variables!$B$1,IF(H991&lt;&gt;0,C991,I991),"")</f>
        <v/>
      </c>
      <c r="D992" s="29" t="str">
        <f t="shared" ca="1" si="87"/>
        <v/>
      </c>
      <c r="E992" s="29" t="str">
        <f t="shared" ca="1" si="88"/>
        <v/>
      </c>
      <c r="F992" s="29" t="str">
        <f ca="1">IF(C992&lt;&gt;"",IF(OR(VLOOKUP(C992,$C$3:$L$6,5,0)=Variables!$B$5,B992&gt;VLOOKUP(C992,$C$3:$L$6,8,0)),-D992*VLOOKUP(C992,$C$3:$L$6,6,0)/12,0),"")</f>
        <v/>
      </c>
      <c r="G992" s="29" t="str">
        <f ca="1">IF(I992&lt;&gt;Variables!$B$1,IF(C992&lt;&gt;"",$I$9-E992-F992,""),-D992)</f>
        <v/>
      </c>
      <c r="H992" s="29" t="str">
        <f t="shared" ca="1" si="91"/>
        <v/>
      </c>
      <c r="I992" s="31" t="str">
        <f ca="1">IF(C992&lt;&gt;"",IF(D992+$I$9-E992-F992&gt;=0,IF(ISERROR(INDEX($C$3:$C$6,MATCH(C992,$C$3:$C$6,0)+1,0)),Variables!$B$1,INDEX($C$3:$C$6,MATCH(C992,$C$3:$C$6,0)+1,0)),""),"")</f>
        <v/>
      </c>
      <c r="J992" s="29" t="str">
        <f ca="1">IF(ISERROR(VLOOKUP(I992,$C$3:$L$6,5,0)),"",IF(OR(VLOOKUP(I992,$C$3:$L$6,5,0)=Variables!$B$5,B992&gt;VLOOKUP(I992,$C$3:$L$6,8,0)),IF(VLOOKUP(I992,$C$3:$L$6,5,0)=Variables!$B$5,((YEAR(B992)-YEAR($B$12))*12+MONTH(B992)-MONTH($B$12)),((YEAR(B992)-YEAR(VLOOKUP(I992,$C$3:$L$6,8,0)))*12+MONTH(B992)-MONTH(VLOOKUP(I992,$C$3:$L$6,8,0))))*(VLOOKUP(I992,$C$3:$L$6,10,0)*VLOOKUP(I992,$C$3:$L$6,6,0)/12),0))</f>
        <v/>
      </c>
      <c r="K992" s="29" t="str">
        <f ca="1">IF(C992&lt;&gt;"",IF(I992&lt;&gt;"",IF(ISERROR(VLOOKUP(I992,$C$3:$L$6,10,0)),"",VLOOKUP(I992,$C$3:$L$6,10,0)+J992+IF(OR(VLOOKUP(I992,$C$3:$L$6,5,0)=Variables!$B$5,B992&gt;VLOOKUP(I992,$C$3:$L$6,8,0)),IF(VLOOKUP(I992,$C$3:$L$6,5,0)=Variables!$B$5,((YEAR(B992)-YEAR($B$12))*12+MONTH(B992)-MONTH($B$12)),((YEAR(B992)-YEAR(VLOOKUP(I992,$C$3:$L$6,8,0)))*12+MONTH(B992)-MONTH(VLOOKUP(I992,$C$3:$L$6,8,0))))*VLOOKUP(I992,$C$3:$L$6,7,0),0)),""),"")</f>
        <v/>
      </c>
      <c r="L992" s="29" t="str">
        <f t="shared" ca="1" si="89"/>
        <v/>
      </c>
      <c r="M992" s="10"/>
      <c r="N992" s="10"/>
    </row>
    <row r="993" spans="1:14" x14ac:dyDescent="0.25">
      <c r="A993" s="10"/>
      <c r="B993" s="14" t="str">
        <f t="shared" ca="1" si="90"/>
        <v/>
      </c>
      <c r="C993" s="14" t="str">
        <f ca="1">IF(I992&lt;&gt;Variables!$B$1,IF(H992&lt;&gt;0,C992,I992),"")</f>
        <v/>
      </c>
      <c r="D993" s="29" t="str">
        <f t="shared" ca="1" si="87"/>
        <v/>
      </c>
      <c r="E993" s="29" t="str">
        <f t="shared" ca="1" si="88"/>
        <v/>
      </c>
      <c r="F993" s="29" t="str">
        <f ca="1">IF(C993&lt;&gt;"",IF(OR(VLOOKUP(C993,$C$3:$L$6,5,0)=Variables!$B$5,B993&gt;VLOOKUP(C993,$C$3:$L$6,8,0)),-D993*VLOOKUP(C993,$C$3:$L$6,6,0)/12,0),"")</f>
        <v/>
      </c>
      <c r="G993" s="29" t="str">
        <f ca="1">IF(I993&lt;&gt;Variables!$B$1,IF(C993&lt;&gt;"",$I$9-E993-F993,""),-D993)</f>
        <v/>
      </c>
      <c r="H993" s="29" t="str">
        <f t="shared" ca="1" si="91"/>
        <v/>
      </c>
      <c r="I993" s="31" t="str">
        <f ca="1">IF(C993&lt;&gt;"",IF(D993+$I$9-E993-F993&gt;=0,IF(ISERROR(INDEX($C$3:$C$6,MATCH(C993,$C$3:$C$6,0)+1,0)),Variables!$B$1,INDEX($C$3:$C$6,MATCH(C993,$C$3:$C$6,0)+1,0)),""),"")</f>
        <v/>
      </c>
      <c r="J993" s="29" t="str">
        <f ca="1">IF(ISERROR(VLOOKUP(I993,$C$3:$L$6,5,0)),"",IF(OR(VLOOKUP(I993,$C$3:$L$6,5,0)=Variables!$B$5,B993&gt;VLOOKUP(I993,$C$3:$L$6,8,0)),IF(VLOOKUP(I993,$C$3:$L$6,5,0)=Variables!$B$5,((YEAR(B993)-YEAR($B$12))*12+MONTH(B993)-MONTH($B$12)),((YEAR(B993)-YEAR(VLOOKUP(I993,$C$3:$L$6,8,0)))*12+MONTH(B993)-MONTH(VLOOKUP(I993,$C$3:$L$6,8,0))))*(VLOOKUP(I993,$C$3:$L$6,10,0)*VLOOKUP(I993,$C$3:$L$6,6,0)/12),0))</f>
        <v/>
      </c>
      <c r="K993" s="29" t="str">
        <f ca="1">IF(C993&lt;&gt;"",IF(I993&lt;&gt;"",IF(ISERROR(VLOOKUP(I993,$C$3:$L$6,10,0)),"",VLOOKUP(I993,$C$3:$L$6,10,0)+J993+IF(OR(VLOOKUP(I993,$C$3:$L$6,5,0)=Variables!$B$5,B993&gt;VLOOKUP(I993,$C$3:$L$6,8,0)),IF(VLOOKUP(I993,$C$3:$L$6,5,0)=Variables!$B$5,((YEAR(B993)-YEAR($B$12))*12+MONTH(B993)-MONTH($B$12)),((YEAR(B993)-YEAR(VLOOKUP(I993,$C$3:$L$6,8,0)))*12+MONTH(B993)-MONTH(VLOOKUP(I993,$C$3:$L$6,8,0))))*VLOOKUP(I993,$C$3:$L$6,7,0),0)),""),"")</f>
        <v/>
      </c>
      <c r="L993" s="29" t="str">
        <f t="shared" ca="1" si="89"/>
        <v/>
      </c>
      <c r="M993" s="10"/>
      <c r="N993" s="10"/>
    </row>
    <row r="994" spans="1:14" x14ac:dyDescent="0.25">
      <c r="A994" s="10"/>
      <c r="B994" s="14" t="str">
        <f t="shared" ca="1" si="90"/>
        <v/>
      </c>
      <c r="C994" s="14" t="str">
        <f ca="1">IF(I993&lt;&gt;Variables!$B$1,IF(H993&lt;&gt;0,C993,I993),"")</f>
        <v/>
      </c>
      <c r="D994" s="29" t="str">
        <f t="shared" ca="1" si="87"/>
        <v/>
      </c>
      <c r="E994" s="29" t="str">
        <f t="shared" ca="1" si="88"/>
        <v/>
      </c>
      <c r="F994" s="29" t="str">
        <f ca="1">IF(C994&lt;&gt;"",IF(OR(VLOOKUP(C994,$C$3:$L$6,5,0)=Variables!$B$5,B994&gt;VLOOKUP(C994,$C$3:$L$6,8,0)),-D994*VLOOKUP(C994,$C$3:$L$6,6,0)/12,0),"")</f>
        <v/>
      </c>
      <c r="G994" s="29" t="str">
        <f ca="1">IF(I994&lt;&gt;Variables!$B$1,IF(C994&lt;&gt;"",$I$9-E994-F994,""),-D994)</f>
        <v/>
      </c>
      <c r="H994" s="29" t="str">
        <f t="shared" ca="1" si="91"/>
        <v/>
      </c>
      <c r="I994" s="31" t="str">
        <f ca="1">IF(C994&lt;&gt;"",IF(D994+$I$9-E994-F994&gt;=0,IF(ISERROR(INDEX($C$3:$C$6,MATCH(C994,$C$3:$C$6,0)+1,0)),Variables!$B$1,INDEX($C$3:$C$6,MATCH(C994,$C$3:$C$6,0)+1,0)),""),"")</f>
        <v/>
      </c>
      <c r="J994" s="29" t="str">
        <f ca="1">IF(ISERROR(VLOOKUP(I994,$C$3:$L$6,5,0)),"",IF(OR(VLOOKUP(I994,$C$3:$L$6,5,0)=Variables!$B$5,B994&gt;VLOOKUP(I994,$C$3:$L$6,8,0)),IF(VLOOKUP(I994,$C$3:$L$6,5,0)=Variables!$B$5,((YEAR(B994)-YEAR($B$12))*12+MONTH(B994)-MONTH($B$12)),((YEAR(B994)-YEAR(VLOOKUP(I994,$C$3:$L$6,8,0)))*12+MONTH(B994)-MONTH(VLOOKUP(I994,$C$3:$L$6,8,0))))*(VLOOKUP(I994,$C$3:$L$6,10,0)*VLOOKUP(I994,$C$3:$L$6,6,0)/12),0))</f>
        <v/>
      </c>
      <c r="K994" s="29" t="str">
        <f ca="1">IF(C994&lt;&gt;"",IF(I994&lt;&gt;"",IF(ISERROR(VLOOKUP(I994,$C$3:$L$6,10,0)),"",VLOOKUP(I994,$C$3:$L$6,10,0)+J994+IF(OR(VLOOKUP(I994,$C$3:$L$6,5,0)=Variables!$B$5,B994&gt;VLOOKUP(I994,$C$3:$L$6,8,0)),IF(VLOOKUP(I994,$C$3:$L$6,5,0)=Variables!$B$5,((YEAR(B994)-YEAR($B$12))*12+MONTH(B994)-MONTH($B$12)),((YEAR(B994)-YEAR(VLOOKUP(I994,$C$3:$L$6,8,0)))*12+MONTH(B994)-MONTH(VLOOKUP(I994,$C$3:$L$6,8,0))))*VLOOKUP(I994,$C$3:$L$6,7,0),0)),""),"")</f>
        <v/>
      </c>
      <c r="L994" s="29" t="str">
        <f t="shared" ca="1" si="89"/>
        <v/>
      </c>
      <c r="M994" s="10"/>
      <c r="N994" s="10"/>
    </row>
    <row r="995" spans="1:14" x14ac:dyDescent="0.25">
      <c r="A995" s="10"/>
      <c r="B995" s="14" t="str">
        <f t="shared" ca="1" si="90"/>
        <v/>
      </c>
      <c r="C995" s="14" t="str">
        <f ca="1">IF(I994&lt;&gt;Variables!$B$1,IF(H994&lt;&gt;0,C994,I994),"")</f>
        <v/>
      </c>
      <c r="D995" s="29" t="str">
        <f t="shared" ca="1" si="87"/>
        <v/>
      </c>
      <c r="E995" s="29" t="str">
        <f t="shared" ca="1" si="88"/>
        <v/>
      </c>
      <c r="F995" s="29" t="str">
        <f ca="1">IF(C995&lt;&gt;"",IF(OR(VLOOKUP(C995,$C$3:$L$6,5,0)=Variables!$B$5,B995&gt;VLOOKUP(C995,$C$3:$L$6,8,0)),-D995*VLOOKUP(C995,$C$3:$L$6,6,0)/12,0),"")</f>
        <v/>
      </c>
      <c r="G995" s="29" t="str">
        <f ca="1">IF(I995&lt;&gt;Variables!$B$1,IF(C995&lt;&gt;"",$I$9-E995-F995,""),-D995)</f>
        <v/>
      </c>
      <c r="H995" s="29" t="str">
        <f t="shared" ca="1" si="91"/>
        <v/>
      </c>
      <c r="I995" s="31" t="str">
        <f ca="1">IF(C995&lt;&gt;"",IF(D995+$I$9-E995-F995&gt;=0,IF(ISERROR(INDEX($C$3:$C$6,MATCH(C995,$C$3:$C$6,0)+1,0)),Variables!$B$1,INDEX($C$3:$C$6,MATCH(C995,$C$3:$C$6,0)+1,0)),""),"")</f>
        <v/>
      </c>
      <c r="J995" s="29" t="str">
        <f ca="1">IF(ISERROR(VLOOKUP(I995,$C$3:$L$6,5,0)),"",IF(OR(VLOOKUP(I995,$C$3:$L$6,5,0)=Variables!$B$5,B995&gt;VLOOKUP(I995,$C$3:$L$6,8,0)),IF(VLOOKUP(I995,$C$3:$L$6,5,0)=Variables!$B$5,((YEAR(B995)-YEAR($B$12))*12+MONTH(B995)-MONTH($B$12)),((YEAR(B995)-YEAR(VLOOKUP(I995,$C$3:$L$6,8,0)))*12+MONTH(B995)-MONTH(VLOOKUP(I995,$C$3:$L$6,8,0))))*(VLOOKUP(I995,$C$3:$L$6,10,0)*VLOOKUP(I995,$C$3:$L$6,6,0)/12),0))</f>
        <v/>
      </c>
      <c r="K995" s="29" t="str">
        <f ca="1">IF(C995&lt;&gt;"",IF(I995&lt;&gt;"",IF(ISERROR(VLOOKUP(I995,$C$3:$L$6,10,0)),"",VLOOKUP(I995,$C$3:$L$6,10,0)+J995+IF(OR(VLOOKUP(I995,$C$3:$L$6,5,0)=Variables!$B$5,B995&gt;VLOOKUP(I995,$C$3:$L$6,8,0)),IF(VLOOKUP(I995,$C$3:$L$6,5,0)=Variables!$B$5,((YEAR(B995)-YEAR($B$12))*12+MONTH(B995)-MONTH($B$12)),((YEAR(B995)-YEAR(VLOOKUP(I995,$C$3:$L$6,8,0)))*12+MONTH(B995)-MONTH(VLOOKUP(I995,$C$3:$L$6,8,0))))*VLOOKUP(I995,$C$3:$L$6,7,0),0)),""),"")</f>
        <v/>
      </c>
      <c r="L995" s="29" t="str">
        <f t="shared" ca="1" si="89"/>
        <v/>
      </c>
      <c r="M995" s="10"/>
      <c r="N995" s="10"/>
    </row>
    <row r="996" spans="1:14" x14ac:dyDescent="0.25">
      <c r="A996" s="10"/>
      <c r="B996" s="14" t="str">
        <f t="shared" ca="1" si="90"/>
        <v/>
      </c>
      <c r="C996" s="14" t="str">
        <f ca="1">IF(I995&lt;&gt;Variables!$B$1,IF(H995&lt;&gt;0,C995,I995),"")</f>
        <v/>
      </c>
      <c r="D996" s="29" t="str">
        <f t="shared" ca="1" si="87"/>
        <v/>
      </c>
      <c r="E996" s="29" t="str">
        <f t="shared" ca="1" si="88"/>
        <v/>
      </c>
      <c r="F996" s="29" t="str">
        <f ca="1">IF(C996&lt;&gt;"",IF(OR(VLOOKUP(C996,$C$3:$L$6,5,0)=Variables!$B$5,B996&gt;VLOOKUP(C996,$C$3:$L$6,8,0)),-D996*VLOOKUP(C996,$C$3:$L$6,6,0)/12,0),"")</f>
        <v/>
      </c>
      <c r="G996" s="29" t="str">
        <f ca="1">IF(I996&lt;&gt;Variables!$B$1,IF(C996&lt;&gt;"",$I$9-E996-F996,""),-D996)</f>
        <v/>
      </c>
      <c r="H996" s="29" t="str">
        <f t="shared" ca="1" si="91"/>
        <v/>
      </c>
      <c r="I996" s="31" t="str">
        <f ca="1">IF(C996&lt;&gt;"",IF(D996+$I$9-E996-F996&gt;=0,IF(ISERROR(INDEX($C$3:$C$6,MATCH(C996,$C$3:$C$6,0)+1,0)),Variables!$B$1,INDEX($C$3:$C$6,MATCH(C996,$C$3:$C$6,0)+1,0)),""),"")</f>
        <v/>
      </c>
      <c r="J996" s="29" t="str">
        <f ca="1">IF(ISERROR(VLOOKUP(I996,$C$3:$L$6,5,0)),"",IF(OR(VLOOKUP(I996,$C$3:$L$6,5,0)=Variables!$B$5,B996&gt;VLOOKUP(I996,$C$3:$L$6,8,0)),IF(VLOOKUP(I996,$C$3:$L$6,5,0)=Variables!$B$5,((YEAR(B996)-YEAR($B$12))*12+MONTH(B996)-MONTH($B$12)),((YEAR(B996)-YEAR(VLOOKUP(I996,$C$3:$L$6,8,0)))*12+MONTH(B996)-MONTH(VLOOKUP(I996,$C$3:$L$6,8,0))))*(VLOOKUP(I996,$C$3:$L$6,10,0)*VLOOKUP(I996,$C$3:$L$6,6,0)/12),0))</f>
        <v/>
      </c>
      <c r="K996" s="29" t="str">
        <f ca="1">IF(C996&lt;&gt;"",IF(I996&lt;&gt;"",IF(ISERROR(VLOOKUP(I996,$C$3:$L$6,10,0)),"",VLOOKUP(I996,$C$3:$L$6,10,0)+J996+IF(OR(VLOOKUP(I996,$C$3:$L$6,5,0)=Variables!$B$5,B996&gt;VLOOKUP(I996,$C$3:$L$6,8,0)),IF(VLOOKUP(I996,$C$3:$L$6,5,0)=Variables!$B$5,((YEAR(B996)-YEAR($B$12))*12+MONTH(B996)-MONTH($B$12)),((YEAR(B996)-YEAR(VLOOKUP(I996,$C$3:$L$6,8,0)))*12+MONTH(B996)-MONTH(VLOOKUP(I996,$C$3:$L$6,8,0))))*VLOOKUP(I996,$C$3:$L$6,7,0),0)),""),"")</f>
        <v/>
      </c>
      <c r="L996" s="29" t="str">
        <f t="shared" ca="1" si="89"/>
        <v/>
      </c>
      <c r="M996" s="10"/>
      <c r="N996" s="10"/>
    </row>
    <row r="997" spans="1:14" x14ac:dyDescent="0.25">
      <c r="A997" s="10"/>
      <c r="B997" s="14" t="str">
        <f t="shared" ca="1" si="90"/>
        <v/>
      </c>
      <c r="C997" s="14" t="str">
        <f ca="1">IF(I996&lt;&gt;Variables!$B$1,IF(H996&lt;&gt;0,C996,I996),"")</f>
        <v/>
      </c>
      <c r="D997" s="29" t="str">
        <f t="shared" ca="1" si="87"/>
        <v/>
      </c>
      <c r="E997" s="29" t="str">
        <f t="shared" ca="1" si="88"/>
        <v/>
      </c>
      <c r="F997" s="29" t="str">
        <f ca="1">IF(C997&lt;&gt;"",IF(OR(VLOOKUP(C997,$C$3:$L$6,5,0)=Variables!$B$5,B997&gt;VLOOKUP(C997,$C$3:$L$6,8,0)),-D997*VLOOKUP(C997,$C$3:$L$6,6,0)/12,0),"")</f>
        <v/>
      </c>
      <c r="G997" s="29" t="str">
        <f ca="1">IF(I997&lt;&gt;Variables!$B$1,IF(C997&lt;&gt;"",$I$9-E997-F997,""),-D997)</f>
        <v/>
      </c>
      <c r="H997" s="29" t="str">
        <f t="shared" ca="1" si="91"/>
        <v/>
      </c>
      <c r="I997" s="31" t="str">
        <f ca="1">IF(C997&lt;&gt;"",IF(D997+$I$9-E997-F997&gt;=0,IF(ISERROR(INDEX($C$3:$C$6,MATCH(C997,$C$3:$C$6,0)+1,0)),Variables!$B$1,INDEX($C$3:$C$6,MATCH(C997,$C$3:$C$6,0)+1,0)),""),"")</f>
        <v/>
      </c>
      <c r="J997" s="29" t="str">
        <f ca="1">IF(ISERROR(VLOOKUP(I997,$C$3:$L$6,5,0)),"",IF(OR(VLOOKUP(I997,$C$3:$L$6,5,0)=Variables!$B$5,B997&gt;VLOOKUP(I997,$C$3:$L$6,8,0)),IF(VLOOKUP(I997,$C$3:$L$6,5,0)=Variables!$B$5,((YEAR(B997)-YEAR($B$12))*12+MONTH(B997)-MONTH($B$12)),((YEAR(B997)-YEAR(VLOOKUP(I997,$C$3:$L$6,8,0)))*12+MONTH(B997)-MONTH(VLOOKUP(I997,$C$3:$L$6,8,0))))*(VLOOKUP(I997,$C$3:$L$6,10,0)*VLOOKUP(I997,$C$3:$L$6,6,0)/12),0))</f>
        <v/>
      </c>
      <c r="K997" s="29" t="str">
        <f ca="1">IF(C997&lt;&gt;"",IF(I997&lt;&gt;"",IF(ISERROR(VLOOKUP(I997,$C$3:$L$6,10,0)),"",VLOOKUP(I997,$C$3:$L$6,10,0)+J997+IF(OR(VLOOKUP(I997,$C$3:$L$6,5,0)=Variables!$B$5,B997&gt;VLOOKUP(I997,$C$3:$L$6,8,0)),IF(VLOOKUP(I997,$C$3:$L$6,5,0)=Variables!$B$5,((YEAR(B997)-YEAR($B$12))*12+MONTH(B997)-MONTH($B$12)),((YEAR(B997)-YEAR(VLOOKUP(I997,$C$3:$L$6,8,0)))*12+MONTH(B997)-MONTH(VLOOKUP(I997,$C$3:$L$6,8,0))))*VLOOKUP(I997,$C$3:$L$6,7,0),0)),""),"")</f>
        <v/>
      </c>
      <c r="L997" s="29" t="str">
        <f t="shared" ca="1" si="89"/>
        <v/>
      </c>
      <c r="M997" s="10"/>
      <c r="N997" s="10"/>
    </row>
    <row r="998" spans="1:14" x14ac:dyDescent="0.25">
      <c r="A998" s="10"/>
      <c r="B998" s="14" t="str">
        <f t="shared" ca="1" si="90"/>
        <v/>
      </c>
      <c r="C998" s="14" t="str">
        <f ca="1">IF(I997&lt;&gt;Variables!$B$1,IF(H997&lt;&gt;0,C997,I997),"")</f>
        <v/>
      </c>
      <c r="D998" s="29" t="str">
        <f t="shared" ca="1" si="87"/>
        <v/>
      </c>
      <c r="E998" s="29" t="str">
        <f t="shared" ca="1" si="88"/>
        <v/>
      </c>
      <c r="F998" s="29" t="str">
        <f ca="1">IF(C998&lt;&gt;"",IF(OR(VLOOKUP(C998,$C$3:$L$6,5,0)=Variables!$B$5,B998&gt;VLOOKUP(C998,$C$3:$L$6,8,0)),-D998*VLOOKUP(C998,$C$3:$L$6,6,0)/12,0),"")</f>
        <v/>
      </c>
      <c r="G998" s="29" t="str">
        <f ca="1">IF(I998&lt;&gt;Variables!$B$1,IF(C998&lt;&gt;"",$I$9-E998-F998,""),-D998)</f>
        <v/>
      </c>
      <c r="H998" s="29" t="str">
        <f t="shared" ca="1" si="91"/>
        <v/>
      </c>
      <c r="I998" s="31" t="str">
        <f ca="1">IF(C998&lt;&gt;"",IF(D998+$I$9-E998-F998&gt;=0,IF(ISERROR(INDEX($C$3:$C$6,MATCH(C998,$C$3:$C$6,0)+1,0)),Variables!$B$1,INDEX($C$3:$C$6,MATCH(C998,$C$3:$C$6,0)+1,0)),""),"")</f>
        <v/>
      </c>
      <c r="J998" s="29" t="str">
        <f ca="1">IF(ISERROR(VLOOKUP(I998,$C$3:$L$6,5,0)),"",IF(OR(VLOOKUP(I998,$C$3:$L$6,5,0)=Variables!$B$5,B998&gt;VLOOKUP(I998,$C$3:$L$6,8,0)),IF(VLOOKUP(I998,$C$3:$L$6,5,0)=Variables!$B$5,((YEAR(B998)-YEAR($B$12))*12+MONTH(B998)-MONTH($B$12)),((YEAR(B998)-YEAR(VLOOKUP(I998,$C$3:$L$6,8,0)))*12+MONTH(B998)-MONTH(VLOOKUP(I998,$C$3:$L$6,8,0))))*(VLOOKUP(I998,$C$3:$L$6,10,0)*VLOOKUP(I998,$C$3:$L$6,6,0)/12),0))</f>
        <v/>
      </c>
      <c r="K998" s="29" t="str">
        <f ca="1">IF(C998&lt;&gt;"",IF(I998&lt;&gt;"",IF(ISERROR(VLOOKUP(I998,$C$3:$L$6,10,0)),"",VLOOKUP(I998,$C$3:$L$6,10,0)+J998+IF(OR(VLOOKUP(I998,$C$3:$L$6,5,0)=Variables!$B$5,B998&gt;VLOOKUP(I998,$C$3:$L$6,8,0)),IF(VLOOKUP(I998,$C$3:$L$6,5,0)=Variables!$B$5,((YEAR(B998)-YEAR($B$12))*12+MONTH(B998)-MONTH($B$12)),((YEAR(B998)-YEAR(VLOOKUP(I998,$C$3:$L$6,8,0)))*12+MONTH(B998)-MONTH(VLOOKUP(I998,$C$3:$L$6,8,0))))*VLOOKUP(I998,$C$3:$L$6,7,0),0)),""),"")</f>
        <v/>
      </c>
      <c r="L998" s="29" t="str">
        <f t="shared" ca="1" si="89"/>
        <v/>
      </c>
      <c r="M998" s="10"/>
      <c r="N998" s="10"/>
    </row>
    <row r="999" spans="1:14" x14ac:dyDescent="0.25">
      <c r="A999" s="10"/>
      <c r="B999" s="14" t="str">
        <f t="shared" ca="1" si="90"/>
        <v/>
      </c>
      <c r="C999" s="14" t="str">
        <f ca="1">IF(I998&lt;&gt;Variables!$B$1,IF(H998&lt;&gt;0,C998,I998),"")</f>
        <v/>
      </c>
      <c r="D999" s="29" t="str">
        <f t="shared" ca="1" si="87"/>
        <v/>
      </c>
      <c r="E999" s="29" t="str">
        <f t="shared" ca="1" si="88"/>
        <v/>
      </c>
      <c r="F999" s="29" t="str">
        <f ca="1">IF(C999&lt;&gt;"",IF(OR(VLOOKUP(C999,$C$3:$L$6,5,0)=Variables!$B$5,B999&gt;VLOOKUP(C999,$C$3:$L$6,8,0)),-D999*VLOOKUP(C999,$C$3:$L$6,6,0)/12,0),"")</f>
        <v/>
      </c>
      <c r="G999" s="29" t="str">
        <f ca="1">IF(I999&lt;&gt;Variables!$B$1,IF(C999&lt;&gt;"",$I$9-E999-F999,""),-D999)</f>
        <v/>
      </c>
      <c r="H999" s="29" t="str">
        <f t="shared" ca="1" si="91"/>
        <v/>
      </c>
      <c r="I999" s="31" t="str">
        <f ca="1">IF(C999&lt;&gt;"",IF(D999+$I$9-E999-F999&gt;=0,IF(ISERROR(INDEX($C$3:$C$6,MATCH(C999,$C$3:$C$6,0)+1,0)),Variables!$B$1,INDEX($C$3:$C$6,MATCH(C999,$C$3:$C$6,0)+1,0)),""),"")</f>
        <v/>
      </c>
      <c r="J999" s="29" t="str">
        <f ca="1">IF(ISERROR(VLOOKUP(I999,$C$3:$L$6,5,0)),"",IF(OR(VLOOKUP(I999,$C$3:$L$6,5,0)=Variables!$B$5,B999&gt;VLOOKUP(I999,$C$3:$L$6,8,0)),IF(VLOOKUP(I999,$C$3:$L$6,5,0)=Variables!$B$5,((YEAR(B999)-YEAR($B$12))*12+MONTH(B999)-MONTH($B$12)),((YEAR(B999)-YEAR(VLOOKUP(I999,$C$3:$L$6,8,0)))*12+MONTH(B999)-MONTH(VLOOKUP(I999,$C$3:$L$6,8,0))))*(VLOOKUP(I999,$C$3:$L$6,10,0)*VLOOKUP(I999,$C$3:$L$6,6,0)/12),0))</f>
        <v/>
      </c>
      <c r="K999" s="29" t="str">
        <f ca="1">IF(C999&lt;&gt;"",IF(I999&lt;&gt;"",IF(ISERROR(VLOOKUP(I999,$C$3:$L$6,10,0)),"",VLOOKUP(I999,$C$3:$L$6,10,0)+J999+IF(OR(VLOOKUP(I999,$C$3:$L$6,5,0)=Variables!$B$5,B999&gt;VLOOKUP(I999,$C$3:$L$6,8,0)),IF(VLOOKUP(I999,$C$3:$L$6,5,0)=Variables!$B$5,((YEAR(B999)-YEAR($B$12))*12+MONTH(B999)-MONTH($B$12)),((YEAR(B999)-YEAR(VLOOKUP(I999,$C$3:$L$6,8,0)))*12+MONTH(B999)-MONTH(VLOOKUP(I999,$C$3:$L$6,8,0))))*VLOOKUP(I999,$C$3:$L$6,7,0),0)),""),"")</f>
        <v/>
      </c>
      <c r="L999" s="29" t="str">
        <f t="shared" ca="1" si="89"/>
        <v/>
      </c>
      <c r="M999" s="10"/>
      <c r="N999" s="10"/>
    </row>
    <row r="1000" spans="1:14" x14ac:dyDescent="0.25">
      <c r="A1000" s="10"/>
      <c r="B1000" s="14" t="str">
        <f t="shared" ca="1" si="90"/>
        <v/>
      </c>
      <c r="C1000" s="14" t="str">
        <f ca="1">IF(I999&lt;&gt;Variables!$B$1,IF(H999&lt;&gt;0,C999,I999),"")</f>
        <v/>
      </c>
      <c r="D1000" s="29" t="str">
        <f t="shared" ca="1" si="87"/>
        <v/>
      </c>
      <c r="E1000" s="29" t="str">
        <f t="shared" ca="1" si="88"/>
        <v/>
      </c>
      <c r="F1000" s="29" t="str">
        <f ca="1">IF(C1000&lt;&gt;"",IF(OR(VLOOKUP(C1000,$C$3:$L$6,5,0)=Variables!$B$5,B1000&gt;VLOOKUP(C1000,$C$3:$L$6,8,0)),-D1000*VLOOKUP(C1000,$C$3:$L$6,6,0)/12,0),"")</f>
        <v/>
      </c>
      <c r="G1000" s="29" t="str">
        <f ca="1">IF(I1000&lt;&gt;Variables!$B$1,IF(C1000&lt;&gt;"",$I$9-E1000-F1000,""),-D1000)</f>
        <v/>
      </c>
      <c r="H1000" s="29" t="str">
        <f t="shared" ca="1" si="91"/>
        <v/>
      </c>
      <c r="I1000" s="31" t="str">
        <f ca="1">IF(C1000&lt;&gt;"",IF(D1000+$I$9-E1000-F1000&gt;=0,IF(ISERROR(INDEX($C$3:$C$6,MATCH(C1000,$C$3:$C$6,0)+1,0)),Variables!$B$1,INDEX($C$3:$C$6,MATCH(C1000,$C$3:$C$6,0)+1,0)),""),"")</f>
        <v/>
      </c>
      <c r="J1000" s="29" t="str">
        <f ca="1">IF(ISERROR(VLOOKUP(I1000,$C$3:$L$6,5,0)),"",IF(OR(VLOOKUP(I1000,$C$3:$L$6,5,0)=Variables!$B$5,B1000&gt;VLOOKUP(I1000,$C$3:$L$6,8,0)),IF(VLOOKUP(I1000,$C$3:$L$6,5,0)=Variables!$B$5,((YEAR(B1000)-YEAR($B$12))*12+MONTH(B1000)-MONTH($B$12)),((YEAR(B1000)-YEAR(VLOOKUP(I1000,$C$3:$L$6,8,0)))*12+MONTH(B1000)-MONTH(VLOOKUP(I1000,$C$3:$L$6,8,0))))*(VLOOKUP(I1000,$C$3:$L$6,10,0)*VLOOKUP(I1000,$C$3:$L$6,6,0)/12),0))</f>
        <v/>
      </c>
      <c r="K1000" s="29" t="str">
        <f ca="1">IF(C1000&lt;&gt;"",IF(I1000&lt;&gt;"",IF(ISERROR(VLOOKUP(I1000,$C$3:$L$6,10,0)),"",VLOOKUP(I1000,$C$3:$L$6,10,0)+J1000+IF(OR(VLOOKUP(I1000,$C$3:$L$6,5,0)=Variables!$B$5,B1000&gt;VLOOKUP(I1000,$C$3:$L$6,8,0)),IF(VLOOKUP(I1000,$C$3:$L$6,5,0)=Variables!$B$5,((YEAR(B1000)-YEAR($B$12))*12+MONTH(B1000)-MONTH($B$12)),((YEAR(B1000)-YEAR(VLOOKUP(I1000,$C$3:$L$6,8,0)))*12+MONTH(B1000)-MONTH(VLOOKUP(I1000,$C$3:$L$6,8,0))))*VLOOKUP(I1000,$C$3:$L$6,7,0),0)),""),"")</f>
        <v/>
      </c>
      <c r="L1000" s="29" t="str">
        <f t="shared" ca="1" si="89"/>
        <v/>
      </c>
      <c r="M1000" s="10"/>
      <c r="N1000" s="10"/>
    </row>
    <row r="1001" spans="1:14" x14ac:dyDescent="0.25">
      <c r="A1001" s="10"/>
      <c r="B1001" s="14" t="str">
        <f t="shared" ca="1" si="90"/>
        <v/>
      </c>
      <c r="C1001" s="14" t="str">
        <f ca="1">IF(I1000&lt;&gt;Variables!$B$1,IF(H1000&lt;&gt;0,C1000,I1000),"")</f>
        <v/>
      </c>
      <c r="D1001" s="29" t="str">
        <f t="shared" ca="1" si="87"/>
        <v/>
      </c>
      <c r="E1001" s="29" t="str">
        <f t="shared" ca="1" si="88"/>
        <v/>
      </c>
      <c r="F1001" s="29" t="str">
        <f ca="1">IF(C1001&lt;&gt;"",IF(OR(VLOOKUP(C1001,$C$3:$L$6,5,0)=Variables!$B$5,B1001&gt;VLOOKUP(C1001,$C$3:$L$6,8,0)),-D1001*VLOOKUP(C1001,$C$3:$L$6,6,0)/12,0),"")</f>
        <v/>
      </c>
      <c r="G1001" s="29" t="str">
        <f ca="1">IF(I1001&lt;&gt;Variables!$B$1,IF(C1001&lt;&gt;"",$I$9-E1001-F1001,""),-D1001)</f>
        <v/>
      </c>
      <c r="H1001" s="29" t="str">
        <f t="shared" ca="1" si="91"/>
        <v/>
      </c>
      <c r="I1001" s="31" t="str">
        <f ca="1">IF(C1001&lt;&gt;"",IF(D1001+$I$9-E1001-F1001&gt;=0,IF(ISERROR(INDEX($C$3:$C$6,MATCH(C1001,$C$3:$C$6,0)+1,0)),Variables!$B$1,INDEX($C$3:$C$6,MATCH(C1001,$C$3:$C$6,0)+1,0)),""),"")</f>
        <v/>
      </c>
      <c r="J1001" s="29" t="str">
        <f ca="1">IF(ISERROR(VLOOKUP(I1001,$C$3:$L$6,5,0)),"",IF(OR(VLOOKUP(I1001,$C$3:$L$6,5,0)=Variables!$B$5,B1001&gt;VLOOKUP(I1001,$C$3:$L$6,8,0)),IF(VLOOKUP(I1001,$C$3:$L$6,5,0)=Variables!$B$5,((YEAR(B1001)-YEAR($B$12))*12+MONTH(B1001)-MONTH($B$12)),((YEAR(B1001)-YEAR(VLOOKUP(I1001,$C$3:$L$6,8,0)))*12+MONTH(B1001)-MONTH(VLOOKUP(I1001,$C$3:$L$6,8,0))))*(VLOOKUP(I1001,$C$3:$L$6,10,0)*VLOOKUP(I1001,$C$3:$L$6,6,0)/12),0))</f>
        <v/>
      </c>
      <c r="K1001" s="29" t="str">
        <f ca="1">IF(C1001&lt;&gt;"",IF(I1001&lt;&gt;"",IF(ISERROR(VLOOKUP(I1001,$C$3:$L$6,10,0)),"",VLOOKUP(I1001,$C$3:$L$6,10,0)+J1001+IF(OR(VLOOKUP(I1001,$C$3:$L$6,5,0)=Variables!$B$5,B1001&gt;VLOOKUP(I1001,$C$3:$L$6,8,0)),IF(VLOOKUP(I1001,$C$3:$L$6,5,0)=Variables!$B$5,((YEAR(B1001)-YEAR($B$12))*12+MONTH(B1001)-MONTH($B$12)),((YEAR(B1001)-YEAR(VLOOKUP(I1001,$C$3:$L$6,8,0)))*12+MONTH(B1001)-MONTH(VLOOKUP(I1001,$C$3:$L$6,8,0))))*VLOOKUP(I1001,$C$3:$L$6,7,0),0)),""),"")</f>
        <v/>
      </c>
      <c r="L1001" s="29" t="str">
        <f t="shared" ca="1" si="89"/>
        <v/>
      </c>
      <c r="M1001" s="10"/>
      <c r="N1001" s="10"/>
    </row>
    <row r="1002" spans="1:14" x14ac:dyDescent="0.25">
      <c r="A1002" s="10"/>
      <c r="B1002" s="14" t="str">
        <f t="shared" ca="1" si="90"/>
        <v/>
      </c>
      <c r="C1002" s="14" t="str">
        <f ca="1">IF(I1001&lt;&gt;Variables!$B$1,IF(H1001&lt;&gt;0,C1001,I1001),"")</f>
        <v/>
      </c>
      <c r="D1002" s="29" t="str">
        <f t="shared" ca="1" si="87"/>
        <v/>
      </c>
      <c r="E1002" s="29" t="str">
        <f t="shared" ca="1" si="88"/>
        <v/>
      </c>
      <c r="F1002" s="29" t="str">
        <f ca="1">IF(C1002&lt;&gt;"",IF(OR(VLOOKUP(C1002,$C$3:$L$6,5,0)=Variables!$B$5,B1002&gt;VLOOKUP(C1002,$C$3:$L$6,8,0)),-D1002*VLOOKUP(C1002,$C$3:$L$6,6,0)/12,0),"")</f>
        <v/>
      </c>
      <c r="G1002" s="29" t="str">
        <f ca="1">IF(I1002&lt;&gt;Variables!$B$1,IF(C1002&lt;&gt;"",$I$9-E1002-F1002,""),-D1002)</f>
        <v/>
      </c>
      <c r="H1002" s="29" t="str">
        <f t="shared" ca="1" si="91"/>
        <v/>
      </c>
      <c r="I1002" s="31" t="str">
        <f ca="1">IF(C1002&lt;&gt;"",IF(D1002+$I$9-E1002-F1002&gt;=0,IF(ISERROR(INDEX($C$3:$C$6,MATCH(C1002,$C$3:$C$6,0)+1,0)),Variables!$B$1,INDEX($C$3:$C$6,MATCH(C1002,$C$3:$C$6,0)+1,0)),""),"")</f>
        <v/>
      </c>
      <c r="J1002" s="29" t="str">
        <f ca="1">IF(ISERROR(VLOOKUP(I1002,$C$3:$L$6,5,0)),"",IF(OR(VLOOKUP(I1002,$C$3:$L$6,5,0)=Variables!$B$5,B1002&gt;VLOOKUP(I1002,$C$3:$L$6,8,0)),IF(VLOOKUP(I1002,$C$3:$L$6,5,0)=Variables!$B$5,((YEAR(B1002)-YEAR($B$12))*12+MONTH(B1002)-MONTH($B$12)),((YEAR(B1002)-YEAR(VLOOKUP(I1002,$C$3:$L$6,8,0)))*12+MONTH(B1002)-MONTH(VLOOKUP(I1002,$C$3:$L$6,8,0))))*(VLOOKUP(I1002,$C$3:$L$6,10,0)*VLOOKUP(I1002,$C$3:$L$6,6,0)/12),0))</f>
        <v/>
      </c>
      <c r="K1002" s="29" t="str">
        <f ca="1">IF(C1002&lt;&gt;"",IF(I1002&lt;&gt;"",IF(ISERROR(VLOOKUP(I1002,$C$3:$L$6,10,0)),"",VLOOKUP(I1002,$C$3:$L$6,10,0)+J1002+IF(OR(VLOOKUP(I1002,$C$3:$L$6,5,0)=Variables!$B$5,B1002&gt;VLOOKUP(I1002,$C$3:$L$6,8,0)),IF(VLOOKUP(I1002,$C$3:$L$6,5,0)=Variables!$B$5,((YEAR(B1002)-YEAR($B$12))*12+MONTH(B1002)-MONTH($B$12)),((YEAR(B1002)-YEAR(VLOOKUP(I1002,$C$3:$L$6,8,0)))*12+MONTH(B1002)-MONTH(VLOOKUP(I1002,$C$3:$L$6,8,0))))*VLOOKUP(I1002,$C$3:$L$6,7,0),0)),""),"")</f>
        <v/>
      </c>
      <c r="L1002" s="29" t="str">
        <f t="shared" ca="1" si="89"/>
        <v/>
      </c>
      <c r="M1002" s="10"/>
      <c r="N1002" s="10"/>
    </row>
    <row r="1003" spans="1:14" x14ac:dyDescent="0.25">
      <c r="A1003" s="10"/>
      <c r="B1003" s="14" t="str">
        <f t="shared" ca="1" si="90"/>
        <v/>
      </c>
      <c r="C1003" s="14" t="str">
        <f ca="1">IF(I1002&lt;&gt;Variables!$B$1,IF(H1002&lt;&gt;0,C1002,I1002),"")</f>
        <v/>
      </c>
      <c r="D1003" s="29" t="str">
        <f t="shared" ca="1" si="87"/>
        <v/>
      </c>
      <c r="E1003" s="29" t="str">
        <f t="shared" ca="1" si="88"/>
        <v/>
      </c>
      <c r="F1003" s="29" t="str">
        <f ca="1">IF(C1003&lt;&gt;"",IF(OR(VLOOKUP(C1003,$C$3:$L$6,5,0)=Variables!$B$5,B1003&gt;VLOOKUP(C1003,$C$3:$L$6,8,0)),-D1003*VLOOKUP(C1003,$C$3:$L$6,6,0)/12,0),"")</f>
        <v/>
      </c>
      <c r="G1003" s="29" t="str">
        <f ca="1">IF(I1003&lt;&gt;Variables!$B$1,IF(C1003&lt;&gt;"",$I$9-E1003-F1003,""),-D1003)</f>
        <v/>
      </c>
      <c r="H1003" s="29" t="str">
        <f t="shared" ca="1" si="91"/>
        <v/>
      </c>
      <c r="I1003" s="31" t="str">
        <f ca="1">IF(C1003&lt;&gt;"",IF(D1003+$I$9-E1003-F1003&gt;=0,IF(ISERROR(INDEX($C$3:$C$6,MATCH(C1003,$C$3:$C$6,0)+1,0)),Variables!$B$1,INDEX($C$3:$C$6,MATCH(C1003,$C$3:$C$6,0)+1,0)),""),"")</f>
        <v/>
      </c>
      <c r="J1003" s="29" t="str">
        <f ca="1">IF(ISERROR(VLOOKUP(I1003,$C$3:$L$6,5,0)),"",IF(OR(VLOOKUP(I1003,$C$3:$L$6,5,0)=Variables!$B$5,B1003&gt;VLOOKUP(I1003,$C$3:$L$6,8,0)),IF(VLOOKUP(I1003,$C$3:$L$6,5,0)=Variables!$B$5,((YEAR(B1003)-YEAR($B$12))*12+MONTH(B1003)-MONTH($B$12)),((YEAR(B1003)-YEAR(VLOOKUP(I1003,$C$3:$L$6,8,0)))*12+MONTH(B1003)-MONTH(VLOOKUP(I1003,$C$3:$L$6,8,0))))*(VLOOKUP(I1003,$C$3:$L$6,10,0)*VLOOKUP(I1003,$C$3:$L$6,6,0)/12),0))</f>
        <v/>
      </c>
      <c r="K1003" s="29" t="str">
        <f ca="1">IF(C1003&lt;&gt;"",IF(I1003&lt;&gt;"",IF(ISERROR(VLOOKUP(I1003,$C$3:$L$6,10,0)),"",VLOOKUP(I1003,$C$3:$L$6,10,0)+J1003+IF(OR(VLOOKUP(I1003,$C$3:$L$6,5,0)=Variables!$B$5,B1003&gt;VLOOKUP(I1003,$C$3:$L$6,8,0)),IF(VLOOKUP(I1003,$C$3:$L$6,5,0)=Variables!$B$5,((YEAR(B1003)-YEAR($B$12))*12+MONTH(B1003)-MONTH($B$12)),((YEAR(B1003)-YEAR(VLOOKUP(I1003,$C$3:$L$6,8,0)))*12+MONTH(B1003)-MONTH(VLOOKUP(I1003,$C$3:$L$6,8,0))))*VLOOKUP(I1003,$C$3:$L$6,7,0),0)),""),"")</f>
        <v/>
      </c>
      <c r="L1003" s="29" t="str">
        <f t="shared" ca="1" si="89"/>
        <v/>
      </c>
      <c r="M1003" s="10"/>
      <c r="N1003" s="10"/>
    </row>
    <row r="1004" spans="1:14" x14ac:dyDescent="0.25">
      <c r="A1004" s="10"/>
      <c r="B1004" s="14" t="str">
        <f t="shared" ca="1" si="90"/>
        <v/>
      </c>
      <c r="C1004" s="14" t="str">
        <f ca="1">IF(I1003&lt;&gt;Variables!$B$1,IF(H1003&lt;&gt;0,C1003,I1003),"")</f>
        <v/>
      </c>
      <c r="D1004" s="29" t="str">
        <f t="shared" ca="1" si="87"/>
        <v/>
      </c>
      <c r="E1004" s="29" t="str">
        <f t="shared" ca="1" si="88"/>
        <v/>
      </c>
      <c r="F1004" s="29" t="str">
        <f ca="1">IF(C1004&lt;&gt;"",IF(OR(VLOOKUP(C1004,$C$3:$L$6,5,0)=Variables!$B$5,B1004&gt;VLOOKUP(C1004,$C$3:$L$6,8,0)),-D1004*VLOOKUP(C1004,$C$3:$L$6,6,0)/12,0),"")</f>
        <v/>
      </c>
      <c r="G1004" s="29" t="str">
        <f ca="1">IF(I1004&lt;&gt;Variables!$B$1,IF(C1004&lt;&gt;"",$I$9-E1004-F1004,""),-D1004)</f>
        <v/>
      </c>
      <c r="H1004" s="29" t="str">
        <f t="shared" ca="1" si="91"/>
        <v/>
      </c>
      <c r="I1004" s="31" t="str">
        <f ca="1">IF(C1004&lt;&gt;"",IF(D1004+$I$9-E1004-F1004&gt;=0,IF(ISERROR(INDEX($C$3:$C$6,MATCH(C1004,$C$3:$C$6,0)+1,0)),Variables!$B$1,INDEX($C$3:$C$6,MATCH(C1004,$C$3:$C$6,0)+1,0)),""),"")</f>
        <v/>
      </c>
      <c r="J1004" s="29" t="str">
        <f ca="1">IF(ISERROR(VLOOKUP(I1004,$C$3:$L$6,5,0)),"",IF(OR(VLOOKUP(I1004,$C$3:$L$6,5,0)=Variables!$B$5,B1004&gt;VLOOKUP(I1004,$C$3:$L$6,8,0)),IF(VLOOKUP(I1004,$C$3:$L$6,5,0)=Variables!$B$5,((YEAR(B1004)-YEAR($B$12))*12+MONTH(B1004)-MONTH($B$12)),((YEAR(B1004)-YEAR(VLOOKUP(I1004,$C$3:$L$6,8,0)))*12+MONTH(B1004)-MONTH(VLOOKUP(I1004,$C$3:$L$6,8,0))))*(VLOOKUP(I1004,$C$3:$L$6,10,0)*VLOOKUP(I1004,$C$3:$L$6,6,0)/12),0))</f>
        <v/>
      </c>
      <c r="K1004" s="29" t="str">
        <f ca="1">IF(C1004&lt;&gt;"",IF(I1004&lt;&gt;"",IF(ISERROR(VLOOKUP(I1004,$C$3:$L$6,10,0)),"",VLOOKUP(I1004,$C$3:$L$6,10,0)+J1004+IF(OR(VLOOKUP(I1004,$C$3:$L$6,5,0)=Variables!$B$5,B1004&gt;VLOOKUP(I1004,$C$3:$L$6,8,0)),IF(VLOOKUP(I1004,$C$3:$L$6,5,0)=Variables!$B$5,((YEAR(B1004)-YEAR($B$12))*12+MONTH(B1004)-MONTH($B$12)),((YEAR(B1004)-YEAR(VLOOKUP(I1004,$C$3:$L$6,8,0)))*12+MONTH(B1004)-MONTH(VLOOKUP(I1004,$C$3:$L$6,8,0))))*VLOOKUP(I1004,$C$3:$L$6,7,0),0)),""),"")</f>
        <v/>
      </c>
      <c r="L1004" s="29" t="str">
        <f t="shared" ca="1" si="89"/>
        <v/>
      </c>
      <c r="M1004" s="10"/>
      <c r="N1004" s="10"/>
    </row>
    <row r="1005" spans="1:14" x14ac:dyDescent="0.25">
      <c r="A1005" s="10"/>
      <c r="B1005" s="14" t="str">
        <f t="shared" ca="1" si="90"/>
        <v/>
      </c>
      <c r="C1005" s="14" t="str">
        <f ca="1">IF(I1004&lt;&gt;Variables!$B$1,IF(H1004&lt;&gt;0,C1004,I1004),"")</f>
        <v/>
      </c>
      <c r="D1005" s="29" t="str">
        <f t="shared" ca="1" si="87"/>
        <v/>
      </c>
      <c r="E1005" s="29" t="str">
        <f t="shared" ca="1" si="88"/>
        <v/>
      </c>
      <c r="F1005" s="29" t="str">
        <f ca="1">IF(C1005&lt;&gt;"",IF(OR(VLOOKUP(C1005,$C$3:$L$6,5,0)=Variables!$B$5,B1005&gt;VLOOKUP(C1005,$C$3:$L$6,8,0)),-D1005*VLOOKUP(C1005,$C$3:$L$6,6,0)/12,0),"")</f>
        <v/>
      </c>
      <c r="G1005" s="29" t="str">
        <f ca="1">IF(I1005&lt;&gt;Variables!$B$1,IF(C1005&lt;&gt;"",$I$9-E1005-F1005,""),-D1005)</f>
        <v/>
      </c>
      <c r="H1005" s="29" t="str">
        <f t="shared" ca="1" si="91"/>
        <v/>
      </c>
      <c r="I1005" s="31" t="str">
        <f ca="1">IF(C1005&lt;&gt;"",IF(D1005+$I$9-E1005-F1005&gt;=0,IF(ISERROR(INDEX($C$3:$C$6,MATCH(C1005,$C$3:$C$6,0)+1,0)),Variables!$B$1,INDEX($C$3:$C$6,MATCH(C1005,$C$3:$C$6,0)+1,0)),""),"")</f>
        <v/>
      </c>
      <c r="J1005" s="29" t="str">
        <f ca="1">IF(ISERROR(VLOOKUP(I1005,$C$3:$L$6,5,0)),"",IF(OR(VLOOKUP(I1005,$C$3:$L$6,5,0)=Variables!$B$5,B1005&gt;VLOOKUP(I1005,$C$3:$L$6,8,0)),IF(VLOOKUP(I1005,$C$3:$L$6,5,0)=Variables!$B$5,((YEAR(B1005)-YEAR($B$12))*12+MONTH(B1005)-MONTH($B$12)),((YEAR(B1005)-YEAR(VLOOKUP(I1005,$C$3:$L$6,8,0)))*12+MONTH(B1005)-MONTH(VLOOKUP(I1005,$C$3:$L$6,8,0))))*(VLOOKUP(I1005,$C$3:$L$6,10,0)*VLOOKUP(I1005,$C$3:$L$6,6,0)/12),0))</f>
        <v/>
      </c>
      <c r="K1005" s="29" t="str">
        <f ca="1">IF(C1005&lt;&gt;"",IF(I1005&lt;&gt;"",IF(ISERROR(VLOOKUP(I1005,$C$3:$L$6,10,0)),"",VLOOKUP(I1005,$C$3:$L$6,10,0)+J1005+IF(OR(VLOOKUP(I1005,$C$3:$L$6,5,0)=Variables!$B$5,B1005&gt;VLOOKUP(I1005,$C$3:$L$6,8,0)),IF(VLOOKUP(I1005,$C$3:$L$6,5,0)=Variables!$B$5,((YEAR(B1005)-YEAR($B$12))*12+MONTH(B1005)-MONTH($B$12)),((YEAR(B1005)-YEAR(VLOOKUP(I1005,$C$3:$L$6,8,0)))*12+MONTH(B1005)-MONTH(VLOOKUP(I1005,$C$3:$L$6,8,0))))*VLOOKUP(I1005,$C$3:$L$6,7,0),0)),""),"")</f>
        <v/>
      </c>
      <c r="L1005" s="29" t="str">
        <f t="shared" ca="1" si="89"/>
        <v/>
      </c>
      <c r="M1005" s="10"/>
      <c r="N1005" s="10"/>
    </row>
    <row r="1006" spans="1:14" x14ac:dyDescent="0.25">
      <c r="A1006" s="10"/>
      <c r="B1006" s="14" t="str">
        <f t="shared" ca="1" si="90"/>
        <v/>
      </c>
      <c r="C1006" s="14" t="str">
        <f ca="1">IF(I1005&lt;&gt;Variables!$B$1,IF(H1005&lt;&gt;0,C1005,I1005),"")</f>
        <v/>
      </c>
      <c r="D1006" s="29" t="str">
        <f t="shared" ca="1" si="87"/>
        <v/>
      </c>
      <c r="E1006" s="29" t="str">
        <f t="shared" ca="1" si="88"/>
        <v/>
      </c>
      <c r="F1006" s="29" t="str">
        <f ca="1">IF(C1006&lt;&gt;"",IF(OR(VLOOKUP(C1006,$C$3:$L$6,5,0)=Variables!$B$5,B1006&gt;VLOOKUP(C1006,$C$3:$L$6,8,0)),-D1006*VLOOKUP(C1006,$C$3:$L$6,6,0)/12,0),"")</f>
        <v/>
      </c>
      <c r="G1006" s="29" t="str">
        <f ca="1">IF(I1006&lt;&gt;Variables!$B$1,IF(C1006&lt;&gt;"",$I$9-E1006-F1006,""),-D1006)</f>
        <v/>
      </c>
      <c r="H1006" s="29" t="str">
        <f t="shared" ca="1" si="91"/>
        <v/>
      </c>
      <c r="I1006" s="31" t="str">
        <f ca="1">IF(C1006&lt;&gt;"",IF(D1006+$I$9-E1006-F1006&gt;=0,IF(ISERROR(INDEX($C$3:$C$6,MATCH(C1006,$C$3:$C$6,0)+1,0)),Variables!$B$1,INDEX($C$3:$C$6,MATCH(C1006,$C$3:$C$6,0)+1,0)),""),"")</f>
        <v/>
      </c>
      <c r="J1006" s="29" t="str">
        <f ca="1">IF(ISERROR(VLOOKUP(I1006,$C$3:$L$6,5,0)),"",IF(OR(VLOOKUP(I1006,$C$3:$L$6,5,0)=Variables!$B$5,B1006&gt;VLOOKUP(I1006,$C$3:$L$6,8,0)),IF(VLOOKUP(I1006,$C$3:$L$6,5,0)=Variables!$B$5,((YEAR(B1006)-YEAR($B$12))*12+MONTH(B1006)-MONTH($B$12)),((YEAR(B1006)-YEAR(VLOOKUP(I1006,$C$3:$L$6,8,0)))*12+MONTH(B1006)-MONTH(VLOOKUP(I1006,$C$3:$L$6,8,0))))*(VLOOKUP(I1006,$C$3:$L$6,10,0)*VLOOKUP(I1006,$C$3:$L$6,6,0)/12),0))</f>
        <v/>
      </c>
      <c r="K1006" s="29" t="str">
        <f ca="1">IF(C1006&lt;&gt;"",IF(I1006&lt;&gt;"",IF(ISERROR(VLOOKUP(I1006,$C$3:$L$6,10,0)),"",VLOOKUP(I1006,$C$3:$L$6,10,0)+J1006+IF(OR(VLOOKUP(I1006,$C$3:$L$6,5,0)=Variables!$B$5,B1006&gt;VLOOKUP(I1006,$C$3:$L$6,8,0)),IF(VLOOKUP(I1006,$C$3:$L$6,5,0)=Variables!$B$5,((YEAR(B1006)-YEAR($B$12))*12+MONTH(B1006)-MONTH($B$12)),((YEAR(B1006)-YEAR(VLOOKUP(I1006,$C$3:$L$6,8,0)))*12+MONTH(B1006)-MONTH(VLOOKUP(I1006,$C$3:$L$6,8,0))))*VLOOKUP(I1006,$C$3:$L$6,7,0),0)),""),"")</f>
        <v/>
      </c>
      <c r="L1006" s="29" t="str">
        <f t="shared" ca="1" si="89"/>
        <v/>
      </c>
      <c r="M1006" s="10"/>
      <c r="N1006" s="10"/>
    </row>
    <row r="1007" spans="1:14" x14ac:dyDescent="0.25">
      <c r="A1007" s="10"/>
      <c r="B1007" s="14" t="str">
        <f t="shared" ca="1" si="90"/>
        <v/>
      </c>
      <c r="C1007" s="14" t="str">
        <f ca="1">IF(I1006&lt;&gt;Variables!$B$1,IF(H1006&lt;&gt;0,C1006,I1006),"")</f>
        <v/>
      </c>
      <c r="D1007" s="29" t="str">
        <f t="shared" ca="1" si="87"/>
        <v/>
      </c>
      <c r="E1007" s="29" t="str">
        <f t="shared" ca="1" si="88"/>
        <v/>
      </c>
      <c r="F1007" s="29" t="str">
        <f ca="1">IF(C1007&lt;&gt;"",IF(OR(VLOOKUP(C1007,$C$3:$L$6,5,0)=Variables!$B$5,B1007&gt;VLOOKUP(C1007,$C$3:$L$6,8,0)),-D1007*VLOOKUP(C1007,$C$3:$L$6,6,0)/12,0),"")</f>
        <v/>
      </c>
      <c r="G1007" s="29" t="str">
        <f ca="1">IF(I1007&lt;&gt;Variables!$B$1,IF(C1007&lt;&gt;"",$I$9-E1007-F1007,""),-D1007)</f>
        <v/>
      </c>
      <c r="H1007" s="29" t="str">
        <f t="shared" ca="1" si="91"/>
        <v/>
      </c>
      <c r="I1007" s="31" t="str">
        <f ca="1">IF(C1007&lt;&gt;"",IF(D1007+$I$9-E1007-F1007&gt;=0,IF(ISERROR(INDEX($C$3:$C$6,MATCH(C1007,$C$3:$C$6,0)+1,0)),Variables!$B$1,INDEX($C$3:$C$6,MATCH(C1007,$C$3:$C$6,0)+1,0)),""),"")</f>
        <v/>
      </c>
      <c r="J1007" s="29" t="str">
        <f ca="1">IF(ISERROR(VLOOKUP(I1007,$C$3:$L$6,5,0)),"",IF(OR(VLOOKUP(I1007,$C$3:$L$6,5,0)=Variables!$B$5,B1007&gt;VLOOKUP(I1007,$C$3:$L$6,8,0)),IF(VLOOKUP(I1007,$C$3:$L$6,5,0)=Variables!$B$5,((YEAR(B1007)-YEAR($B$12))*12+MONTH(B1007)-MONTH($B$12)),((YEAR(B1007)-YEAR(VLOOKUP(I1007,$C$3:$L$6,8,0)))*12+MONTH(B1007)-MONTH(VLOOKUP(I1007,$C$3:$L$6,8,0))))*(VLOOKUP(I1007,$C$3:$L$6,10,0)*VLOOKUP(I1007,$C$3:$L$6,6,0)/12),0))</f>
        <v/>
      </c>
      <c r="K1007" s="29" t="str">
        <f ca="1">IF(C1007&lt;&gt;"",IF(I1007&lt;&gt;"",IF(ISERROR(VLOOKUP(I1007,$C$3:$L$6,10,0)),"",VLOOKUP(I1007,$C$3:$L$6,10,0)+J1007+IF(OR(VLOOKUP(I1007,$C$3:$L$6,5,0)=Variables!$B$5,B1007&gt;VLOOKUP(I1007,$C$3:$L$6,8,0)),IF(VLOOKUP(I1007,$C$3:$L$6,5,0)=Variables!$B$5,((YEAR(B1007)-YEAR($B$12))*12+MONTH(B1007)-MONTH($B$12)),((YEAR(B1007)-YEAR(VLOOKUP(I1007,$C$3:$L$6,8,0)))*12+MONTH(B1007)-MONTH(VLOOKUP(I1007,$C$3:$L$6,8,0))))*VLOOKUP(I1007,$C$3:$L$6,7,0),0)),""),"")</f>
        <v/>
      </c>
      <c r="L1007" s="29" t="str">
        <f t="shared" ca="1" si="89"/>
        <v/>
      </c>
      <c r="M1007" s="10"/>
      <c r="N1007" s="10"/>
    </row>
    <row r="1008" spans="1:14" x14ac:dyDescent="0.25">
      <c r="A1008" s="10"/>
      <c r="B1008" s="14" t="str">
        <f t="shared" ca="1" si="90"/>
        <v/>
      </c>
      <c r="C1008" s="14" t="str">
        <f ca="1">IF(I1007&lt;&gt;Variables!$B$1,IF(H1007&lt;&gt;0,C1007,I1007),"")</f>
        <v/>
      </c>
      <c r="D1008" s="29" t="str">
        <f t="shared" ca="1" si="87"/>
        <v/>
      </c>
      <c r="E1008" s="29" t="str">
        <f t="shared" ca="1" si="88"/>
        <v/>
      </c>
      <c r="F1008" s="29" t="str">
        <f ca="1">IF(C1008&lt;&gt;"",IF(OR(VLOOKUP(C1008,$C$3:$L$6,5,0)=Variables!$B$5,B1008&gt;VLOOKUP(C1008,$C$3:$L$6,8,0)),-D1008*VLOOKUP(C1008,$C$3:$L$6,6,0)/12,0),"")</f>
        <v/>
      </c>
      <c r="G1008" s="29" t="str">
        <f ca="1">IF(I1008&lt;&gt;Variables!$B$1,IF(C1008&lt;&gt;"",$I$9-E1008-F1008,""),-D1008)</f>
        <v/>
      </c>
      <c r="H1008" s="29" t="str">
        <f t="shared" ca="1" si="91"/>
        <v/>
      </c>
      <c r="I1008" s="31" t="str">
        <f ca="1">IF(C1008&lt;&gt;"",IF(D1008+$I$9-E1008-F1008&gt;=0,IF(ISERROR(INDEX($C$3:$C$6,MATCH(C1008,$C$3:$C$6,0)+1,0)),Variables!$B$1,INDEX($C$3:$C$6,MATCH(C1008,$C$3:$C$6,0)+1,0)),""),"")</f>
        <v/>
      </c>
      <c r="J1008" s="29" t="str">
        <f ca="1">IF(ISERROR(VLOOKUP(I1008,$C$3:$L$6,5,0)),"",IF(OR(VLOOKUP(I1008,$C$3:$L$6,5,0)=Variables!$B$5,B1008&gt;VLOOKUP(I1008,$C$3:$L$6,8,0)),IF(VLOOKUP(I1008,$C$3:$L$6,5,0)=Variables!$B$5,((YEAR(B1008)-YEAR($B$12))*12+MONTH(B1008)-MONTH($B$12)),((YEAR(B1008)-YEAR(VLOOKUP(I1008,$C$3:$L$6,8,0)))*12+MONTH(B1008)-MONTH(VLOOKUP(I1008,$C$3:$L$6,8,0))))*(VLOOKUP(I1008,$C$3:$L$6,10,0)*VLOOKUP(I1008,$C$3:$L$6,6,0)/12),0))</f>
        <v/>
      </c>
      <c r="K1008" s="29" t="str">
        <f ca="1">IF(C1008&lt;&gt;"",IF(I1008&lt;&gt;"",IF(ISERROR(VLOOKUP(I1008,$C$3:$L$6,10,0)),"",VLOOKUP(I1008,$C$3:$L$6,10,0)+J1008+IF(OR(VLOOKUP(I1008,$C$3:$L$6,5,0)=Variables!$B$5,B1008&gt;VLOOKUP(I1008,$C$3:$L$6,8,0)),IF(VLOOKUP(I1008,$C$3:$L$6,5,0)=Variables!$B$5,((YEAR(B1008)-YEAR($B$12))*12+MONTH(B1008)-MONTH($B$12)),((YEAR(B1008)-YEAR(VLOOKUP(I1008,$C$3:$L$6,8,0)))*12+MONTH(B1008)-MONTH(VLOOKUP(I1008,$C$3:$L$6,8,0))))*VLOOKUP(I1008,$C$3:$L$6,7,0),0)),""),"")</f>
        <v/>
      </c>
      <c r="L1008" s="29" t="str">
        <f t="shared" ca="1" si="89"/>
        <v/>
      </c>
      <c r="M1008" s="10"/>
      <c r="N1008" s="10"/>
    </row>
    <row r="1009" spans="1:14" x14ac:dyDescent="0.25">
      <c r="A1009" s="10"/>
      <c r="B1009" s="14" t="str">
        <f t="shared" ca="1" si="90"/>
        <v/>
      </c>
      <c r="C1009" s="14" t="str">
        <f ca="1">IF(I1008&lt;&gt;Variables!$B$1,IF(H1008&lt;&gt;0,C1008,I1008),"")</f>
        <v/>
      </c>
      <c r="D1009" s="29" t="str">
        <f t="shared" ca="1" si="87"/>
        <v/>
      </c>
      <c r="E1009" s="29" t="str">
        <f t="shared" ca="1" si="88"/>
        <v/>
      </c>
      <c r="F1009" s="29" t="str">
        <f ca="1">IF(C1009&lt;&gt;"",IF(OR(VLOOKUP(C1009,$C$3:$L$6,5,0)=Variables!$B$5,B1009&gt;VLOOKUP(C1009,$C$3:$L$6,8,0)),-D1009*VLOOKUP(C1009,$C$3:$L$6,6,0)/12,0),"")</f>
        <v/>
      </c>
      <c r="G1009" s="29" t="str">
        <f ca="1">IF(I1009&lt;&gt;Variables!$B$1,IF(C1009&lt;&gt;"",$I$9-E1009-F1009,""),-D1009)</f>
        <v/>
      </c>
      <c r="H1009" s="29" t="str">
        <f t="shared" ca="1" si="91"/>
        <v/>
      </c>
      <c r="I1009" s="31" t="str">
        <f ca="1">IF(C1009&lt;&gt;"",IF(D1009+$I$9-E1009-F1009&gt;=0,IF(ISERROR(INDEX($C$3:$C$6,MATCH(C1009,$C$3:$C$6,0)+1,0)),Variables!$B$1,INDEX($C$3:$C$6,MATCH(C1009,$C$3:$C$6,0)+1,0)),""),"")</f>
        <v/>
      </c>
      <c r="J1009" s="29" t="str">
        <f ca="1">IF(ISERROR(VLOOKUP(I1009,$C$3:$L$6,5,0)),"",IF(OR(VLOOKUP(I1009,$C$3:$L$6,5,0)=Variables!$B$5,B1009&gt;VLOOKUP(I1009,$C$3:$L$6,8,0)),IF(VLOOKUP(I1009,$C$3:$L$6,5,0)=Variables!$B$5,((YEAR(B1009)-YEAR($B$12))*12+MONTH(B1009)-MONTH($B$12)),((YEAR(B1009)-YEAR(VLOOKUP(I1009,$C$3:$L$6,8,0)))*12+MONTH(B1009)-MONTH(VLOOKUP(I1009,$C$3:$L$6,8,0))))*(VLOOKUP(I1009,$C$3:$L$6,10,0)*VLOOKUP(I1009,$C$3:$L$6,6,0)/12),0))</f>
        <v/>
      </c>
      <c r="K1009" s="29" t="str">
        <f ca="1">IF(C1009&lt;&gt;"",IF(I1009&lt;&gt;"",IF(ISERROR(VLOOKUP(I1009,$C$3:$L$6,10,0)),"",VLOOKUP(I1009,$C$3:$L$6,10,0)+J1009+IF(OR(VLOOKUP(I1009,$C$3:$L$6,5,0)=Variables!$B$5,B1009&gt;VLOOKUP(I1009,$C$3:$L$6,8,0)),IF(VLOOKUP(I1009,$C$3:$L$6,5,0)=Variables!$B$5,((YEAR(B1009)-YEAR($B$12))*12+MONTH(B1009)-MONTH($B$12)),((YEAR(B1009)-YEAR(VLOOKUP(I1009,$C$3:$L$6,8,0)))*12+MONTH(B1009)-MONTH(VLOOKUP(I1009,$C$3:$L$6,8,0))))*VLOOKUP(I1009,$C$3:$L$6,7,0),0)),""),"")</f>
        <v/>
      </c>
      <c r="L1009" s="29" t="str">
        <f t="shared" ca="1" si="89"/>
        <v/>
      </c>
      <c r="M1009" s="10"/>
      <c r="N1009" s="10"/>
    </row>
    <row r="1010" spans="1:14" x14ac:dyDescent="0.25">
      <c r="A1010" s="10"/>
      <c r="B1010" s="14" t="str">
        <f t="shared" ca="1" si="90"/>
        <v/>
      </c>
      <c r="C1010" s="14" t="str">
        <f ca="1">IF(I1009&lt;&gt;Variables!$B$1,IF(H1009&lt;&gt;0,C1009,I1009),"")</f>
        <v/>
      </c>
      <c r="D1010" s="29" t="str">
        <f t="shared" ca="1" si="87"/>
        <v/>
      </c>
      <c r="E1010" s="29" t="str">
        <f t="shared" ca="1" si="88"/>
        <v/>
      </c>
      <c r="F1010" s="29" t="str">
        <f ca="1">IF(C1010&lt;&gt;"",IF(OR(VLOOKUP(C1010,$C$3:$L$6,5,0)=Variables!$B$5,B1010&gt;VLOOKUP(C1010,$C$3:$L$6,8,0)),-D1010*VLOOKUP(C1010,$C$3:$L$6,6,0)/12,0),"")</f>
        <v/>
      </c>
      <c r="G1010" s="29" t="str">
        <f ca="1">IF(I1010&lt;&gt;Variables!$B$1,IF(C1010&lt;&gt;"",$I$9-E1010-F1010,""),-D1010)</f>
        <v/>
      </c>
      <c r="H1010" s="29" t="str">
        <f t="shared" ca="1" si="91"/>
        <v/>
      </c>
      <c r="I1010" s="31" t="str">
        <f ca="1">IF(C1010&lt;&gt;"",IF(D1010+$I$9-E1010-F1010&gt;=0,IF(ISERROR(INDEX($C$3:$C$6,MATCH(C1010,$C$3:$C$6,0)+1,0)),Variables!$B$1,INDEX($C$3:$C$6,MATCH(C1010,$C$3:$C$6,0)+1,0)),""),"")</f>
        <v/>
      </c>
      <c r="J1010" s="29" t="str">
        <f ca="1">IF(ISERROR(VLOOKUP(I1010,$C$3:$L$6,5,0)),"",IF(OR(VLOOKUP(I1010,$C$3:$L$6,5,0)=Variables!$B$5,B1010&gt;VLOOKUP(I1010,$C$3:$L$6,8,0)),IF(VLOOKUP(I1010,$C$3:$L$6,5,0)=Variables!$B$5,((YEAR(B1010)-YEAR($B$12))*12+MONTH(B1010)-MONTH($B$12)),((YEAR(B1010)-YEAR(VLOOKUP(I1010,$C$3:$L$6,8,0)))*12+MONTH(B1010)-MONTH(VLOOKUP(I1010,$C$3:$L$6,8,0))))*(VLOOKUP(I1010,$C$3:$L$6,10,0)*VLOOKUP(I1010,$C$3:$L$6,6,0)/12),0))</f>
        <v/>
      </c>
      <c r="K1010" s="29" t="str">
        <f ca="1">IF(C1010&lt;&gt;"",IF(I1010&lt;&gt;"",IF(ISERROR(VLOOKUP(I1010,$C$3:$L$6,10,0)),"",VLOOKUP(I1010,$C$3:$L$6,10,0)+J1010+IF(OR(VLOOKUP(I1010,$C$3:$L$6,5,0)=Variables!$B$5,B1010&gt;VLOOKUP(I1010,$C$3:$L$6,8,0)),IF(VLOOKUP(I1010,$C$3:$L$6,5,0)=Variables!$B$5,((YEAR(B1010)-YEAR($B$12))*12+MONTH(B1010)-MONTH($B$12)),((YEAR(B1010)-YEAR(VLOOKUP(I1010,$C$3:$L$6,8,0)))*12+MONTH(B1010)-MONTH(VLOOKUP(I1010,$C$3:$L$6,8,0))))*VLOOKUP(I1010,$C$3:$L$6,7,0),0)),""),"")</f>
        <v/>
      </c>
      <c r="L1010" s="29" t="str">
        <f t="shared" ca="1" si="89"/>
        <v/>
      </c>
      <c r="M1010" s="10"/>
      <c r="N1010" s="10"/>
    </row>
    <row r="1011" spans="1:14" x14ac:dyDescent="0.25">
      <c r="A1011" s="10"/>
      <c r="B1011" s="14" t="str">
        <f t="shared" ca="1" si="90"/>
        <v/>
      </c>
      <c r="C1011" s="14" t="str">
        <f ca="1">IF(I1010&lt;&gt;Variables!$B$1,IF(H1010&lt;&gt;0,C1010,I1010),"")</f>
        <v/>
      </c>
      <c r="D1011" s="29" t="str">
        <f t="shared" ca="1" si="87"/>
        <v/>
      </c>
      <c r="E1011" s="29" t="str">
        <f t="shared" ca="1" si="88"/>
        <v/>
      </c>
      <c r="F1011" s="29" t="str">
        <f ca="1">IF(C1011&lt;&gt;"",IF(OR(VLOOKUP(C1011,$C$3:$L$6,5,0)=Variables!$B$5,B1011&gt;VLOOKUP(C1011,$C$3:$L$6,8,0)),-D1011*VLOOKUP(C1011,$C$3:$L$6,6,0)/12,0),"")</f>
        <v/>
      </c>
      <c r="G1011" s="29" t="str">
        <f ca="1">IF(I1011&lt;&gt;Variables!$B$1,IF(C1011&lt;&gt;"",$I$9-E1011-F1011,""),-D1011)</f>
        <v/>
      </c>
      <c r="H1011" s="29" t="str">
        <f t="shared" ca="1" si="91"/>
        <v/>
      </c>
      <c r="I1011" s="31" t="str">
        <f ca="1">IF(C1011&lt;&gt;"",IF(D1011+$I$9-E1011-F1011&gt;=0,IF(ISERROR(INDEX($C$3:$C$6,MATCH(C1011,$C$3:$C$6,0)+1,0)),Variables!$B$1,INDEX($C$3:$C$6,MATCH(C1011,$C$3:$C$6,0)+1,0)),""),"")</f>
        <v/>
      </c>
      <c r="J1011" s="29" t="str">
        <f ca="1">IF(ISERROR(VLOOKUP(I1011,$C$3:$L$6,5,0)),"",IF(OR(VLOOKUP(I1011,$C$3:$L$6,5,0)=Variables!$B$5,B1011&gt;VLOOKUP(I1011,$C$3:$L$6,8,0)),IF(VLOOKUP(I1011,$C$3:$L$6,5,0)=Variables!$B$5,((YEAR(B1011)-YEAR($B$12))*12+MONTH(B1011)-MONTH($B$12)),((YEAR(B1011)-YEAR(VLOOKUP(I1011,$C$3:$L$6,8,0)))*12+MONTH(B1011)-MONTH(VLOOKUP(I1011,$C$3:$L$6,8,0))))*(VLOOKUP(I1011,$C$3:$L$6,10,0)*VLOOKUP(I1011,$C$3:$L$6,6,0)/12),0))</f>
        <v/>
      </c>
      <c r="K1011" s="29" t="str">
        <f ca="1">IF(C1011&lt;&gt;"",IF(I1011&lt;&gt;"",IF(ISERROR(VLOOKUP(I1011,$C$3:$L$6,10,0)),"",VLOOKUP(I1011,$C$3:$L$6,10,0)+J1011+IF(OR(VLOOKUP(I1011,$C$3:$L$6,5,0)=Variables!$B$5,B1011&gt;VLOOKUP(I1011,$C$3:$L$6,8,0)),IF(VLOOKUP(I1011,$C$3:$L$6,5,0)=Variables!$B$5,((YEAR(B1011)-YEAR($B$12))*12+MONTH(B1011)-MONTH($B$12)),((YEAR(B1011)-YEAR(VLOOKUP(I1011,$C$3:$L$6,8,0)))*12+MONTH(B1011)-MONTH(VLOOKUP(I1011,$C$3:$L$6,8,0))))*VLOOKUP(I1011,$C$3:$L$6,7,0),0)),""),"")</f>
        <v/>
      </c>
      <c r="L1011" s="29" t="str">
        <f t="shared" ca="1" si="89"/>
        <v/>
      </c>
      <c r="M1011" s="10"/>
      <c r="N1011" s="10"/>
    </row>
    <row r="1012" spans="1:14" x14ac:dyDescent="0.25">
      <c r="A1012" s="10"/>
      <c r="B1012" s="14" t="str">
        <f t="shared" ca="1" si="90"/>
        <v/>
      </c>
      <c r="C1012" s="14" t="str">
        <f ca="1">IF(I1011&lt;&gt;Variables!$B$1,IF(H1011&lt;&gt;0,C1011,I1011),"")</f>
        <v/>
      </c>
      <c r="D1012" s="29" t="str">
        <f t="shared" ca="1" si="87"/>
        <v/>
      </c>
      <c r="E1012" s="29" t="str">
        <f t="shared" ca="1" si="88"/>
        <v/>
      </c>
      <c r="F1012" s="29" t="str">
        <f ca="1">IF(C1012&lt;&gt;"",IF(OR(VLOOKUP(C1012,$C$3:$L$6,5,0)=Variables!$B$5,B1012&gt;VLOOKUP(C1012,$C$3:$L$6,8,0)),-D1012*VLOOKUP(C1012,$C$3:$L$6,6,0)/12,0),"")</f>
        <v/>
      </c>
      <c r="G1012" s="29" t="str">
        <f ca="1">IF(I1012&lt;&gt;Variables!$B$1,IF(C1012&lt;&gt;"",$I$9-E1012-F1012,""),-D1012)</f>
        <v/>
      </c>
      <c r="H1012" s="29" t="str">
        <f t="shared" ca="1" si="91"/>
        <v/>
      </c>
      <c r="I1012" s="31" t="str">
        <f ca="1">IF(C1012&lt;&gt;"",IF(D1012+$I$9-E1012-F1012&gt;=0,IF(ISERROR(INDEX($C$3:$C$6,MATCH(C1012,$C$3:$C$6,0)+1,0)),Variables!$B$1,INDEX($C$3:$C$6,MATCH(C1012,$C$3:$C$6,0)+1,0)),""),"")</f>
        <v/>
      </c>
      <c r="J1012" s="29" t="str">
        <f ca="1">IF(ISERROR(VLOOKUP(I1012,$C$3:$L$6,5,0)),"",IF(OR(VLOOKUP(I1012,$C$3:$L$6,5,0)=Variables!$B$5,B1012&gt;VLOOKUP(I1012,$C$3:$L$6,8,0)),IF(VLOOKUP(I1012,$C$3:$L$6,5,0)=Variables!$B$5,((YEAR(B1012)-YEAR($B$12))*12+MONTH(B1012)-MONTH($B$12)),((YEAR(B1012)-YEAR(VLOOKUP(I1012,$C$3:$L$6,8,0)))*12+MONTH(B1012)-MONTH(VLOOKUP(I1012,$C$3:$L$6,8,0))))*(VLOOKUP(I1012,$C$3:$L$6,10,0)*VLOOKUP(I1012,$C$3:$L$6,6,0)/12),0))</f>
        <v/>
      </c>
      <c r="K1012" s="29" t="str">
        <f ca="1">IF(C1012&lt;&gt;"",IF(I1012&lt;&gt;"",IF(ISERROR(VLOOKUP(I1012,$C$3:$L$6,10,0)),"",VLOOKUP(I1012,$C$3:$L$6,10,0)+J1012+IF(OR(VLOOKUP(I1012,$C$3:$L$6,5,0)=Variables!$B$5,B1012&gt;VLOOKUP(I1012,$C$3:$L$6,8,0)),IF(VLOOKUP(I1012,$C$3:$L$6,5,0)=Variables!$B$5,((YEAR(B1012)-YEAR($B$12))*12+MONTH(B1012)-MONTH($B$12)),((YEAR(B1012)-YEAR(VLOOKUP(I1012,$C$3:$L$6,8,0)))*12+MONTH(B1012)-MONTH(VLOOKUP(I1012,$C$3:$L$6,8,0))))*VLOOKUP(I1012,$C$3:$L$6,7,0),0)),""),"")</f>
        <v/>
      </c>
      <c r="L1012" s="29" t="str">
        <f t="shared" ca="1" si="89"/>
        <v/>
      </c>
      <c r="M1012" s="10"/>
      <c r="N1012" s="10"/>
    </row>
    <row r="1013" spans="1:14" x14ac:dyDescent="0.25">
      <c r="A1013" s="10"/>
      <c r="B1013" s="14" t="str">
        <f t="shared" ca="1" si="90"/>
        <v/>
      </c>
      <c r="C1013" s="14" t="str">
        <f ca="1">IF(I1012&lt;&gt;Variables!$B$1,IF(H1012&lt;&gt;0,C1012,I1012),"")</f>
        <v/>
      </c>
      <c r="D1013" s="29" t="str">
        <f t="shared" ca="1" si="87"/>
        <v/>
      </c>
      <c r="E1013" s="29" t="str">
        <f t="shared" ca="1" si="88"/>
        <v/>
      </c>
      <c r="F1013" s="29" t="str">
        <f ca="1">IF(C1013&lt;&gt;"",IF(OR(VLOOKUP(C1013,$C$3:$L$6,5,0)=Variables!$B$5,B1013&gt;VLOOKUP(C1013,$C$3:$L$6,8,0)),-D1013*VLOOKUP(C1013,$C$3:$L$6,6,0)/12,0),"")</f>
        <v/>
      </c>
      <c r="G1013" s="29" t="str">
        <f ca="1">IF(I1013&lt;&gt;Variables!$B$1,IF(C1013&lt;&gt;"",$I$9-E1013-F1013,""),-D1013)</f>
        <v/>
      </c>
      <c r="H1013" s="29" t="str">
        <f t="shared" ca="1" si="91"/>
        <v/>
      </c>
      <c r="I1013" s="31" t="str">
        <f ca="1">IF(C1013&lt;&gt;"",IF(D1013+$I$9-E1013-F1013&gt;=0,IF(ISERROR(INDEX($C$3:$C$6,MATCH(C1013,$C$3:$C$6,0)+1,0)),Variables!$B$1,INDEX($C$3:$C$6,MATCH(C1013,$C$3:$C$6,0)+1,0)),""),"")</f>
        <v/>
      </c>
      <c r="J1013" s="29" t="str">
        <f ca="1">IF(ISERROR(VLOOKUP(I1013,$C$3:$L$6,5,0)),"",IF(OR(VLOOKUP(I1013,$C$3:$L$6,5,0)=Variables!$B$5,B1013&gt;VLOOKUP(I1013,$C$3:$L$6,8,0)),IF(VLOOKUP(I1013,$C$3:$L$6,5,0)=Variables!$B$5,((YEAR(B1013)-YEAR($B$12))*12+MONTH(B1013)-MONTH($B$12)),((YEAR(B1013)-YEAR(VLOOKUP(I1013,$C$3:$L$6,8,0)))*12+MONTH(B1013)-MONTH(VLOOKUP(I1013,$C$3:$L$6,8,0))))*(VLOOKUP(I1013,$C$3:$L$6,10,0)*VLOOKUP(I1013,$C$3:$L$6,6,0)/12),0))</f>
        <v/>
      </c>
      <c r="K1013" s="29" t="str">
        <f ca="1">IF(C1013&lt;&gt;"",IF(I1013&lt;&gt;"",IF(ISERROR(VLOOKUP(I1013,$C$3:$L$6,10,0)),"",VLOOKUP(I1013,$C$3:$L$6,10,0)+J1013+IF(OR(VLOOKUP(I1013,$C$3:$L$6,5,0)=Variables!$B$5,B1013&gt;VLOOKUP(I1013,$C$3:$L$6,8,0)),IF(VLOOKUP(I1013,$C$3:$L$6,5,0)=Variables!$B$5,((YEAR(B1013)-YEAR($B$12))*12+MONTH(B1013)-MONTH($B$12)),((YEAR(B1013)-YEAR(VLOOKUP(I1013,$C$3:$L$6,8,0)))*12+MONTH(B1013)-MONTH(VLOOKUP(I1013,$C$3:$L$6,8,0))))*VLOOKUP(I1013,$C$3:$L$6,7,0),0)),""),"")</f>
        <v/>
      </c>
      <c r="L1013" s="29" t="str">
        <f t="shared" ca="1" si="89"/>
        <v/>
      </c>
      <c r="M1013" s="10"/>
      <c r="N1013" s="10"/>
    </row>
    <row r="1014" spans="1:14" x14ac:dyDescent="0.25">
      <c r="A1014" s="10"/>
      <c r="B1014" s="14" t="str">
        <f t="shared" ca="1" si="90"/>
        <v/>
      </c>
      <c r="C1014" s="14" t="str">
        <f ca="1">IF(I1013&lt;&gt;Variables!$B$1,IF(H1013&lt;&gt;0,C1013,I1013),"")</f>
        <v/>
      </c>
      <c r="D1014" s="29" t="str">
        <f t="shared" ca="1" si="87"/>
        <v/>
      </c>
      <c r="E1014" s="29" t="str">
        <f t="shared" ca="1" si="88"/>
        <v/>
      </c>
      <c r="F1014" s="29" t="str">
        <f ca="1">IF(C1014&lt;&gt;"",IF(OR(VLOOKUP(C1014,$C$3:$L$6,5,0)=Variables!$B$5,B1014&gt;VLOOKUP(C1014,$C$3:$L$6,8,0)),-D1014*VLOOKUP(C1014,$C$3:$L$6,6,0)/12,0),"")</f>
        <v/>
      </c>
      <c r="G1014" s="29" t="str">
        <f ca="1">IF(I1014&lt;&gt;Variables!$B$1,IF(C1014&lt;&gt;"",$I$9-E1014-F1014,""),-D1014)</f>
        <v/>
      </c>
      <c r="H1014" s="29" t="str">
        <f t="shared" ca="1" si="91"/>
        <v/>
      </c>
      <c r="I1014" s="31" t="str">
        <f ca="1">IF(C1014&lt;&gt;"",IF(D1014+$I$9-E1014-F1014&gt;=0,IF(ISERROR(INDEX($C$3:$C$6,MATCH(C1014,$C$3:$C$6,0)+1,0)),Variables!$B$1,INDEX($C$3:$C$6,MATCH(C1014,$C$3:$C$6,0)+1,0)),""),"")</f>
        <v/>
      </c>
      <c r="J1014" s="29" t="str">
        <f ca="1">IF(ISERROR(VLOOKUP(I1014,$C$3:$L$6,5,0)),"",IF(OR(VLOOKUP(I1014,$C$3:$L$6,5,0)=Variables!$B$5,B1014&gt;VLOOKUP(I1014,$C$3:$L$6,8,0)),IF(VLOOKUP(I1014,$C$3:$L$6,5,0)=Variables!$B$5,((YEAR(B1014)-YEAR($B$12))*12+MONTH(B1014)-MONTH($B$12)),((YEAR(B1014)-YEAR(VLOOKUP(I1014,$C$3:$L$6,8,0)))*12+MONTH(B1014)-MONTH(VLOOKUP(I1014,$C$3:$L$6,8,0))))*(VLOOKUP(I1014,$C$3:$L$6,10,0)*VLOOKUP(I1014,$C$3:$L$6,6,0)/12),0))</f>
        <v/>
      </c>
      <c r="K1014" s="29" t="str">
        <f ca="1">IF(C1014&lt;&gt;"",IF(I1014&lt;&gt;"",IF(ISERROR(VLOOKUP(I1014,$C$3:$L$6,10,0)),"",VLOOKUP(I1014,$C$3:$L$6,10,0)+J1014+IF(OR(VLOOKUP(I1014,$C$3:$L$6,5,0)=Variables!$B$5,B1014&gt;VLOOKUP(I1014,$C$3:$L$6,8,0)),IF(VLOOKUP(I1014,$C$3:$L$6,5,0)=Variables!$B$5,((YEAR(B1014)-YEAR($B$12))*12+MONTH(B1014)-MONTH($B$12)),((YEAR(B1014)-YEAR(VLOOKUP(I1014,$C$3:$L$6,8,0)))*12+MONTH(B1014)-MONTH(VLOOKUP(I1014,$C$3:$L$6,8,0))))*VLOOKUP(I1014,$C$3:$L$6,7,0),0)),""),"")</f>
        <v/>
      </c>
      <c r="L1014" s="29" t="str">
        <f t="shared" ca="1" si="89"/>
        <v/>
      </c>
      <c r="M1014" s="10"/>
      <c r="N1014" s="10"/>
    </row>
    <row r="1015" spans="1:14" x14ac:dyDescent="0.25">
      <c r="A1015" s="10"/>
      <c r="B1015" s="14" t="str">
        <f t="shared" ca="1" si="90"/>
        <v/>
      </c>
      <c r="C1015" s="14" t="str">
        <f ca="1">IF(I1014&lt;&gt;Variables!$B$1,IF(H1014&lt;&gt;0,C1014,I1014),"")</f>
        <v/>
      </c>
      <c r="D1015" s="29" t="str">
        <f t="shared" ca="1" si="87"/>
        <v/>
      </c>
      <c r="E1015" s="29" t="str">
        <f t="shared" ca="1" si="88"/>
        <v/>
      </c>
      <c r="F1015" s="29" t="str">
        <f ca="1">IF(C1015&lt;&gt;"",IF(OR(VLOOKUP(C1015,$C$3:$L$6,5,0)=Variables!$B$5,B1015&gt;VLOOKUP(C1015,$C$3:$L$6,8,0)),-D1015*VLOOKUP(C1015,$C$3:$L$6,6,0)/12,0),"")</f>
        <v/>
      </c>
      <c r="G1015" s="29" t="str">
        <f ca="1">IF(I1015&lt;&gt;Variables!$B$1,IF(C1015&lt;&gt;"",$I$9-E1015-F1015,""),-D1015)</f>
        <v/>
      </c>
      <c r="H1015" s="29" t="str">
        <f t="shared" ca="1" si="91"/>
        <v/>
      </c>
      <c r="I1015" s="31" t="str">
        <f ca="1">IF(C1015&lt;&gt;"",IF(D1015+$I$9-E1015-F1015&gt;=0,IF(ISERROR(INDEX($C$3:$C$6,MATCH(C1015,$C$3:$C$6,0)+1,0)),Variables!$B$1,INDEX($C$3:$C$6,MATCH(C1015,$C$3:$C$6,0)+1,0)),""),"")</f>
        <v/>
      </c>
      <c r="J1015" s="29" t="str">
        <f ca="1">IF(ISERROR(VLOOKUP(I1015,$C$3:$L$6,5,0)),"",IF(OR(VLOOKUP(I1015,$C$3:$L$6,5,0)=Variables!$B$5,B1015&gt;VLOOKUP(I1015,$C$3:$L$6,8,0)),IF(VLOOKUP(I1015,$C$3:$L$6,5,0)=Variables!$B$5,((YEAR(B1015)-YEAR($B$12))*12+MONTH(B1015)-MONTH($B$12)),((YEAR(B1015)-YEAR(VLOOKUP(I1015,$C$3:$L$6,8,0)))*12+MONTH(B1015)-MONTH(VLOOKUP(I1015,$C$3:$L$6,8,0))))*(VLOOKUP(I1015,$C$3:$L$6,10,0)*VLOOKUP(I1015,$C$3:$L$6,6,0)/12),0))</f>
        <v/>
      </c>
      <c r="K1015" s="29" t="str">
        <f ca="1">IF(C1015&lt;&gt;"",IF(I1015&lt;&gt;"",IF(ISERROR(VLOOKUP(I1015,$C$3:$L$6,10,0)),"",VLOOKUP(I1015,$C$3:$L$6,10,0)+J1015+IF(OR(VLOOKUP(I1015,$C$3:$L$6,5,0)=Variables!$B$5,B1015&gt;VLOOKUP(I1015,$C$3:$L$6,8,0)),IF(VLOOKUP(I1015,$C$3:$L$6,5,0)=Variables!$B$5,((YEAR(B1015)-YEAR($B$12))*12+MONTH(B1015)-MONTH($B$12)),((YEAR(B1015)-YEAR(VLOOKUP(I1015,$C$3:$L$6,8,0)))*12+MONTH(B1015)-MONTH(VLOOKUP(I1015,$C$3:$L$6,8,0))))*VLOOKUP(I1015,$C$3:$L$6,7,0),0)),""),"")</f>
        <v/>
      </c>
      <c r="L1015" s="29" t="str">
        <f t="shared" ca="1" si="89"/>
        <v/>
      </c>
      <c r="M1015" s="10"/>
      <c r="N1015" s="10"/>
    </row>
    <row r="1016" spans="1:14" x14ac:dyDescent="0.25">
      <c r="A1016" s="10"/>
      <c r="B1016" s="14" t="str">
        <f t="shared" ca="1" si="90"/>
        <v/>
      </c>
      <c r="C1016" s="14" t="str">
        <f ca="1">IF(I1015&lt;&gt;Variables!$B$1,IF(H1015&lt;&gt;0,C1015,I1015),"")</f>
        <v/>
      </c>
      <c r="D1016" s="29" t="str">
        <f t="shared" ca="1" si="87"/>
        <v/>
      </c>
      <c r="E1016" s="29" t="str">
        <f t="shared" ca="1" si="88"/>
        <v/>
      </c>
      <c r="F1016" s="29" t="str">
        <f ca="1">IF(C1016&lt;&gt;"",IF(OR(VLOOKUP(C1016,$C$3:$L$6,5,0)=Variables!$B$5,B1016&gt;VLOOKUP(C1016,$C$3:$L$6,8,0)),-D1016*VLOOKUP(C1016,$C$3:$L$6,6,0)/12,0),"")</f>
        <v/>
      </c>
      <c r="G1016" s="29" t="str">
        <f ca="1">IF(I1016&lt;&gt;Variables!$B$1,IF(C1016&lt;&gt;"",$I$9-E1016-F1016,""),-D1016)</f>
        <v/>
      </c>
      <c r="H1016" s="29" t="str">
        <f t="shared" ca="1" si="91"/>
        <v/>
      </c>
      <c r="I1016" s="31" t="str">
        <f ca="1">IF(C1016&lt;&gt;"",IF(D1016+$I$9-E1016-F1016&gt;=0,IF(ISERROR(INDEX($C$3:$C$6,MATCH(C1016,$C$3:$C$6,0)+1,0)),Variables!$B$1,INDEX($C$3:$C$6,MATCH(C1016,$C$3:$C$6,0)+1,0)),""),"")</f>
        <v/>
      </c>
      <c r="J1016" s="29" t="str">
        <f ca="1">IF(ISERROR(VLOOKUP(I1016,$C$3:$L$6,5,0)),"",IF(OR(VLOOKUP(I1016,$C$3:$L$6,5,0)=Variables!$B$5,B1016&gt;VLOOKUP(I1016,$C$3:$L$6,8,0)),IF(VLOOKUP(I1016,$C$3:$L$6,5,0)=Variables!$B$5,((YEAR(B1016)-YEAR($B$12))*12+MONTH(B1016)-MONTH($B$12)),((YEAR(B1016)-YEAR(VLOOKUP(I1016,$C$3:$L$6,8,0)))*12+MONTH(B1016)-MONTH(VLOOKUP(I1016,$C$3:$L$6,8,0))))*(VLOOKUP(I1016,$C$3:$L$6,10,0)*VLOOKUP(I1016,$C$3:$L$6,6,0)/12),0))</f>
        <v/>
      </c>
      <c r="K1016" s="29" t="str">
        <f ca="1">IF(C1016&lt;&gt;"",IF(I1016&lt;&gt;"",IF(ISERROR(VLOOKUP(I1016,$C$3:$L$6,10,0)),"",VLOOKUP(I1016,$C$3:$L$6,10,0)+J1016+IF(OR(VLOOKUP(I1016,$C$3:$L$6,5,0)=Variables!$B$5,B1016&gt;VLOOKUP(I1016,$C$3:$L$6,8,0)),IF(VLOOKUP(I1016,$C$3:$L$6,5,0)=Variables!$B$5,((YEAR(B1016)-YEAR($B$12))*12+MONTH(B1016)-MONTH($B$12)),((YEAR(B1016)-YEAR(VLOOKUP(I1016,$C$3:$L$6,8,0)))*12+MONTH(B1016)-MONTH(VLOOKUP(I1016,$C$3:$L$6,8,0))))*VLOOKUP(I1016,$C$3:$L$6,7,0),0)),""),"")</f>
        <v/>
      </c>
      <c r="L1016" s="29" t="str">
        <f t="shared" ca="1" si="89"/>
        <v/>
      </c>
      <c r="M1016" s="10"/>
      <c r="N1016" s="10"/>
    </row>
    <row r="1017" spans="1:14" x14ac:dyDescent="0.25">
      <c r="A1017" s="10"/>
      <c r="B1017" s="14" t="str">
        <f t="shared" ca="1" si="90"/>
        <v/>
      </c>
      <c r="C1017" s="14" t="str">
        <f ca="1">IF(I1016&lt;&gt;Variables!$B$1,IF(H1016&lt;&gt;0,C1016,I1016),"")</f>
        <v/>
      </c>
      <c r="D1017" s="29" t="str">
        <f t="shared" ca="1" si="87"/>
        <v/>
      </c>
      <c r="E1017" s="29" t="str">
        <f t="shared" ca="1" si="88"/>
        <v/>
      </c>
      <c r="F1017" s="29" t="str">
        <f ca="1">IF(C1017&lt;&gt;"",IF(OR(VLOOKUP(C1017,$C$3:$L$6,5,0)=Variables!$B$5,B1017&gt;VLOOKUP(C1017,$C$3:$L$6,8,0)),-D1017*VLOOKUP(C1017,$C$3:$L$6,6,0)/12,0),"")</f>
        <v/>
      </c>
      <c r="G1017" s="29" t="str">
        <f ca="1">IF(I1017&lt;&gt;Variables!$B$1,IF(C1017&lt;&gt;"",$I$9-E1017-F1017,""),-D1017)</f>
        <v/>
      </c>
      <c r="H1017" s="29" t="str">
        <f t="shared" ca="1" si="91"/>
        <v/>
      </c>
      <c r="I1017" s="31" t="str">
        <f ca="1">IF(C1017&lt;&gt;"",IF(D1017+$I$9-E1017-F1017&gt;=0,IF(ISERROR(INDEX($C$3:$C$6,MATCH(C1017,$C$3:$C$6,0)+1,0)),Variables!$B$1,INDEX($C$3:$C$6,MATCH(C1017,$C$3:$C$6,0)+1,0)),""),"")</f>
        <v/>
      </c>
      <c r="J1017" s="29" t="str">
        <f ca="1">IF(ISERROR(VLOOKUP(I1017,$C$3:$L$6,5,0)),"",IF(OR(VLOOKUP(I1017,$C$3:$L$6,5,0)=Variables!$B$5,B1017&gt;VLOOKUP(I1017,$C$3:$L$6,8,0)),IF(VLOOKUP(I1017,$C$3:$L$6,5,0)=Variables!$B$5,((YEAR(B1017)-YEAR($B$12))*12+MONTH(B1017)-MONTH($B$12)),((YEAR(B1017)-YEAR(VLOOKUP(I1017,$C$3:$L$6,8,0)))*12+MONTH(B1017)-MONTH(VLOOKUP(I1017,$C$3:$L$6,8,0))))*(VLOOKUP(I1017,$C$3:$L$6,10,0)*VLOOKUP(I1017,$C$3:$L$6,6,0)/12),0))</f>
        <v/>
      </c>
      <c r="K1017" s="29" t="str">
        <f ca="1">IF(C1017&lt;&gt;"",IF(I1017&lt;&gt;"",IF(ISERROR(VLOOKUP(I1017,$C$3:$L$6,10,0)),"",VLOOKUP(I1017,$C$3:$L$6,10,0)+J1017+IF(OR(VLOOKUP(I1017,$C$3:$L$6,5,0)=Variables!$B$5,B1017&gt;VLOOKUP(I1017,$C$3:$L$6,8,0)),IF(VLOOKUP(I1017,$C$3:$L$6,5,0)=Variables!$B$5,((YEAR(B1017)-YEAR($B$12))*12+MONTH(B1017)-MONTH($B$12)),((YEAR(B1017)-YEAR(VLOOKUP(I1017,$C$3:$L$6,8,0)))*12+MONTH(B1017)-MONTH(VLOOKUP(I1017,$C$3:$L$6,8,0))))*VLOOKUP(I1017,$C$3:$L$6,7,0),0)),""),"")</f>
        <v/>
      </c>
      <c r="L1017" s="29" t="str">
        <f t="shared" ca="1" si="89"/>
        <v/>
      </c>
      <c r="M1017" s="10"/>
      <c r="N1017" s="10"/>
    </row>
    <row r="1018" spans="1:14" x14ac:dyDescent="0.25">
      <c r="A1018" s="10"/>
      <c r="B1018" s="14" t="str">
        <f t="shared" ca="1" si="90"/>
        <v/>
      </c>
      <c r="C1018" s="14" t="str">
        <f ca="1">IF(I1017&lt;&gt;Variables!$B$1,IF(H1017&lt;&gt;0,C1017,I1017),"")</f>
        <v/>
      </c>
      <c r="D1018" s="29" t="str">
        <f t="shared" ca="1" si="87"/>
        <v/>
      </c>
      <c r="E1018" s="29" t="str">
        <f t="shared" ca="1" si="88"/>
        <v/>
      </c>
      <c r="F1018" s="29" t="str">
        <f ca="1">IF(C1018&lt;&gt;"",IF(OR(VLOOKUP(C1018,$C$3:$L$6,5,0)=Variables!$B$5,B1018&gt;VLOOKUP(C1018,$C$3:$L$6,8,0)),-D1018*VLOOKUP(C1018,$C$3:$L$6,6,0)/12,0),"")</f>
        <v/>
      </c>
      <c r="G1018" s="29" t="str">
        <f ca="1">IF(I1018&lt;&gt;Variables!$B$1,IF(C1018&lt;&gt;"",$I$9-E1018-F1018,""),-D1018)</f>
        <v/>
      </c>
      <c r="H1018" s="29" t="str">
        <f t="shared" ca="1" si="91"/>
        <v/>
      </c>
      <c r="I1018" s="31" t="str">
        <f ca="1">IF(C1018&lt;&gt;"",IF(D1018+$I$9-E1018-F1018&gt;=0,IF(ISERROR(INDEX($C$3:$C$6,MATCH(C1018,$C$3:$C$6,0)+1,0)),Variables!$B$1,INDEX($C$3:$C$6,MATCH(C1018,$C$3:$C$6,0)+1,0)),""),"")</f>
        <v/>
      </c>
      <c r="J1018" s="29" t="str">
        <f ca="1">IF(ISERROR(VLOOKUP(I1018,$C$3:$L$6,5,0)),"",IF(OR(VLOOKUP(I1018,$C$3:$L$6,5,0)=Variables!$B$5,B1018&gt;VLOOKUP(I1018,$C$3:$L$6,8,0)),IF(VLOOKUP(I1018,$C$3:$L$6,5,0)=Variables!$B$5,((YEAR(B1018)-YEAR($B$12))*12+MONTH(B1018)-MONTH($B$12)),((YEAR(B1018)-YEAR(VLOOKUP(I1018,$C$3:$L$6,8,0)))*12+MONTH(B1018)-MONTH(VLOOKUP(I1018,$C$3:$L$6,8,0))))*(VLOOKUP(I1018,$C$3:$L$6,10,0)*VLOOKUP(I1018,$C$3:$L$6,6,0)/12),0))</f>
        <v/>
      </c>
      <c r="K1018" s="29" t="str">
        <f ca="1">IF(C1018&lt;&gt;"",IF(I1018&lt;&gt;"",IF(ISERROR(VLOOKUP(I1018,$C$3:$L$6,10,0)),"",VLOOKUP(I1018,$C$3:$L$6,10,0)+J1018+IF(OR(VLOOKUP(I1018,$C$3:$L$6,5,0)=Variables!$B$5,B1018&gt;VLOOKUP(I1018,$C$3:$L$6,8,0)),IF(VLOOKUP(I1018,$C$3:$L$6,5,0)=Variables!$B$5,((YEAR(B1018)-YEAR($B$12))*12+MONTH(B1018)-MONTH($B$12)),((YEAR(B1018)-YEAR(VLOOKUP(I1018,$C$3:$L$6,8,0)))*12+MONTH(B1018)-MONTH(VLOOKUP(I1018,$C$3:$L$6,8,0))))*VLOOKUP(I1018,$C$3:$L$6,7,0),0)),""),"")</f>
        <v/>
      </c>
      <c r="L1018" s="29" t="str">
        <f t="shared" ca="1" si="89"/>
        <v/>
      </c>
      <c r="M1018" s="10"/>
      <c r="N1018" s="10"/>
    </row>
    <row r="1019" spans="1:14" x14ac:dyDescent="0.25">
      <c r="A1019" s="10"/>
      <c r="B1019" s="14" t="str">
        <f t="shared" ca="1" si="90"/>
        <v/>
      </c>
      <c r="C1019" s="14" t="str">
        <f ca="1">IF(I1018&lt;&gt;Variables!$B$1,IF(H1018&lt;&gt;0,C1018,I1018),"")</f>
        <v/>
      </c>
      <c r="D1019" s="29" t="str">
        <f t="shared" ca="1" si="87"/>
        <v/>
      </c>
      <c r="E1019" s="29" t="str">
        <f t="shared" ca="1" si="88"/>
        <v/>
      </c>
      <c r="F1019" s="29" t="str">
        <f ca="1">IF(C1019&lt;&gt;"",IF(OR(VLOOKUP(C1019,$C$3:$L$6,5,0)=Variables!$B$5,B1019&gt;VLOOKUP(C1019,$C$3:$L$6,8,0)),-D1019*VLOOKUP(C1019,$C$3:$L$6,6,0)/12,0),"")</f>
        <v/>
      </c>
      <c r="G1019" s="29" t="str">
        <f ca="1">IF(I1019&lt;&gt;Variables!$B$1,IF(C1019&lt;&gt;"",$I$9-E1019-F1019,""),-D1019)</f>
        <v/>
      </c>
      <c r="H1019" s="29" t="str">
        <f t="shared" ca="1" si="91"/>
        <v/>
      </c>
      <c r="I1019" s="31" t="str">
        <f ca="1">IF(C1019&lt;&gt;"",IF(D1019+$I$9-E1019-F1019&gt;=0,IF(ISERROR(INDEX($C$3:$C$6,MATCH(C1019,$C$3:$C$6,0)+1,0)),Variables!$B$1,INDEX($C$3:$C$6,MATCH(C1019,$C$3:$C$6,0)+1,0)),""),"")</f>
        <v/>
      </c>
      <c r="J1019" s="29" t="str">
        <f ca="1">IF(ISERROR(VLOOKUP(I1019,$C$3:$L$6,5,0)),"",IF(OR(VLOOKUP(I1019,$C$3:$L$6,5,0)=Variables!$B$5,B1019&gt;VLOOKUP(I1019,$C$3:$L$6,8,0)),IF(VLOOKUP(I1019,$C$3:$L$6,5,0)=Variables!$B$5,((YEAR(B1019)-YEAR($B$12))*12+MONTH(B1019)-MONTH($B$12)),((YEAR(B1019)-YEAR(VLOOKUP(I1019,$C$3:$L$6,8,0)))*12+MONTH(B1019)-MONTH(VLOOKUP(I1019,$C$3:$L$6,8,0))))*(VLOOKUP(I1019,$C$3:$L$6,10,0)*VLOOKUP(I1019,$C$3:$L$6,6,0)/12),0))</f>
        <v/>
      </c>
      <c r="K1019" s="29" t="str">
        <f ca="1">IF(C1019&lt;&gt;"",IF(I1019&lt;&gt;"",IF(ISERROR(VLOOKUP(I1019,$C$3:$L$6,10,0)),"",VLOOKUP(I1019,$C$3:$L$6,10,0)+J1019+IF(OR(VLOOKUP(I1019,$C$3:$L$6,5,0)=Variables!$B$5,B1019&gt;VLOOKUP(I1019,$C$3:$L$6,8,0)),IF(VLOOKUP(I1019,$C$3:$L$6,5,0)=Variables!$B$5,((YEAR(B1019)-YEAR($B$12))*12+MONTH(B1019)-MONTH($B$12)),((YEAR(B1019)-YEAR(VLOOKUP(I1019,$C$3:$L$6,8,0)))*12+MONTH(B1019)-MONTH(VLOOKUP(I1019,$C$3:$L$6,8,0))))*VLOOKUP(I1019,$C$3:$L$6,7,0),0)),""),"")</f>
        <v/>
      </c>
      <c r="L1019" s="29" t="str">
        <f t="shared" ca="1" si="89"/>
        <v/>
      </c>
      <c r="M1019" s="10"/>
      <c r="N1019" s="10"/>
    </row>
    <row r="1020" spans="1:14" x14ac:dyDescent="0.25">
      <c r="A1020" s="10"/>
      <c r="B1020" s="14" t="str">
        <f t="shared" ca="1" si="90"/>
        <v/>
      </c>
      <c r="C1020" s="14" t="str">
        <f ca="1">IF(I1019&lt;&gt;Variables!$B$1,IF(H1019&lt;&gt;0,C1019,I1019),"")</f>
        <v/>
      </c>
      <c r="D1020" s="29" t="str">
        <f t="shared" ca="1" si="87"/>
        <v/>
      </c>
      <c r="E1020" s="29" t="str">
        <f t="shared" ca="1" si="88"/>
        <v/>
      </c>
      <c r="F1020" s="29" t="str">
        <f ca="1">IF(C1020&lt;&gt;"",IF(OR(VLOOKUP(C1020,$C$3:$L$6,5,0)=Variables!$B$5,B1020&gt;VLOOKUP(C1020,$C$3:$L$6,8,0)),-D1020*VLOOKUP(C1020,$C$3:$L$6,6,0)/12,0),"")</f>
        <v/>
      </c>
      <c r="G1020" s="29" t="str">
        <f ca="1">IF(I1020&lt;&gt;Variables!$B$1,IF(C1020&lt;&gt;"",$I$9-E1020-F1020,""),-D1020)</f>
        <v/>
      </c>
      <c r="H1020" s="29" t="str">
        <f t="shared" ca="1" si="91"/>
        <v/>
      </c>
      <c r="I1020" s="31" t="str">
        <f ca="1">IF(C1020&lt;&gt;"",IF(D1020+$I$9-E1020-F1020&gt;=0,IF(ISERROR(INDEX($C$3:$C$6,MATCH(C1020,$C$3:$C$6,0)+1,0)),Variables!$B$1,INDEX($C$3:$C$6,MATCH(C1020,$C$3:$C$6,0)+1,0)),""),"")</f>
        <v/>
      </c>
      <c r="J1020" s="29" t="str">
        <f ca="1">IF(ISERROR(VLOOKUP(I1020,$C$3:$L$6,5,0)),"",IF(OR(VLOOKUP(I1020,$C$3:$L$6,5,0)=Variables!$B$5,B1020&gt;VLOOKUP(I1020,$C$3:$L$6,8,0)),IF(VLOOKUP(I1020,$C$3:$L$6,5,0)=Variables!$B$5,((YEAR(B1020)-YEAR($B$12))*12+MONTH(B1020)-MONTH($B$12)),((YEAR(B1020)-YEAR(VLOOKUP(I1020,$C$3:$L$6,8,0)))*12+MONTH(B1020)-MONTH(VLOOKUP(I1020,$C$3:$L$6,8,0))))*(VLOOKUP(I1020,$C$3:$L$6,10,0)*VLOOKUP(I1020,$C$3:$L$6,6,0)/12),0))</f>
        <v/>
      </c>
      <c r="K1020" s="29" t="str">
        <f ca="1">IF(C1020&lt;&gt;"",IF(I1020&lt;&gt;"",IF(ISERROR(VLOOKUP(I1020,$C$3:$L$6,10,0)),"",VLOOKUP(I1020,$C$3:$L$6,10,0)+J1020+IF(OR(VLOOKUP(I1020,$C$3:$L$6,5,0)=Variables!$B$5,B1020&gt;VLOOKUP(I1020,$C$3:$L$6,8,0)),IF(VLOOKUP(I1020,$C$3:$L$6,5,0)=Variables!$B$5,((YEAR(B1020)-YEAR($B$12))*12+MONTH(B1020)-MONTH($B$12)),((YEAR(B1020)-YEAR(VLOOKUP(I1020,$C$3:$L$6,8,0)))*12+MONTH(B1020)-MONTH(VLOOKUP(I1020,$C$3:$L$6,8,0))))*VLOOKUP(I1020,$C$3:$L$6,7,0),0)),""),"")</f>
        <v/>
      </c>
      <c r="L1020" s="29" t="str">
        <f t="shared" ca="1" si="89"/>
        <v/>
      </c>
      <c r="M1020" s="10"/>
      <c r="N1020" s="10"/>
    </row>
    <row r="1021" spans="1:14" x14ac:dyDescent="0.25">
      <c r="A1021" s="10"/>
      <c r="B1021" s="14" t="str">
        <f t="shared" ca="1" si="90"/>
        <v/>
      </c>
      <c r="C1021" s="14" t="str">
        <f ca="1">IF(I1020&lt;&gt;Variables!$B$1,IF(H1020&lt;&gt;0,C1020,I1020),"")</f>
        <v/>
      </c>
      <c r="D1021" s="29" t="str">
        <f t="shared" ca="1" si="87"/>
        <v/>
      </c>
      <c r="E1021" s="29" t="str">
        <f t="shared" ca="1" si="88"/>
        <v/>
      </c>
      <c r="F1021" s="29" t="str">
        <f ca="1">IF(C1021&lt;&gt;"",IF(OR(VLOOKUP(C1021,$C$3:$L$6,5,0)=Variables!$B$5,B1021&gt;VLOOKUP(C1021,$C$3:$L$6,8,0)),-D1021*VLOOKUP(C1021,$C$3:$L$6,6,0)/12,0),"")</f>
        <v/>
      </c>
      <c r="G1021" s="29" t="str">
        <f ca="1">IF(I1021&lt;&gt;Variables!$B$1,IF(C1021&lt;&gt;"",$I$9-E1021-F1021,""),-D1021)</f>
        <v/>
      </c>
      <c r="H1021" s="29" t="str">
        <f t="shared" ca="1" si="91"/>
        <v/>
      </c>
      <c r="I1021" s="31" t="str">
        <f ca="1">IF(C1021&lt;&gt;"",IF(D1021+$I$9-E1021-F1021&gt;=0,IF(ISERROR(INDEX($C$3:$C$6,MATCH(C1021,$C$3:$C$6,0)+1,0)),Variables!$B$1,INDEX($C$3:$C$6,MATCH(C1021,$C$3:$C$6,0)+1,0)),""),"")</f>
        <v/>
      </c>
      <c r="J1021" s="29" t="str">
        <f ca="1">IF(ISERROR(VLOOKUP(I1021,$C$3:$L$6,5,0)),"",IF(OR(VLOOKUP(I1021,$C$3:$L$6,5,0)=Variables!$B$5,B1021&gt;VLOOKUP(I1021,$C$3:$L$6,8,0)),IF(VLOOKUP(I1021,$C$3:$L$6,5,0)=Variables!$B$5,((YEAR(B1021)-YEAR($B$12))*12+MONTH(B1021)-MONTH($B$12)),((YEAR(B1021)-YEAR(VLOOKUP(I1021,$C$3:$L$6,8,0)))*12+MONTH(B1021)-MONTH(VLOOKUP(I1021,$C$3:$L$6,8,0))))*(VLOOKUP(I1021,$C$3:$L$6,10,0)*VLOOKUP(I1021,$C$3:$L$6,6,0)/12),0))</f>
        <v/>
      </c>
      <c r="K1021" s="29" t="str">
        <f ca="1">IF(C1021&lt;&gt;"",IF(I1021&lt;&gt;"",IF(ISERROR(VLOOKUP(I1021,$C$3:$L$6,10,0)),"",VLOOKUP(I1021,$C$3:$L$6,10,0)+J1021+IF(OR(VLOOKUP(I1021,$C$3:$L$6,5,0)=Variables!$B$5,B1021&gt;VLOOKUP(I1021,$C$3:$L$6,8,0)),IF(VLOOKUP(I1021,$C$3:$L$6,5,0)=Variables!$B$5,((YEAR(B1021)-YEAR($B$12))*12+MONTH(B1021)-MONTH($B$12)),((YEAR(B1021)-YEAR(VLOOKUP(I1021,$C$3:$L$6,8,0)))*12+MONTH(B1021)-MONTH(VLOOKUP(I1021,$C$3:$L$6,8,0))))*VLOOKUP(I1021,$C$3:$L$6,7,0),0)),""),"")</f>
        <v/>
      </c>
      <c r="L1021" s="29" t="str">
        <f t="shared" ca="1" si="89"/>
        <v/>
      </c>
      <c r="M1021" s="10"/>
      <c r="N1021" s="10"/>
    </row>
    <row r="1022" spans="1:14" x14ac:dyDescent="0.25">
      <c r="A1022" s="10"/>
      <c r="B1022" s="14" t="str">
        <f t="shared" ca="1" si="90"/>
        <v/>
      </c>
      <c r="C1022" s="14" t="str">
        <f ca="1">IF(I1021&lt;&gt;Variables!$B$1,IF(H1021&lt;&gt;0,C1021,I1021),"")</f>
        <v/>
      </c>
      <c r="D1022" s="29" t="str">
        <f t="shared" ca="1" si="87"/>
        <v/>
      </c>
      <c r="E1022" s="29" t="str">
        <f t="shared" ca="1" si="88"/>
        <v/>
      </c>
      <c r="F1022" s="29" t="str">
        <f ca="1">IF(C1022&lt;&gt;"",IF(OR(VLOOKUP(C1022,$C$3:$L$6,5,0)=Variables!$B$5,B1022&gt;VLOOKUP(C1022,$C$3:$L$6,8,0)),-D1022*VLOOKUP(C1022,$C$3:$L$6,6,0)/12,0),"")</f>
        <v/>
      </c>
      <c r="G1022" s="29" t="str">
        <f ca="1">IF(I1022&lt;&gt;Variables!$B$1,IF(C1022&lt;&gt;"",$I$9-E1022-F1022,""),-D1022)</f>
        <v/>
      </c>
      <c r="H1022" s="29" t="str">
        <f t="shared" ca="1" si="91"/>
        <v/>
      </c>
      <c r="I1022" s="31" t="str">
        <f ca="1">IF(C1022&lt;&gt;"",IF(D1022+$I$9-E1022-F1022&gt;=0,IF(ISERROR(INDEX($C$3:$C$6,MATCH(C1022,$C$3:$C$6,0)+1,0)),Variables!$B$1,INDEX($C$3:$C$6,MATCH(C1022,$C$3:$C$6,0)+1,0)),""),"")</f>
        <v/>
      </c>
      <c r="J1022" s="29" t="str">
        <f ca="1">IF(ISERROR(VLOOKUP(I1022,$C$3:$L$6,5,0)),"",IF(OR(VLOOKUP(I1022,$C$3:$L$6,5,0)=Variables!$B$5,B1022&gt;VLOOKUP(I1022,$C$3:$L$6,8,0)),IF(VLOOKUP(I1022,$C$3:$L$6,5,0)=Variables!$B$5,((YEAR(B1022)-YEAR($B$12))*12+MONTH(B1022)-MONTH($B$12)),((YEAR(B1022)-YEAR(VLOOKUP(I1022,$C$3:$L$6,8,0)))*12+MONTH(B1022)-MONTH(VLOOKUP(I1022,$C$3:$L$6,8,0))))*(VLOOKUP(I1022,$C$3:$L$6,10,0)*VLOOKUP(I1022,$C$3:$L$6,6,0)/12),0))</f>
        <v/>
      </c>
      <c r="K1022" s="29" t="str">
        <f ca="1">IF(C1022&lt;&gt;"",IF(I1022&lt;&gt;"",IF(ISERROR(VLOOKUP(I1022,$C$3:$L$6,10,0)),"",VLOOKUP(I1022,$C$3:$L$6,10,0)+J1022+IF(OR(VLOOKUP(I1022,$C$3:$L$6,5,0)=Variables!$B$5,B1022&gt;VLOOKUP(I1022,$C$3:$L$6,8,0)),IF(VLOOKUP(I1022,$C$3:$L$6,5,0)=Variables!$B$5,((YEAR(B1022)-YEAR($B$12))*12+MONTH(B1022)-MONTH($B$12)),((YEAR(B1022)-YEAR(VLOOKUP(I1022,$C$3:$L$6,8,0)))*12+MONTH(B1022)-MONTH(VLOOKUP(I1022,$C$3:$L$6,8,0))))*VLOOKUP(I1022,$C$3:$L$6,7,0),0)),""),"")</f>
        <v/>
      </c>
      <c r="L1022" s="29" t="str">
        <f t="shared" ca="1" si="89"/>
        <v/>
      </c>
      <c r="M1022" s="10"/>
      <c r="N1022" s="10"/>
    </row>
    <row r="1023" spans="1:14" x14ac:dyDescent="0.25">
      <c r="A1023" s="10"/>
      <c r="B1023" s="14" t="str">
        <f t="shared" ca="1" si="90"/>
        <v/>
      </c>
      <c r="C1023" s="14" t="str">
        <f ca="1">IF(I1022&lt;&gt;Variables!$B$1,IF(H1022&lt;&gt;0,C1022,I1022),"")</f>
        <v/>
      </c>
      <c r="D1023" s="29" t="str">
        <f t="shared" ca="1" si="87"/>
        <v/>
      </c>
      <c r="E1023" s="29" t="str">
        <f t="shared" ca="1" si="88"/>
        <v/>
      </c>
      <c r="F1023" s="29" t="str">
        <f ca="1">IF(C1023&lt;&gt;"",IF(OR(VLOOKUP(C1023,$C$3:$L$6,5,0)=Variables!$B$5,B1023&gt;VLOOKUP(C1023,$C$3:$L$6,8,0)),-D1023*VLOOKUP(C1023,$C$3:$L$6,6,0)/12,0),"")</f>
        <v/>
      </c>
      <c r="G1023" s="29" t="str">
        <f ca="1">IF(I1023&lt;&gt;Variables!$B$1,IF(C1023&lt;&gt;"",$I$9-E1023-F1023,""),-D1023)</f>
        <v/>
      </c>
      <c r="H1023" s="29" t="str">
        <f t="shared" ca="1" si="91"/>
        <v/>
      </c>
      <c r="I1023" s="31" t="str">
        <f ca="1">IF(C1023&lt;&gt;"",IF(D1023+$I$9-E1023-F1023&gt;=0,IF(ISERROR(INDEX($C$3:$C$6,MATCH(C1023,$C$3:$C$6,0)+1,0)),Variables!$B$1,INDEX($C$3:$C$6,MATCH(C1023,$C$3:$C$6,0)+1,0)),""),"")</f>
        <v/>
      </c>
      <c r="J1023" s="29" t="str">
        <f ca="1">IF(ISERROR(VLOOKUP(I1023,$C$3:$L$6,5,0)),"",IF(OR(VLOOKUP(I1023,$C$3:$L$6,5,0)=Variables!$B$5,B1023&gt;VLOOKUP(I1023,$C$3:$L$6,8,0)),IF(VLOOKUP(I1023,$C$3:$L$6,5,0)=Variables!$B$5,((YEAR(B1023)-YEAR($B$12))*12+MONTH(B1023)-MONTH($B$12)),((YEAR(B1023)-YEAR(VLOOKUP(I1023,$C$3:$L$6,8,0)))*12+MONTH(B1023)-MONTH(VLOOKUP(I1023,$C$3:$L$6,8,0))))*(VLOOKUP(I1023,$C$3:$L$6,10,0)*VLOOKUP(I1023,$C$3:$L$6,6,0)/12),0))</f>
        <v/>
      </c>
      <c r="K1023" s="29" t="str">
        <f ca="1">IF(C1023&lt;&gt;"",IF(I1023&lt;&gt;"",IF(ISERROR(VLOOKUP(I1023,$C$3:$L$6,10,0)),"",VLOOKUP(I1023,$C$3:$L$6,10,0)+J1023+IF(OR(VLOOKUP(I1023,$C$3:$L$6,5,0)=Variables!$B$5,B1023&gt;VLOOKUP(I1023,$C$3:$L$6,8,0)),IF(VLOOKUP(I1023,$C$3:$L$6,5,0)=Variables!$B$5,((YEAR(B1023)-YEAR($B$12))*12+MONTH(B1023)-MONTH($B$12)),((YEAR(B1023)-YEAR(VLOOKUP(I1023,$C$3:$L$6,8,0)))*12+MONTH(B1023)-MONTH(VLOOKUP(I1023,$C$3:$L$6,8,0))))*VLOOKUP(I1023,$C$3:$L$6,7,0),0)),""),"")</f>
        <v/>
      </c>
      <c r="L1023" s="29" t="str">
        <f t="shared" ca="1" si="89"/>
        <v/>
      </c>
      <c r="M1023" s="10"/>
      <c r="N1023" s="10"/>
    </row>
    <row r="1024" spans="1:14" x14ac:dyDescent="0.25">
      <c r="A1024" s="10"/>
      <c r="B1024" s="14" t="str">
        <f t="shared" ca="1" si="90"/>
        <v/>
      </c>
      <c r="C1024" s="14" t="str">
        <f ca="1">IF(I1023&lt;&gt;Variables!$B$1,IF(H1023&lt;&gt;0,C1023,I1023),"")</f>
        <v/>
      </c>
      <c r="D1024" s="29" t="str">
        <f t="shared" ca="1" si="87"/>
        <v/>
      </c>
      <c r="E1024" s="29" t="str">
        <f t="shared" ca="1" si="88"/>
        <v/>
      </c>
      <c r="F1024" s="29" t="str">
        <f ca="1">IF(C1024&lt;&gt;"",IF(OR(VLOOKUP(C1024,$C$3:$L$6,5,0)=Variables!$B$5,B1024&gt;VLOOKUP(C1024,$C$3:$L$6,8,0)),-D1024*VLOOKUP(C1024,$C$3:$L$6,6,0)/12,0),"")</f>
        <v/>
      </c>
      <c r="G1024" s="29" t="str">
        <f ca="1">IF(I1024&lt;&gt;Variables!$B$1,IF(C1024&lt;&gt;"",$I$9-E1024-F1024,""),-D1024)</f>
        <v/>
      </c>
      <c r="H1024" s="29" t="str">
        <f t="shared" ca="1" si="91"/>
        <v/>
      </c>
      <c r="I1024" s="31" t="str">
        <f ca="1">IF(C1024&lt;&gt;"",IF(D1024+$I$9-E1024-F1024&gt;=0,IF(ISERROR(INDEX($C$3:$C$6,MATCH(C1024,$C$3:$C$6,0)+1,0)),Variables!$B$1,INDEX($C$3:$C$6,MATCH(C1024,$C$3:$C$6,0)+1,0)),""),"")</f>
        <v/>
      </c>
      <c r="J1024" s="29" t="str">
        <f ca="1">IF(ISERROR(VLOOKUP(I1024,$C$3:$L$6,5,0)),"",IF(OR(VLOOKUP(I1024,$C$3:$L$6,5,0)=Variables!$B$5,B1024&gt;VLOOKUP(I1024,$C$3:$L$6,8,0)),IF(VLOOKUP(I1024,$C$3:$L$6,5,0)=Variables!$B$5,((YEAR(B1024)-YEAR($B$12))*12+MONTH(B1024)-MONTH($B$12)),((YEAR(B1024)-YEAR(VLOOKUP(I1024,$C$3:$L$6,8,0)))*12+MONTH(B1024)-MONTH(VLOOKUP(I1024,$C$3:$L$6,8,0))))*(VLOOKUP(I1024,$C$3:$L$6,10,0)*VLOOKUP(I1024,$C$3:$L$6,6,0)/12),0))</f>
        <v/>
      </c>
      <c r="K1024" s="29" t="str">
        <f ca="1">IF(C1024&lt;&gt;"",IF(I1024&lt;&gt;"",IF(ISERROR(VLOOKUP(I1024,$C$3:$L$6,10,0)),"",VLOOKUP(I1024,$C$3:$L$6,10,0)+J1024+IF(OR(VLOOKUP(I1024,$C$3:$L$6,5,0)=Variables!$B$5,B1024&gt;VLOOKUP(I1024,$C$3:$L$6,8,0)),IF(VLOOKUP(I1024,$C$3:$L$6,5,0)=Variables!$B$5,((YEAR(B1024)-YEAR($B$12))*12+MONTH(B1024)-MONTH($B$12)),((YEAR(B1024)-YEAR(VLOOKUP(I1024,$C$3:$L$6,8,0)))*12+MONTH(B1024)-MONTH(VLOOKUP(I1024,$C$3:$L$6,8,0))))*VLOOKUP(I1024,$C$3:$L$6,7,0),0)),""),"")</f>
        <v/>
      </c>
      <c r="L1024" s="29" t="str">
        <f t="shared" ca="1" si="89"/>
        <v/>
      </c>
      <c r="M1024" s="10"/>
      <c r="N1024" s="10"/>
    </row>
    <row r="1025" spans="1:14" x14ac:dyDescent="0.25">
      <c r="A1025" s="10"/>
      <c r="B1025" s="14" t="str">
        <f t="shared" ca="1" si="90"/>
        <v/>
      </c>
      <c r="C1025" s="14" t="str">
        <f ca="1">IF(I1024&lt;&gt;Variables!$B$1,IF(H1024&lt;&gt;0,C1024,I1024),"")</f>
        <v/>
      </c>
      <c r="D1025" s="29" t="str">
        <f t="shared" ca="1" si="87"/>
        <v/>
      </c>
      <c r="E1025" s="29" t="str">
        <f t="shared" ca="1" si="88"/>
        <v/>
      </c>
      <c r="F1025" s="29" t="str">
        <f ca="1">IF(C1025&lt;&gt;"",IF(OR(VLOOKUP(C1025,$C$3:$L$6,5,0)=Variables!$B$5,B1025&gt;VLOOKUP(C1025,$C$3:$L$6,8,0)),-D1025*VLOOKUP(C1025,$C$3:$L$6,6,0)/12,0),"")</f>
        <v/>
      </c>
      <c r="G1025" s="29" t="str">
        <f ca="1">IF(I1025&lt;&gt;Variables!$B$1,IF(C1025&lt;&gt;"",$I$9-E1025-F1025,""),-D1025)</f>
        <v/>
      </c>
      <c r="H1025" s="29" t="str">
        <f t="shared" ca="1" si="91"/>
        <v/>
      </c>
      <c r="I1025" s="31" t="str">
        <f ca="1">IF(C1025&lt;&gt;"",IF(D1025+$I$9-E1025-F1025&gt;=0,IF(ISERROR(INDEX($C$3:$C$6,MATCH(C1025,$C$3:$C$6,0)+1,0)),Variables!$B$1,INDEX($C$3:$C$6,MATCH(C1025,$C$3:$C$6,0)+1,0)),""),"")</f>
        <v/>
      </c>
      <c r="J1025" s="29" t="str">
        <f ca="1">IF(ISERROR(VLOOKUP(I1025,$C$3:$L$6,5,0)),"",IF(OR(VLOOKUP(I1025,$C$3:$L$6,5,0)=Variables!$B$5,B1025&gt;VLOOKUP(I1025,$C$3:$L$6,8,0)),IF(VLOOKUP(I1025,$C$3:$L$6,5,0)=Variables!$B$5,((YEAR(B1025)-YEAR($B$12))*12+MONTH(B1025)-MONTH($B$12)),((YEAR(B1025)-YEAR(VLOOKUP(I1025,$C$3:$L$6,8,0)))*12+MONTH(B1025)-MONTH(VLOOKUP(I1025,$C$3:$L$6,8,0))))*(VLOOKUP(I1025,$C$3:$L$6,10,0)*VLOOKUP(I1025,$C$3:$L$6,6,0)/12),0))</f>
        <v/>
      </c>
      <c r="K1025" s="29" t="str">
        <f ca="1">IF(C1025&lt;&gt;"",IF(I1025&lt;&gt;"",IF(ISERROR(VLOOKUP(I1025,$C$3:$L$6,10,0)),"",VLOOKUP(I1025,$C$3:$L$6,10,0)+J1025+IF(OR(VLOOKUP(I1025,$C$3:$L$6,5,0)=Variables!$B$5,B1025&gt;VLOOKUP(I1025,$C$3:$L$6,8,0)),IF(VLOOKUP(I1025,$C$3:$L$6,5,0)=Variables!$B$5,((YEAR(B1025)-YEAR($B$12))*12+MONTH(B1025)-MONTH($B$12)),((YEAR(B1025)-YEAR(VLOOKUP(I1025,$C$3:$L$6,8,0)))*12+MONTH(B1025)-MONTH(VLOOKUP(I1025,$C$3:$L$6,8,0))))*VLOOKUP(I1025,$C$3:$L$6,7,0),0)),""),"")</f>
        <v/>
      </c>
      <c r="L1025" s="29" t="str">
        <f t="shared" ca="1" si="89"/>
        <v/>
      </c>
      <c r="M1025" s="10"/>
      <c r="N1025" s="10"/>
    </row>
    <row r="1026" spans="1:14" x14ac:dyDescent="0.25">
      <c r="A1026" s="10"/>
      <c r="B1026" s="14" t="str">
        <f t="shared" ca="1" si="90"/>
        <v/>
      </c>
      <c r="C1026" s="14" t="str">
        <f ca="1">IF(I1025&lt;&gt;Variables!$B$1,IF(H1025&lt;&gt;0,C1025,I1025),"")</f>
        <v/>
      </c>
      <c r="D1026" s="29" t="str">
        <f t="shared" ca="1" si="87"/>
        <v/>
      </c>
      <c r="E1026" s="29" t="str">
        <f t="shared" ca="1" si="88"/>
        <v/>
      </c>
      <c r="F1026" s="29" t="str">
        <f ca="1">IF(C1026&lt;&gt;"",IF(OR(VLOOKUP(C1026,$C$3:$L$6,5,0)=Variables!$B$5,B1026&gt;VLOOKUP(C1026,$C$3:$L$6,8,0)),-D1026*VLOOKUP(C1026,$C$3:$L$6,6,0)/12,0),"")</f>
        <v/>
      </c>
      <c r="G1026" s="29" t="str">
        <f ca="1">IF(I1026&lt;&gt;Variables!$B$1,IF(C1026&lt;&gt;"",$I$9-E1026-F1026,""),-D1026)</f>
        <v/>
      </c>
      <c r="H1026" s="29" t="str">
        <f t="shared" ca="1" si="91"/>
        <v/>
      </c>
      <c r="I1026" s="31" t="str">
        <f ca="1">IF(C1026&lt;&gt;"",IF(D1026+$I$9-E1026-F1026&gt;=0,IF(ISERROR(INDEX($C$3:$C$6,MATCH(C1026,$C$3:$C$6,0)+1,0)),Variables!$B$1,INDEX($C$3:$C$6,MATCH(C1026,$C$3:$C$6,0)+1,0)),""),"")</f>
        <v/>
      </c>
      <c r="J1026" s="29" t="str">
        <f ca="1">IF(ISERROR(VLOOKUP(I1026,$C$3:$L$6,5,0)),"",IF(OR(VLOOKUP(I1026,$C$3:$L$6,5,0)=Variables!$B$5,B1026&gt;VLOOKUP(I1026,$C$3:$L$6,8,0)),IF(VLOOKUP(I1026,$C$3:$L$6,5,0)=Variables!$B$5,((YEAR(B1026)-YEAR($B$12))*12+MONTH(B1026)-MONTH($B$12)),((YEAR(B1026)-YEAR(VLOOKUP(I1026,$C$3:$L$6,8,0)))*12+MONTH(B1026)-MONTH(VLOOKUP(I1026,$C$3:$L$6,8,0))))*(VLOOKUP(I1026,$C$3:$L$6,10,0)*VLOOKUP(I1026,$C$3:$L$6,6,0)/12),0))</f>
        <v/>
      </c>
      <c r="K1026" s="29" t="str">
        <f ca="1">IF(C1026&lt;&gt;"",IF(I1026&lt;&gt;"",IF(ISERROR(VLOOKUP(I1026,$C$3:$L$6,10,0)),"",VLOOKUP(I1026,$C$3:$L$6,10,0)+J1026+IF(OR(VLOOKUP(I1026,$C$3:$L$6,5,0)=Variables!$B$5,B1026&gt;VLOOKUP(I1026,$C$3:$L$6,8,0)),IF(VLOOKUP(I1026,$C$3:$L$6,5,0)=Variables!$B$5,((YEAR(B1026)-YEAR($B$12))*12+MONTH(B1026)-MONTH($B$12)),((YEAR(B1026)-YEAR(VLOOKUP(I1026,$C$3:$L$6,8,0)))*12+MONTH(B1026)-MONTH(VLOOKUP(I1026,$C$3:$L$6,8,0))))*VLOOKUP(I1026,$C$3:$L$6,7,0),0)),""),"")</f>
        <v/>
      </c>
      <c r="L1026" s="29" t="str">
        <f t="shared" ca="1" si="89"/>
        <v/>
      </c>
      <c r="M1026" s="10"/>
      <c r="N1026" s="10"/>
    </row>
    <row r="1027" spans="1:14" x14ac:dyDescent="0.25">
      <c r="A1027" s="10"/>
      <c r="B1027" s="14" t="str">
        <f t="shared" ca="1" si="90"/>
        <v/>
      </c>
      <c r="C1027" s="14" t="str">
        <f ca="1">IF(I1026&lt;&gt;Variables!$B$1,IF(H1026&lt;&gt;0,C1026,I1026),"")</f>
        <v/>
      </c>
      <c r="D1027" s="29" t="str">
        <f t="shared" ca="1" si="87"/>
        <v/>
      </c>
      <c r="E1027" s="29" t="str">
        <f t="shared" ca="1" si="88"/>
        <v/>
      </c>
      <c r="F1027" s="29" t="str">
        <f ca="1">IF(C1027&lt;&gt;"",IF(OR(VLOOKUP(C1027,$C$3:$L$6,5,0)=Variables!$B$5,B1027&gt;VLOOKUP(C1027,$C$3:$L$6,8,0)),-D1027*VLOOKUP(C1027,$C$3:$L$6,6,0)/12,0),"")</f>
        <v/>
      </c>
      <c r="G1027" s="29" t="str">
        <f ca="1">IF(I1027&lt;&gt;Variables!$B$1,IF(C1027&lt;&gt;"",$I$9-E1027-F1027,""),-D1027)</f>
        <v/>
      </c>
      <c r="H1027" s="29" t="str">
        <f t="shared" ca="1" si="91"/>
        <v/>
      </c>
      <c r="I1027" s="31" t="str">
        <f ca="1">IF(C1027&lt;&gt;"",IF(D1027+$I$9-E1027-F1027&gt;=0,IF(ISERROR(INDEX($C$3:$C$6,MATCH(C1027,$C$3:$C$6,0)+1,0)),Variables!$B$1,INDEX($C$3:$C$6,MATCH(C1027,$C$3:$C$6,0)+1,0)),""),"")</f>
        <v/>
      </c>
      <c r="J1027" s="29" t="str">
        <f ca="1">IF(ISERROR(VLOOKUP(I1027,$C$3:$L$6,5,0)),"",IF(OR(VLOOKUP(I1027,$C$3:$L$6,5,0)=Variables!$B$5,B1027&gt;VLOOKUP(I1027,$C$3:$L$6,8,0)),IF(VLOOKUP(I1027,$C$3:$L$6,5,0)=Variables!$B$5,((YEAR(B1027)-YEAR($B$12))*12+MONTH(B1027)-MONTH($B$12)),((YEAR(B1027)-YEAR(VLOOKUP(I1027,$C$3:$L$6,8,0)))*12+MONTH(B1027)-MONTH(VLOOKUP(I1027,$C$3:$L$6,8,0))))*(VLOOKUP(I1027,$C$3:$L$6,10,0)*VLOOKUP(I1027,$C$3:$L$6,6,0)/12),0))</f>
        <v/>
      </c>
      <c r="K1027" s="29" t="str">
        <f ca="1">IF(C1027&lt;&gt;"",IF(I1027&lt;&gt;"",IF(ISERROR(VLOOKUP(I1027,$C$3:$L$6,10,0)),"",VLOOKUP(I1027,$C$3:$L$6,10,0)+J1027+IF(OR(VLOOKUP(I1027,$C$3:$L$6,5,0)=Variables!$B$5,B1027&gt;VLOOKUP(I1027,$C$3:$L$6,8,0)),IF(VLOOKUP(I1027,$C$3:$L$6,5,0)=Variables!$B$5,((YEAR(B1027)-YEAR($B$12))*12+MONTH(B1027)-MONTH($B$12)),((YEAR(B1027)-YEAR(VLOOKUP(I1027,$C$3:$L$6,8,0)))*12+MONTH(B1027)-MONTH(VLOOKUP(I1027,$C$3:$L$6,8,0))))*VLOOKUP(I1027,$C$3:$L$6,7,0),0)),""),"")</f>
        <v/>
      </c>
      <c r="L1027" s="29" t="str">
        <f t="shared" ca="1" si="89"/>
        <v/>
      </c>
      <c r="M1027" s="10"/>
      <c r="N1027" s="10"/>
    </row>
    <row r="1028" spans="1:14" x14ac:dyDescent="0.25">
      <c r="A1028" s="10"/>
      <c r="B1028" s="14" t="str">
        <f t="shared" ca="1" si="90"/>
        <v/>
      </c>
      <c r="C1028" s="14" t="str">
        <f ca="1">IF(I1027&lt;&gt;Variables!$B$1,IF(H1027&lt;&gt;0,C1027,I1027),"")</f>
        <v/>
      </c>
      <c r="D1028" s="29" t="str">
        <f t="shared" ca="1" si="87"/>
        <v/>
      </c>
      <c r="E1028" s="29" t="str">
        <f t="shared" ca="1" si="88"/>
        <v/>
      </c>
      <c r="F1028" s="29" t="str">
        <f ca="1">IF(C1028&lt;&gt;"",IF(OR(VLOOKUP(C1028,$C$3:$L$6,5,0)=Variables!$B$5,B1028&gt;VLOOKUP(C1028,$C$3:$L$6,8,0)),-D1028*VLOOKUP(C1028,$C$3:$L$6,6,0)/12,0),"")</f>
        <v/>
      </c>
      <c r="G1028" s="29" t="str">
        <f ca="1">IF(I1028&lt;&gt;Variables!$B$1,IF(C1028&lt;&gt;"",$I$9-E1028-F1028,""),-D1028)</f>
        <v/>
      </c>
      <c r="H1028" s="29" t="str">
        <f t="shared" ca="1" si="91"/>
        <v/>
      </c>
      <c r="I1028" s="31" t="str">
        <f ca="1">IF(C1028&lt;&gt;"",IF(D1028+$I$9-E1028-F1028&gt;=0,IF(ISERROR(INDEX($C$3:$C$6,MATCH(C1028,$C$3:$C$6,0)+1,0)),Variables!$B$1,INDEX($C$3:$C$6,MATCH(C1028,$C$3:$C$6,0)+1,0)),""),"")</f>
        <v/>
      </c>
      <c r="J1028" s="29" t="str">
        <f ca="1">IF(ISERROR(VLOOKUP(I1028,$C$3:$L$6,5,0)),"",IF(OR(VLOOKUP(I1028,$C$3:$L$6,5,0)=Variables!$B$5,B1028&gt;VLOOKUP(I1028,$C$3:$L$6,8,0)),IF(VLOOKUP(I1028,$C$3:$L$6,5,0)=Variables!$B$5,((YEAR(B1028)-YEAR($B$12))*12+MONTH(B1028)-MONTH($B$12)),((YEAR(B1028)-YEAR(VLOOKUP(I1028,$C$3:$L$6,8,0)))*12+MONTH(B1028)-MONTH(VLOOKUP(I1028,$C$3:$L$6,8,0))))*(VLOOKUP(I1028,$C$3:$L$6,10,0)*VLOOKUP(I1028,$C$3:$L$6,6,0)/12),0))</f>
        <v/>
      </c>
      <c r="K1028" s="29" t="str">
        <f ca="1">IF(C1028&lt;&gt;"",IF(I1028&lt;&gt;"",IF(ISERROR(VLOOKUP(I1028,$C$3:$L$6,10,0)),"",VLOOKUP(I1028,$C$3:$L$6,10,0)+J1028+IF(OR(VLOOKUP(I1028,$C$3:$L$6,5,0)=Variables!$B$5,B1028&gt;VLOOKUP(I1028,$C$3:$L$6,8,0)),IF(VLOOKUP(I1028,$C$3:$L$6,5,0)=Variables!$B$5,((YEAR(B1028)-YEAR($B$12))*12+MONTH(B1028)-MONTH($B$12)),((YEAR(B1028)-YEAR(VLOOKUP(I1028,$C$3:$L$6,8,0)))*12+MONTH(B1028)-MONTH(VLOOKUP(I1028,$C$3:$L$6,8,0))))*VLOOKUP(I1028,$C$3:$L$6,7,0),0)),""),"")</f>
        <v/>
      </c>
      <c r="L1028" s="29" t="str">
        <f t="shared" ca="1" si="89"/>
        <v/>
      </c>
      <c r="M1028" s="10"/>
      <c r="N1028" s="10"/>
    </row>
    <row r="1029" spans="1:14" x14ac:dyDescent="0.25">
      <c r="A1029" s="10"/>
      <c r="B1029" s="14" t="str">
        <f t="shared" ca="1" si="90"/>
        <v/>
      </c>
      <c r="C1029" s="14" t="str">
        <f ca="1">IF(I1028&lt;&gt;Variables!$B$1,IF(H1028&lt;&gt;0,C1028,I1028),"")</f>
        <v/>
      </c>
      <c r="D1029" s="29" t="str">
        <f t="shared" ca="1" si="87"/>
        <v/>
      </c>
      <c r="E1029" s="29" t="str">
        <f t="shared" ca="1" si="88"/>
        <v/>
      </c>
      <c r="F1029" s="29" t="str">
        <f ca="1">IF(C1029&lt;&gt;"",IF(OR(VLOOKUP(C1029,$C$3:$L$6,5,0)=Variables!$B$5,B1029&gt;VLOOKUP(C1029,$C$3:$L$6,8,0)),-D1029*VLOOKUP(C1029,$C$3:$L$6,6,0)/12,0),"")</f>
        <v/>
      </c>
      <c r="G1029" s="29" t="str">
        <f ca="1">IF(I1029&lt;&gt;Variables!$B$1,IF(C1029&lt;&gt;"",$I$9-E1029-F1029,""),-D1029)</f>
        <v/>
      </c>
      <c r="H1029" s="29" t="str">
        <f t="shared" ca="1" si="91"/>
        <v/>
      </c>
      <c r="I1029" s="31" t="str">
        <f ca="1">IF(C1029&lt;&gt;"",IF(D1029+$I$9-E1029-F1029&gt;=0,IF(ISERROR(INDEX($C$3:$C$6,MATCH(C1029,$C$3:$C$6,0)+1,0)),Variables!$B$1,INDEX($C$3:$C$6,MATCH(C1029,$C$3:$C$6,0)+1,0)),""),"")</f>
        <v/>
      </c>
      <c r="J1029" s="29" t="str">
        <f ca="1">IF(ISERROR(VLOOKUP(I1029,$C$3:$L$6,5,0)),"",IF(OR(VLOOKUP(I1029,$C$3:$L$6,5,0)=Variables!$B$5,B1029&gt;VLOOKUP(I1029,$C$3:$L$6,8,0)),IF(VLOOKUP(I1029,$C$3:$L$6,5,0)=Variables!$B$5,((YEAR(B1029)-YEAR($B$12))*12+MONTH(B1029)-MONTH($B$12)),((YEAR(B1029)-YEAR(VLOOKUP(I1029,$C$3:$L$6,8,0)))*12+MONTH(B1029)-MONTH(VLOOKUP(I1029,$C$3:$L$6,8,0))))*(VLOOKUP(I1029,$C$3:$L$6,10,0)*VLOOKUP(I1029,$C$3:$L$6,6,0)/12),0))</f>
        <v/>
      </c>
      <c r="K1029" s="29" t="str">
        <f ca="1">IF(C1029&lt;&gt;"",IF(I1029&lt;&gt;"",IF(ISERROR(VLOOKUP(I1029,$C$3:$L$6,10,0)),"",VLOOKUP(I1029,$C$3:$L$6,10,0)+J1029+IF(OR(VLOOKUP(I1029,$C$3:$L$6,5,0)=Variables!$B$5,B1029&gt;VLOOKUP(I1029,$C$3:$L$6,8,0)),IF(VLOOKUP(I1029,$C$3:$L$6,5,0)=Variables!$B$5,((YEAR(B1029)-YEAR($B$12))*12+MONTH(B1029)-MONTH($B$12)),((YEAR(B1029)-YEAR(VLOOKUP(I1029,$C$3:$L$6,8,0)))*12+MONTH(B1029)-MONTH(VLOOKUP(I1029,$C$3:$L$6,8,0))))*VLOOKUP(I1029,$C$3:$L$6,7,0),0)),""),"")</f>
        <v/>
      </c>
      <c r="L1029" s="29" t="str">
        <f t="shared" ca="1" si="89"/>
        <v/>
      </c>
      <c r="M1029" s="10"/>
      <c r="N1029" s="10"/>
    </row>
    <row r="1030" spans="1:14" x14ac:dyDescent="0.25">
      <c r="A1030" s="10"/>
      <c r="B1030" s="14" t="str">
        <f t="shared" ca="1" si="90"/>
        <v/>
      </c>
      <c r="C1030" s="14" t="str">
        <f ca="1">IF(I1029&lt;&gt;Variables!$B$1,IF(H1029&lt;&gt;0,C1029,I1029),"")</f>
        <v/>
      </c>
      <c r="D1030" s="29" t="str">
        <f t="shared" ca="1" si="87"/>
        <v/>
      </c>
      <c r="E1030" s="29" t="str">
        <f t="shared" ca="1" si="88"/>
        <v/>
      </c>
      <c r="F1030" s="29" t="str">
        <f ca="1">IF(C1030&lt;&gt;"",IF(OR(VLOOKUP(C1030,$C$3:$L$6,5,0)=Variables!$B$5,B1030&gt;VLOOKUP(C1030,$C$3:$L$6,8,0)),-D1030*VLOOKUP(C1030,$C$3:$L$6,6,0)/12,0),"")</f>
        <v/>
      </c>
      <c r="G1030" s="29" t="str">
        <f ca="1">IF(I1030&lt;&gt;Variables!$B$1,IF(C1030&lt;&gt;"",$I$9-E1030-F1030,""),-D1030)</f>
        <v/>
      </c>
      <c r="H1030" s="29" t="str">
        <f t="shared" ca="1" si="91"/>
        <v/>
      </c>
      <c r="I1030" s="31" t="str">
        <f ca="1">IF(C1030&lt;&gt;"",IF(D1030+$I$9-E1030-F1030&gt;=0,IF(ISERROR(INDEX($C$3:$C$6,MATCH(C1030,$C$3:$C$6,0)+1,0)),Variables!$B$1,INDEX($C$3:$C$6,MATCH(C1030,$C$3:$C$6,0)+1,0)),""),"")</f>
        <v/>
      </c>
      <c r="J1030" s="29" t="str">
        <f ca="1">IF(ISERROR(VLOOKUP(I1030,$C$3:$L$6,5,0)),"",IF(OR(VLOOKUP(I1030,$C$3:$L$6,5,0)=Variables!$B$5,B1030&gt;VLOOKUP(I1030,$C$3:$L$6,8,0)),IF(VLOOKUP(I1030,$C$3:$L$6,5,0)=Variables!$B$5,((YEAR(B1030)-YEAR($B$12))*12+MONTH(B1030)-MONTH($B$12)),((YEAR(B1030)-YEAR(VLOOKUP(I1030,$C$3:$L$6,8,0)))*12+MONTH(B1030)-MONTH(VLOOKUP(I1030,$C$3:$L$6,8,0))))*(VLOOKUP(I1030,$C$3:$L$6,10,0)*VLOOKUP(I1030,$C$3:$L$6,6,0)/12),0))</f>
        <v/>
      </c>
      <c r="K1030" s="29" t="str">
        <f ca="1">IF(C1030&lt;&gt;"",IF(I1030&lt;&gt;"",IF(ISERROR(VLOOKUP(I1030,$C$3:$L$6,10,0)),"",VLOOKUP(I1030,$C$3:$L$6,10,0)+J1030+IF(OR(VLOOKUP(I1030,$C$3:$L$6,5,0)=Variables!$B$5,B1030&gt;VLOOKUP(I1030,$C$3:$L$6,8,0)),IF(VLOOKUP(I1030,$C$3:$L$6,5,0)=Variables!$B$5,((YEAR(B1030)-YEAR($B$12))*12+MONTH(B1030)-MONTH($B$12)),((YEAR(B1030)-YEAR(VLOOKUP(I1030,$C$3:$L$6,8,0)))*12+MONTH(B1030)-MONTH(VLOOKUP(I1030,$C$3:$L$6,8,0))))*VLOOKUP(I1030,$C$3:$L$6,7,0),0)),""),"")</f>
        <v/>
      </c>
      <c r="L1030" s="29" t="str">
        <f t="shared" ca="1" si="89"/>
        <v/>
      </c>
      <c r="M1030" s="10"/>
      <c r="N1030" s="10"/>
    </row>
    <row r="1031" spans="1:14" x14ac:dyDescent="0.25">
      <c r="A1031" s="10"/>
      <c r="B1031" s="14" t="str">
        <f t="shared" ca="1" si="90"/>
        <v/>
      </c>
      <c r="C1031" s="14" t="str">
        <f ca="1">IF(I1030&lt;&gt;Variables!$B$1,IF(H1030&lt;&gt;0,C1030,I1030),"")</f>
        <v/>
      </c>
      <c r="D1031" s="29" t="str">
        <f t="shared" ca="1" si="87"/>
        <v/>
      </c>
      <c r="E1031" s="29" t="str">
        <f t="shared" ca="1" si="88"/>
        <v/>
      </c>
      <c r="F1031" s="29" t="str">
        <f ca="1">IF(C1031&lt;&gt;"",IF(OR(VLOOKUP(C1031,$C$3:$L$6,5,0)=Variables!$B$5,B1031&gt;VLOOKUP(C1031,$C$3:$L$6,8,0)),-D1031*VLOOKUP(C1031,$C$3:$L$6,6,0)/12,0),"")</f>
        <v/>
      </c>
      <c r="G1031" s="29" t="str">
        <f ca="1">IF(I1031&lt;&gt;Variables!$B$1,IF(C1031&lt;&gt;"",$I$9-E1031-F1031,""),-D1031)</f>
        <v/>
      </c>
      <c r="H1031" s="29" t="str">
        <f t="shared" ca="1" si="91"/>
        <v/>
      </c>
      <c r="I1031" s="31" t="str">
        <f ca="1">IF(C1031&lt;&gt;"",IF(D1031+$I$9-E1031-F1031&gt;=0,IF(ISERROR(INDEX($C$3:$C$6,MATCH(C1031,$C$3:$C$6,0)+1,0)),Variables!$B$1,INDEX($C$3:$C$6,MATCH(C1031,$C$3:$C$6,0)+1,0)),""),"")</f>
        <v/>
      </c>
      <c r="J1031" s="29" t="str">
        <f ca="1">IF(ISERROR(VLOOKUP(I1031,$C$3:$L$6,5,0)),"",IF(OR(VLOOKUP(I1031,$C$3:$L$6,5,0)=Variables!$B$5,B1031&gt;VLOOKUP(I1031,$C$3:$L$6,8,0)),IF(VLOOKUP(I1031,$C$3:$L$6,5,0)=Variables!$B$5,((YEAR(B1031)-YEAR($B$12))*12+MONTH(B1031)-MONTH($B$12)),((YEAR(B1031)-YEAR(VLOOKUP(I1031,$C$3:$L$6,8,0)))*12+MONTH(B1031)-MONTH(VLOOKUP(I1031,$C$3:$L$6,8,0))))*(VLOOKUP(I1031,$C$3:$L$6,10,0)*VLOOKUP(I1031,$C$3:$L$6,6,0)/12),0))</f>
        <v/>
      </c>
      <c r="K1031" s="29" t="str">
        <f ca="1">IF(C1031&lt;&gt;"",IF(I1031&lt;&gt;"",IF(ISERROR(VLOOKUP(I1031,$C$3:$L$6,10,0)),"",VLOOKUP(I1031,$C$3:$L$6,10,0)+J1031+IF(OR(VLOOKUP(I1031,$C$3:$L$6,5,0)=Variables!$B$5,B1031&gt;VLOOKUP(I1031,$C$3:$L$6,8,0)),IF(VLOOKUP(I1031,$C$3:$L$6,5,0)=Variables!$B$5,((YEAR(B1031)-YEAR($B$12))*12+MONTH(B1031)-MONTH($B$12)),((YEAR(B1031)-YEAR(VLOOKUP(I1031,$C$3:$L$6,8,0)))*12+MONTH(B1031)-MONTH(VLOOKUP(I1031,$C$3:$L$6,8,0))))*VLOOKUP(I1031,$C$3:$L$6,7,0),0)),""),"")</f>
        <v/>
      </c>
      <c r="L1031" s="29" t="str">
        <f t="shared" ca="1" si="89"/>
        <v/>
      </c>
      <c r="M1031" s="10"/>
      <c r="N1031" s="10"/>
    </row>
    <row r="1032" spans="1:14" x14ac:dyDescent="0.25">
      <c r="A1032" s="10"/>
      <c r="B1032" s="14" t="str">
        <f t="shared" ca="1" si="90"/>
        <v/>
      </c>
      <c r="C1032" s="14" t="str">
        <f ca="1">IF(I1031&lt;&gt;Variables!$B$1,IF(H1031&lt;&gt;0,C1031,I1031),"")</f>
        <v/>
      </c>
      <c r="D1032" s="29" t="str">
        <f t="shared" ca="1" si="87"/>
        <v/>
      </c>
      <c r="E1032" s="29" t="str">
        <f t="shared" ca="1" si="88"/>
        <v/>
      </c>
      <c r="F1032" s="29" t="str">
        <f ca="1">IF(C1032&lt;&gt;"",IF(OR(VLOOKUP(C1032,$C$3:$L$6,5,0)=Variables!$B$5,B1032&gt;VLOOKUP(C1032,$C$3:$L$6,8,0)),-D1032*VLOOKUP(C1032,$C$3:$L$6,6,0)/12,0),"")</f>
        <v/>
      </c>
      <c r="G1032" s="29" t="str">
        <f ca="1">IF(I1032&lt;&gt;Variables!$B$1,IF(C1032&lt;&gt;"",$I$9-E1032-F1032,""),-D1032)</f>
        <v/>
      </c>
      <c r="H1032" s="29" t="str">
        <f t="shared" ca="1" si="91"/>
        <v/>
      </c>
      <c r="I1032" s="31" t="str">
        <f ca="1">IF(C1032&lt;&gt;"",IF(D1032+$I$9-E1032-F1032&gt;=0,IF(ISERROR(INDEX($C$3:$C$6,MATCH(C1032,$C$3:$C$6,0)+1,0)),Variables!$B$1,INDEX($C$3:$C$6,MATCH(C1032,$C$3:$C$6,0)+1,0)),""),"")</f>
        <v/>
      </c>
      <c r="J1032" s="29" t="str">
        <f ca="1">IF(ISERROR(VLOOKUP(I1032,$C$3:$L$6,5,0)),"",IF(OR(VLOOKUP(I1032,$C$3:$L$6,5,0)=Variables!$B$5,B1032&gt;VLOOKUP(I1032,$C$3:$L$6,8,0)),IF(VLOOKUP(I1032,$C$3:$L$6,5,0)=Variables!$B$5,((YEAR(B1032)-YEAR($B$12))*12+MONTH(B1032)-MONTH($B$12)),((YEAR(B1032)-YEAR(VLOOKUP(I1032,$C$3:$L$6,8,0)))*12+MONTH(B1032)-MONTH(VLOOKUP(I1032,$C$3:$L$6,8,0))))*(VLOOKUP(I1032,$C$3:$L$6,10,0)*VLOOKUP(I1032,$C$3:$L$6,6,0)/12),0))</f>
        <v/>
      </c>
      <c r="K1032" s="29" t="str">
        <f ca="1">IF(C1032&lt;&gt;"",IF(I1032&lt;&gt;"",IF(ISERROR(VLOOKUP(I1032,$C$3:$L$6,10,0)),"",VLOOKUP(I1032,$C$3:$L$6,10,0)+J1032+IF(OR(VLOOKUP(I1032,$C$3:$L$6,5,0)=Variables!$B$5,B1032&gt;VLOOKUP(I1032,$C$3:$L$6,8,0)),IF(VLOOKUP(I1032,$C$3:$L$6,5,0)=Variables!$B$5,((YEAR(B1032)-YEAR($B$12))*12+MONTH(B1032)-MONTH($B$12)),((YEAR(B1032)-YEAR(VLOOKUP(I1032,$C$3:$L$6,8,0)))*12+MONTH(B1032)-MONTH(VLOOKUP(I1032,$C$3:$L$6,8,0))))*VLOOKUP(I1032,$C$3:$L$6,7,0),0)),""),"")</f>
        <v/>
      </c>
      <c r="L1032" s="29" t="str">
        <f t="shared" ca="1" si="89"/>
        <v/>
      </c>
      <c r="M1032" s="10"/>
      <c r="N1032" s="10"/>
    </row>
    <row r="1033" spans="1:14" x14ac:dyDescent="0.25">
      <c r="A1033" s="10"/>
      <c r="B1033" s="14" t="str">
        <f t="shared" ca="1" si="90"/>
        <v/>
      </c>
      <c r="C1033" s="14" t="str">
        <f ca="1">IF(I1032&lt;&gt;Variables!$B$1,IF(H1032&lt;&gt;0,C1032,I1032),"")</f>
        <v/>
      </c>
      <c r="D1033" s="29" t="str">
        <f t="shared" ca="1" si="87"/>
        <v/>
      </c>
      <c r="E1033" s="29" t="str">
        <f t="shared" ca="1" si="88"/>
        <v/>
      </c>
      <c r="F1033" s="29" t="str">
        <f ca="1">IF(C1033&lt;&gt;"",IF(OR(VLOOKUP(C1033,$C$3:$L$6,5,0)=Variables!$B$5,B1033&gt;VLOOKUP(C1033,$C$3:$L$6,8,0)),-D1033*VLOOKUP(C1033,$C$3:$L$6,6,0)/12,0),"")</f>
        <v/>
      </c>
      <c r="G1033" s="29" t="str">
        <f ca="1">IF(I1033&lt;&gt;Variables!$B$1,IF(C1033&lt;&gt;"",$I$9-E1033-F1033,""),-D1033)</f>
        <v/>
      </c>
      <c r="H1033" s="29" t="str">
        <f t="shared" ca="1" si="91"/>
        <v/>
      </c>
      <c r="I1033" s="31" t="str">
        <f ca="1">IF(C1033&lt;&gt;"",IF(D1033+$I$9-E1033-F1033&gt;=0,IF(ISERROR(INDEX($C$3:$C$6,MATCH(C1033,$C$3:$C$6,0)+1,0)),Variables!$B$1,INDEX($C$3:$C$6,MATCH(C1033,$C$3:$C$6,0)+1,0)),""),"")</f>
        <v/>
      </c>
      <c r="J1033" s="29" t="str">
        <f ca="1">IF(ISERROR(VLOOKUP(I1033,$C$3:$L$6,5,0)),"",IF(OR(VLOOKUP(I1033,$C$3:$L$6,5,0)=Variables!$B$5,B1033&gt;VLOOKUP(I1033,$C$3:$L$6,8,0)),IF(VLOOKUP(I1033,$C$3:$L$6,5,0)=Variables!$B$5,((YEAR(B1033)-YEAR($B$12))*12+MONTH(B1033)-MONTH($B$12)),((YEAR(B1033)-YEAR(VLOOKUP(I1033,$C$3:$L$6,8,0)))*12+MONTH(B1033)-MONTH(VLOOKUP(I1033,$C$3:$L$6,8,0))))*(VLOOKUP(I1033,$C$3:$L$6,10,0)*VLOOKUP(I1033,$C$3:$L$6,6,0)/12),0))</f>
        <v/>
      </c>
      <c r="K1033" s="29" t="str">
        <f ca="1">IF(C1033&lt;&gt;"",IF(I1033&lt;&gt;"",IF(ISERROR(VLOOKUP(I1033,$C$3:$L$6,10,0)),"",VLOOKUP(I1033,$C$3:$L$6,10,0)+J1033+IF(OR(VLOOKUP(I1033,$C$3:$L$6,5,0)=Variables!$B$5,B1033&gt;VLOOKUP(I1033,$C$3:$L$6,8,0)),IF(VLOOKUP(I1033,$C$3:$L$6,5,0)=Variables!$B$5,((YEAR(B1033)-YEAR($B$12))*12+MONTH(B1033)-MONTH($B$12)),((YEAR(B1033)-YEAR(VLOOKUP(I1033,$C$3:$L$6,8,0)))*12+MONTH(B1033)-MONTH(VLOOKUP(I1033,$C$3:$L$6,8,0))))*VLOOKUP(I1033,$C$3:$L$6,7,0),0)),""),"")</f>
        <v/>
      </c>
      <c r="L1033" s="29" t="str">
        <f t="shared" ca="1" si="89"/>
        <v/>
      </c>
      <c r="M1033" s="10"/>
      <c r="N1033" s="10"/>
    </row>
    <row r="1034" spans="1:14" x14ac:dyDescent="0.25">
      <c r="A1034" s="10"/>
      <c r="B1034" s="14" t="str">
        <f t="shared" ca="1" si="90"/>
        <v/>
      </c>
      <c r="C1034" s="14" t="str">
        <f ca="1">IF(I1033&lt;&gt;Variables!$B$1,IF(H1033&lt;&gt;0,C1033,I1033),"")</f>
        <v/>
      </c>
      <c r="D1034" s="29" t="str">
        <f t="shared" ca="1" si="87"/>
        <v/>
      </c>
      <c r="E1034" s="29" t="str">
        <f t="shared" ca="1" si="88"/>
        <v/>
      </c>
      <c r="F1034" s="29" t="str">
        <f ca="1">IF(C1034&lt;&gt;"",IF(OR(VLOOKUP(C1034,$C$3:$L$6,5,0)=Variables!$B$5,B1034&gt;VLOOKUP(C1034,$C$3:$L$6,8,0)),-D1034*VLOOKUP(C1034,$C$3:$L$6,6,0)/12,0),"")</f>
        <v/>
      </c>
      <c r="G1034" s="29" t="str">
        <f ca="1">IF(I1034&lt;&gt;Variables!$B$1,IF(C1034&lt;&gt;"",$I$9-E1034-F1034,""),-D1034)</f>
        <v/>
      </c>
      <c r="H1034" s="29" t="str">
        <f t="shared" ca="1" si="91"/>
        <v/>
      </c>
      <c r="I1034" s="31" t="str">
        <f ca="1">IF(C1034&lt;&gt;"",IF(D1034+$I$9-E1034-F1034&gt;=0,IF(ISERROR(INDEX($C$3:$C$6,MATCH(C1034,$C$3:$C$6,0)+1,0)),Variables!$B$1,INDEX($C$3:$C$6,MATCH(C1034,$C$3:$C$6,0)+1,0)),""),"")</f>
        <v/>
      </c>
      <c r="J1034" s="29" t="str">
        <f ca="1">IF(ISERROR(VLOOKUP(I1034,$C$3:$L$6,5,0)),"",IF(OR(VLOOKUP(I1034,$C$3:$L$6,5,0)=Variables!$B$5,B1034&gt;VLOOKUP(I1034,$C$3:$L$6,8,0)),IF(VLOOKUP(I1034,$C$3:$L$6,5,0)=Variables!$B$5,((YEAR(B1034)-YEAR($B$12))*12+MONTH(B1034)-MONTH($B$12)),((YEAR(B1034)-YEAR(VLOOKUP(I1034,$C$3:$L$6,8,0)))*12+MONTH(B1034)-MONTH(VLOOKUP(I1034,$C$3:$L$6,8,0))))*(VLOOKUP(I1034,$C$3:$L$6,10,0)*VLOOKUP(I1034,$C$3:$L$6,6,0)/12),0))</f>
        <v/>
      </c>
      <c r="K1034" s="29" t="str">
        <f ca="1">IF(C1034&lt;&gt;"",IF(I1034&lt;&gt;"",IF(ISERROR(VLOOKUP(I1034,$C$3:$L$6,10,0)),"",VLOOKUP(I1034,$C$3:$L$6,10,0)+J1034+IF(OR(VLOOKUP(I1034,$C$3:$L$6,5,0)=Variables!$B$5,B1034&gt;VLOOKUP(I1034,$C$3:$L$6,8,0)),IF(VLOOKUP(I1034,$C$3:$L$6,5,0)=Variables!$B$5,((YEAR(B1034)-YEAR($B$12))*12+MONTH(B1034)-MONTH($B$12)),((YEAR(B1034)-YEAR(VLOOKUP(I1034,$C$3:$L$6,8,0)))*12+MONTH(B1034)-MONTH(VLOOKUP(I1034,$C$3:$L$6,8,0))))*VLOOKUP(I1034,$C$3:$L$6,7,0),0)),""),"")</f>
        <v/>
      </c>
      <c r="L1034" s="29" t="str">
        <f t="shared" ca="1" si="89"/>
        <v/>
      </c>
      <c r="M1034" s="10"/>
      <c r="N1034" s="10"/>
    </row>
    <row r="1035" spans="1:14" x14ac:dyDescent="0.25">
      <c r="A1035" s="10"/>
      <c r="B1035" s="14" t="str">
        <f t="shared" ca="1" si="90"/>
        <v/>
      </c>
      <c r="C1035" s="14" t="str">
        <f ca="1">IF(I1034&lt;&gt;Variables!$B$1,IF(H1034&lt;&gt;0,C1034,I1034),"")</f>
        <v/>
      </c>
      <c r="D1035" s="29" t="str">
        <f t="shared" ca="1" si="87"/>
        <v/>
      </c>
      <c r="E1035" s="29" t="str">
        <f t="shared" ca="1" si="88"/>
        <v/>
      </c>
      <c r="F1035" s="29" t="str">
        <f ca="1">IF(C1035&lt;&gt;"",IF(OR(VLOOKUP(C1035,$C$3:$L$6,5,0)=Variables!$B$5,B1035&gt;VLOOKUP(C1035,$C$3:$L$6,8,0)),-D1035*VLOOKUP(C1035,$C$3:$L$6,6,0)/12,0),"")</f>
        <v/>
      </c>
      <c r="G1035" s="29" t="str">
        <f ca="1">IF(I1035&lt;&gt;Variables!$B$1,IF(C1035&lt;&gt;"",$I$9-E1035-F1035,""),-D1035)</f>
        <v/>
      </c>
      <c r="H1035" s="29" t="str">
        <f t="shared" ca="1" si="91"/>
        <v/>
      </c>
      <c r="I1035" s="31" t="str">
        <f ca="1">IF(C1035&lt;&gt;"",IF(D1035+$I$9-E1035-F1035&gt;=0,IF(ISERROR(INDEX($C$3:$C$6,MATCH(C1035,$C$3:$C$6,0)+1,0)),Variables!$B$1,INDEX($C$3:$C$6,MATCH(C1035,$C$3:$C$6,0)+1,0)),""),"")</f>
        <v/>
      </c>
      <c r="J1035" s="29" t="str">
        <f ca="1">IF(ISERROR(VLOOKUP(I1035,$C$3:$L$6,5,0)),"",IF(OR(VLOOKUP(I1035,$C$3:$L$6,5,0)=Variables!$B$5,B1035&gt;VLOOKUP(I1035,$C$3:$L$6,8,0)),IF(VLOOKUP(I1035,$C$3:$L$6,5,0)=Variables!$B$5,((YEAR(B1035)-YEAR($B$12))*12+MONTH(B1035)-MONTH($B$12)),((YEAR(B1035)-YEAR(VLOOKUP(I1035,$C$3:$L$6,8,0)))*12+MONTH(B1035)-MONTH(VLOOKUP(I1035,$C$3:$L$6,8,0))))*(VLOOKUP(I1035,$C$3:$L$6,10,0)*VLOOKUP(I1035,$C$3:$L$6,6,0)/12),0))</f>
        <v/>
      </c>
      <c r="K1035" s="29" t="str">
        <f ca="1">IF(C1035&lt;&gt;"",IF(I1035&lt;&gt;"",IF(ISERROR(VLOOKUP(I1035,$C$3:$L$6,10,0)),"",VLOOKUP(I1035,$C$3:$L$6,10,0)+J1035+IF(OR(VLOOKUP(I1035,$C$3:$L$6,5,0)=Variables!$B$5,B1035&gt;VLOOKUP(I1035,$C$3:$L$6,8,0)),IF(VLOOKUP(I1035,$C$3:$L$6,5,0)=Variables!$B$5,((YEAR(B1035)-YEAR($B$12))*12+MONTH(B1035)-MONTH($B$12)),((YEAR(B1035)-YEAR(VLOOKUP(I1035,$C$3:$L$6,8,0)))*12+MONTH(B1035)-MONTH(VLOOKUP(I1035,$C$3:$L$6,8,0))))*VLOOKUP(I1035,$C$3:$L$6,7,0),0)),""),"")</f>
        <v/>
      </c>
      <c r="L1035" s="29" t="str">
        <f t="shared" ca="1" si="89"/>
        <v/>
      </c>
      <c r="M1035" s="10"/>
      <c r="N1035" s="10"/>
    </row>
    <row r="1036" spans="1:14" x14ac:dyDescent="0.25">
      <c r="A1036" s="10"/>
      <c r="B1036" s="14" t="str">
        <f t="shared" ca="1" si="90"/>
        <v/>
      </c>
      <c r="C1036" s="14" t="str">
        <f ca="1">IF(I1035&lt;&gt;Variables!$B$1,IF(H1035&lt;&gt;0,C1035,I1035),"")</f>
        <v/>
      </c>
      <c r="D1036" s="29" t="str">
        <f t="shared" ca="1" si="87"/>
        <v/>
      </c>
      <c r="E1036" s="29" t="str">
        <f t="shared" ca="1" si="88"/>
        <v/>
      </c>
      <c r="F1036" s="29" t="str">
        <f ca="1">IF(C1036&lt;&gt;"",IF(OR(VLOOKUP(C1036,$C$3:$L$6,5,0)=Variables!$B$5,B1036&gt;VLOOKUP(C1036,$C$3:$L$6,8,0)),-D1036*VLOOKUP(C1036,$C$3:$L$6,6,0)/12,0),"")</f>
        <v/>
      </c>
      <c r="G1036" s="29" t="str">
        <f ca="1">IF(I1036&lt;&gt;Variables!$B$1,IF(C1036&lt;&gt;"",$I$9-E1036-F1036,""),-D1036)</f>
        <v/>
      </c>
      <c r="H1036" s="29" t="str">
        <f t="shared" ca="1" si="91"/>
        <v/>
      </c>
      <c r="I1036" s="31" t="str">
        <f ca="1">IF(C1036&lt;&gt;"",IF(D1036+$I$9-E1036-F1036&gt;=0,IF(ISERROR(INDEX($C$3:$C$6,MATCH(C1036,$C$3:$C$6,0)+1,0)),Variables!$B$1,INDEX($C$3:$C$6,MATCH(C1036,$C$3:$C$6,0)+1,0)),""),"")</f>
        <v/>
      </c>
      <c r="J1036" s="29" t="str">
        <f ca="1">IF(ISERROR(VLOOKUP(I1036,$C$3:$L$6,5,0)),"",IF(OR(VLOOKUP(I1036,$C$3:$L$6,5,0)=Variables!$B$5,B1036&gt;VLOOKUP(I1036,$C$3:$L$6,8,0)),IF(VLOOKUP(I1036,$C$3:$L$6,5,0)=Variables!$B$5,((YEAR(B1036)-YEAR($B$12))*12+MONTH(B1036)-MONTH($B$12)),((YEAR(B1036)-YEAR(VLOOKUP(I1036,$C$3:$L$6,8,0)))*12+MONTH(B1036)-MONTH(VLOOKUP(I1036,$C$3:$L$6,8,0))))*(VLOOKUP(I1036,$C$3:$L$6,10,0)*VLOOKUP(I1036,$C$3:$L$6,6,0)/12),0))</f>
        <v/>
      </c>
      <c r="K1036" s="29" t="str">
        <f ca="1">IF(C1036&lt;&gt;"",IF(I1036&lt;&gt;"",IF(ISERROR(VLOOKUP(I1036,$C$3:$L$6,10,0)),"",VLOOKUP(I1036,$C$3:$L$6,10,0)+J1036+IF(OR(VLOOKUP(I1036,$C$3:$L$6,5,0)=Variables!$B$5,B1036&gt;VLOOKUP(I1036,$C$3:$L$6,8,0)),IF(VLOOKUP(I1036,$C$3:$L$6,5,0)=Variables!$B$5,((YEAR(B1036)-YEAR($B$12))*12+MONTH(B1036)-MONTH($B$12)),((YEAR(B1036)-YEAR(VLOOKUP(I1036,$C$3:$L$6,8,0)))*12+MONTH(B1036)-MONTH(VLOOKUP(I1036,$C$3:$L$6,8,0))))*VLOOKUP(I1036,$C$3:$L$6,7,0),0)),""),"")</f>
        <v/>
      </c>
      <c r="L1036" s="29" t="str">
        <f t="shared" ca="1" si="89"/>
        <v/>
      </c>
      <c r="M1036" s="10"/>
      <c r="N1036" s="10"/>
    </row>
    <row r="1037" spans="1:14" x14ac:dyDescent="0.25">
      <c r="A1037" s="10"/>
      <c r="B1037" s="14" t="str">
        <f t="shared" ca="1" si="90"/>
        <v/>
      </c>
      <c r="C1037" s="14" t="str">
        <f ca="1">IF(I1036&lt;&gt;Variables!$B$1,IF(H1036&lt;&gt;0,C1036,I1036),"")</f>
        <v/>
      </c>
      <c r="D1037" s="29" t="str">
        <f t="shared" ca="1" si="87"/>
        <v/>
      </c>
      <c r="E1037" s="29" t="str">
        <f t="shared" ca="1" si="88"/>
        <v/>
      </c>
      <c r="F1037" s="29" t="str">
        <f ca="1">IF(C1037&lt;&gt;"",IF(OR(VLOOKUP(C1037,$C$3:$L$6,5,0)=Variables!$B$5,B1037&gt;VLOOKUP(C1037,$C$3:$L$6,8,0)),-D1037*VLOOKUP(C1037,$C$3:$L$6,6,0)/12,0),"")</f>
        <v/>
      </c>
      <c r="G1037" s="29" t="str">
        <f ca="1">IF(I1037&lt;&gt;Variables!$B$1,IF(C1037&lt;&gt;"",$I$9-E1037-F1037,""),-D1037)</f>
        <v/>
      </c>
      <c r="H1037" s="29" t="str">
        <f t="shared" ca="1" si="91"/>
        <v/>
      </c>
      <c r="I1037" s="31" t="str">
        <f ca="1">IF(C1037&lt;&gt;"",IF(D1037+$I$9-E1037-F1037&gt;=0,IF(ISERROR(INDEX($C$3:$C$6,MATCH(C1037,$C$3:$C$6,0)+1,0)),Variables!$B$1,INDEX($C$3:$C$6,MATCH(C1037,$C$3:$C$6,0)+1,0)),""),"")</f>
        <v/>
      </c>
      <c r="J1037" s="29" t="str">
        <f ca="1">IF(ISERROR(VLOOKUP(I1037,$C$3:$L$6,5,0)),"",IF(OR(VLOOKUP(I1037,$C$3:$L$6,5,0)=Variables!$B$5,B1037&gt;VLOOKUP(I1037,$C$3:$L$6,8,0)),IF(VLOOKUP(I1037,$C$3:$L$6,5,0)=Variables!$B$5,((YEAR(B1037)-YEAR($B$12))*12+MONTH(B1037)-MONTH($B$12)),((YEAR(B1037)-YEAR(VLOOKUP(I1037,$C$3:$L$6,8,0)))*12+MONTH(B1037)-MONTH(VLOOKUP(I1037,$C$3:$L$6,8,0))))*(VLOOKUP(I1037,$C$3:$L$6,10,0)*VLOOKUP(I1037,$C$3:$L$6,6,0)/12),0))</f>
        <v/>
      </c>
      <c r="K1037" s="29" t="str">
        <f ca="1">IF(C1037&lt;&gt;"",IF(I1037&lt;&gt;"",IF(ISERROR(VLOOKUP(I1037,$C$3:$L$6,10,0)),"",VLOOKUP(I1037,$C$3:$L$6,10,0)+J1037+IF(OR(VLOOKUP(I1037,$C$3:$L$6,5,0)=Variables!$B$5,B1037&gt;VLOOKUP(I1037,$C$3:$L$6,8,0)),IF(VLOOKUP(I1037,$C$3:$L$6,5,0)=Variables!$B$5,((YEAR(B1037)-YEAR($B$12))*12+MONTH(B1037)-MONTH($B$12)),((YEAR(B1037)-YEAR(VLOOKUP(I1037,$C$3:$L$6,8,0)))*12+MONTH(B1037)-MONTH(VLOOKUP(I1037,$C$3:$L$6,8,0))))*VLOOKUP(I1037,$C$3:$L$6,7,0),0)),""),"")</f>
        <v/>
      </c>
      <c r="L1037" s="29" t="str">
        <f t="shared" ca="1" si="89"/>
        <v/>
      </c>
      <c r="M1037" s="10"/>
      <c r="N1037" s="10"/>
    </row>
    <row r="1038" spans="1:14" x14ac:dyDescent="0.25">
      <c r="A1038" s="10"/>
      <c r="B1038" s="14" t="str">
        <f t="shared" ca="1" si="90"/>
        <v/>
      </c>
      <c r="C1038" s="14" t="str">
        <f ca="1">IF(I1037&lt;&gt;Variables!$B$1,IF(H1037&lt;&gt;0,C1037,I1037),"")</f>
        <v/>
      </c>
      <c r="D1038" s="29" t="str">
        <f t="shared" ca="1" si="87"/>
        <v/>
      </c>
      <c r="E1038" s="29" t="str">
        <f t="shared" ca="1" si="88"/>
        <v/>
      </c>
      <c r="F1038" s="29" t="str">
        <f ca="1">IF(C1038&lt;&gt;"",IF(OR(VLOOKUP(C1038,$C$3:$L$6,5,0)=Variables!$B$5,B1038&gt;VLOOKUP(C1038,$C$3:$L$6,8,0)),-D1038*VLOOKUP(C1038,$C$3:$L$6,6,0)/12,0),"")</f>
        <v/>
      </c>
      <c r="G1038" s="29" t="str">
        <f ca="1">IF(I1038&lt;&gt;Variables!$B$1,IF(C1038&lt;&gt;"",$I$9-E1038-F1038,""),-D1038)</f>
        <v/>
      </c>
      <c r="H1038" s="29" t="str">
        <f t="shared" ca="1" si="91"/>
        <v/>
      </c>
      <c r="I1038" s="31" t="str">
        <f ca="1">IF(C1038&lt;&gt;"",IF(D1038+$I$9-E1038-F1038&gt;=0,IF(ISERROR(INDEX($C$3:$C$6,MATCH(C1038,$C$3:$C$6,0)+1,0)),Variables!$B$1,INDEX($C$3:$C$6,MATCH(C1038,$C$3:$C$6,0)+1,0)),""),"")</f>
        <v/>
      </c>
      <c r="J1038" s="29" t="str">
        <f ca="1">IF(ISERROR(VLOOKUP(I1038,$C$3:$L$6,5,0)),"",IF(OR(VLOOKUP(I1038,$C$3:$L$6,5,0)=Variables!$B$5,B1038&gt;VLOOKUP(I1038,$C$3:$L$6,8,0)),IF(VLOOKUP(I1038,$C$3:$L$6,5,0)=Variables!$B$5,((YEAR(B1038)-YEAR($B$12))*12+MONTH(B1038)-MONTH($B$12)),((YEAR(B1038)-YEAR(VLOOKUP(I1038,$C$3:$L$6,8,0)))*12+MONTH(B1038)-MONTH(VLOOKUP(I1038,$C$3:$L$6,8,0))))*(VLOOKUP(I1038,$C$3:$L$6,10,0)*VLOOKUP(I1038,$C$3:$L$6,6,0)/12),0))</f>
        <v/>
      </c>
      <c r="K1038" s="29" t="str">
        <f ca="1">IF(C1038&lt;&gt;"",IF(I1038&lt;&gt;"",IF(ISERROR(VLOOKUP(I1038,$C$3:$L$6,10,0)),"",VLOOKUP(I1038,$C$3:$L$6,10,0)+J1038+IF(OR(VLOOKUP(I1038,$C$3:$L$6,5,0)=Variables!$B$5,B1038&gt;VLOOKUP(I1038,$C$3:$L$6,8,0)),IF(VLOOKUP(I1038,$C$3:$L$6,5,0)=Variables!$B$5,((YEAR(B1038)-YEAR($B$12))*12+MONTH(B1038)-MONTH($B$12)),((YEAR(B1038)-YEAR(VLOOKUP(I1038,$C$3:$L$6,8,0)))*12+MONTH(B1038)-MONTH(VLOOKUP(I1038,$C$3:$L$6,8,0))))*VLOOKUP(I1038,$C$3:$L$6,7,0),0)),""),"")</f>
        <v/>
      </c>
      <c r="L1038" s="29" t="str">
        <f t="shared" ca="1" si="89"/>
        <v/>
      </c>
      <c r="M1038" s="10"/>
      <c r="N1038" s="10"/>
    </row>
    <row r="1039" spans="1:14" x14ac:dyDescent="0.25">
      <c r="A1039" s="10"/>
      <c r="B1039" s="14" t="str">
        <f t="shared" ca="1" si="90"/>
        <v/>
      </c>
      <c r="C1039" s="14" t="str">
        <f ca="1">IF(I1038&lt;&gt;Variables!$B$1,IF(H1038&lt;&gt;0,C1038,I1038),"")</f>
        <v/>
      </c>
      <c r="D1039" s="29" t="str">
        <f t="shared" ca="1" si="87"/>
        <v/>
      </c>
      <c r="E1039" s="29" t="str">
        <f t="shared" ca="1" si="88"/>
        <v/>
      </c>
      <c r="F1039" s="29" t="str">
        <f ca="1">IF(C1039&lt;&gt;"",IF(OR(VLOOKUP(C1039,$C$3:$L$6,5,0)=Variables!$B$5,B1039&gt;VLOOKUP(C1039,$C$3:$L$6,8,0)),-D1039*VLOOKUP(C1039,$C$3:$L$6,6,0)/12,0),"")</f>
        <v/>
      </c>
      <c r="G1039" s="29" t="str">
        <f ca="1">IF(I1039&lt;&gt;Variables!$B$1,IF(C1039&lt;&gt;"",$I$9-E1039-F1039,""),-D1039)</f>
        <v/>
      </c>
      <c r="H1039" s="29" t="str">
        <f t="shared" ca="1" si="91"/>
        <v/>
      </c>
      <c r="I1039" s="31" t="str">
        <f ca="1">IF(C1039&lt;&gt;"",IF(D1039+$I$9-E1039-F1039&gt;=0,IF(ISERROR(INDEX($C$3:$C$6,MATCH(C1039,$C$3:$C$6,0)+1,0)),Variables!$B$1,INDEX($C$3:$C$6,MATCH(C1039,$C$3:$C$6,0)+1,0)),""),"")</f>
        <v/>
      </c>
      <c r="J1039" s="29" t="str">
        <f ca="1">IF(ISERROR(VLOOKUP(I1039,$C$3:$L$6,5,0)),"",IF(OR(VLOOKUP(I1039,$C$3:$L$6,5,0)=Variables!$B$5,B1039&gt;VLOOKUP(I1039,$C$3:$L$6,8,0)),IF(VLOOKUP(I1039,$C$3:$L$6,5,0)=Variables!$B$5,((YEAR(B1039)-YEAR($B$12))*12+MONTH(B1039)-MONTH($B$12)),((YEAR(B1039)-YEAR(VLOOKUP(I1039,$C$3:$L$6,8,0)))*12+MONTH(B1039)-MONTH(VLOOKUP(I1039,$C$3:$L$6,8,0))))*(VLOOKUP(I1039,$C$3:$L$6,10,0)*VLOOKUP(I1039,$C$3:$L$6,6,0)/12),0))</f>
        <v/>
      </c>
      <c r="K1039" s="29" t="str">
        <f ca="1">IF(C1039&lt;&gt;"",IF(I1039&lt;&gt;"",IF(ISERROR(VLOOKUP(I1039,$C$3:$L$6,10,0)),"",VLOOKUP(I1039,$C$3:$L$6,10,0)+J1039+IF(OR(VLOOKUP(I1039,$C$3:$L$6,5,0)=Variables!$B$5,B1039&gt;VLOOKUP(I1039,$C$3:$L$6,8,0)),IF(VLOOKUP(I1039,$C$3:$L$6,5,0)=Variables!$B$5,((YEAR(B1039)-YEAR($B$12))*12+MONTH(B1039)-MONTH($B$12)),((YEAR(B1039)-YEAR(VLOOKUP(I1039,$C$3:$L$6,8,0)))*12+MONTH(B1039)-MONTH(VLOOKUP(I1039,$C$3:$L$6,8,0))))*VLOOKUP(I1039,$C$3:$L$6,7,0),0)),""),"")</f>
        <v/>
      </c>
      <c r="L1039" s="29" t="str">
        <f t="shared" ca="1" si="89"/>
        <v/>
      </c>
      <c r="M1039" s="10"/>
      <c r="N1039" s="10"/>
    </row>
    <row r="1040" spans="1:14" x14ac:dyDescent="0.25">
      <c r="A1040" s="10"/>
      <c r="B1040" s="14" t="str">
        <f t="shared" ca="1" si="90"/>
        <v/>
      </c>
      <c r="C1040" s="14" t="str">
        <f ca="1">IF(I1039&lt;&gt;Variables!$B$1,IF(H1039&lt;&gt;0,C1039,I1039),"")</f>
        <v/>
      </c>
      <c r="D1040" s="29" t="str">
        <f t="shared" ca="1" si="87"/>
        <v/>
      </c>
      <c r="E1040" s="29" t="str">
        <f t="shared" ca="1" si="88"/>
        <v/>
      </c>
      <c r="F1040" s="29" t="str">
        <f ca="1">IF(C1040&lt;&gt;"",IF(OR(VLOOKUP(C1040,$C$3:$L$6,5,0)=Variables!$B$5,B1040&gt;VLOOKUP(C1040,$C$3:$L$6,8,0)),-D1040*VLOOKUP(C1040,$C$3:$L$6,6,0)/12,0),"")</f>
        <v/>
      </c>
      <c r="G1040" s="29" t="str">
        <f ca="1">IF(I1040&lt;&gt;Variables!$B$1,IF(C1040&lt;&gt;"",$I$9-E1040-F1040,""),-D1040)</f>
        <v/>
      </c>
      <c r="H1040" s="29" t="str">
        <f t="shared" ca="1" si="91"/>
        <v/>
      </c>
      <c r="I1040" s="31" t="str">
        <f ca="1">IF(C1040&lt;&gt;"",IF(D1040+$I$9-E1040-F1040&gt;=0,IF(ISERROR(INDEX($C$3:$C$6,MATCH(C1040,$C$3:$C$6,0)+1,0)),Variables!$B$1,INDEX($C$3:$C$6,MATCH(C1040,$C$3:$C$6,0)+1,0)),""),"")</f>
        <v/>
      </c>
      <c r="J1040" s="29" t="str">
        <f ca="1">IF(ISERROR(VLOOKUP(I1040,$C$3:$L$6,5,0)),"",IF(OR(VLOOKUP(I1040,$C$3:$L$6,5,0)=Variables!$B$5,B1040&gt;VLOOKUP(I1040,$C$3:$L$6,8,0)),IF(VLOOKUP(I1040,$C$3:$L$6,5,0)=Variables!$B$5,((YEAR(B1040)-YEAR($B$12))*12+MONTH(B1040)-MONTH($B$12)),((YEAR(B1040)-YEAR(VLOOKUP(I1040,$C$3:$L$6,8,0)))*12+MONTH(B1040)-MONTH(VLOOKUP(I1040,$C$3:$L$6,8,0))))*(VLOOKUP(I1040,$C$3:$L$6,10,0)*VLOOKUP(I1040,$C$3:$L$6,6,0)/12),0))</f>
        <v/>
      </c>
      <c r="K1040" s="29" t="str">
        <f ca="1">IF(C1040&lt;&gt;"",IF(I1040&lt;&gt;"",IF(ISERROR(VLOOKUP(I1040,$C$3:$L$6,10,0)),"",VLOOKUP(I1040,$C$3:$L$6,10,0)+J1040+IF(OR(VLOOKUP(I1040,$C$3:$L$6,5,0)=Variables!$B$5,B1040&gt;VLOOKUP(I1040,$C$3:$L$6,8,0)),IF(VLOOKUP(I1040,$C$3:$L$6,5,0)=Variables!$B$5,((YEAR(B1040)-YEAR($B$12))*12+MONTH(B1040)-MONTH($B$12)),((YEAR(B1040)-YEAR(VLOOKUP(I1040,$C$3:$L$6,8,0)))*12+MONTH(B1040)-MONTH(VLOOKUP(I1040,$C$3:$L$6,8,0))))*VLOOKUP(I1040,$C$3:$L$6,7,0),0)),""),"")</f>
        <v/>
      </c>
      <c r="L1040" s="29" t="str">
        <f t="shared" ca="1" si="89"/>
        <v/>
      </c>
      <c r="M1040" s="10"/>
      <c r="N1040" s="10"/>
    </row>
    <row r="1041" spans="1:14" x14ac:dyDescent="0.25">
      <c r="A1041" s="10"/>
      <c r="B1041" s="14" t="str">
        <f t="shared" ca="1" si="90"/>
        <v/>
      </c>
      <c r="C1041" s="14" t="str">
        <f ca="1">IF(I1040&lt;&gt;Variables!$B$1,IF(H1040&lt;&gt;0,C1040,I1040),"")</f>
        <v/>
      </c>
      <c r="D1041" s="29" t="str">
        <f t="shared" ca="1" si="87"/>
        <v/>
      </c>
      <c r="E1041" s="29" t="str">
        <f t="shared" ca="1" si="88"/>
        <v/>
      </c>
      <c r="F1041" s="29" t="str">
        <f ca="1">IF(C1041&lt;&gt;"",IF(OR(VLOOKUP(C1041,$C$3:$L$6,5,0)=Variables!$B$5,B1041&gt;VLOOKUP(C1041,$C$3:$L$6,8,0)),-D1041*VLOOKUP(C1041,$C$3:$L$6,6,0)/12,0),"")</f>
        <v/>
      </c>
      <c r="G1041" s="29" t="str">
        <f ca="1">IF(I1041&lt;&gt;Variables!$B$1,IF(C1041&lt;&gt;"",$I$9-E1041-F1041,""),-D1041)</f>
        <v/>
      </c>
      <c r="H1041" s="29" t="str">
        <f t="shared" ca="1" si="91"/>
        <v/>
      </c>
      <c r="I1041" s="31" t="str">
        <f ca="1">IF(C1041&lt;&gt;"",IF(D1041+$I$9-E1041-F1041&gt;=0,IF(ISERROR(INDEX($C$3:$C$6,MATCH(C1041,$C$3:$C$6,0)+1,0)),Variables!$B$1,INDEX($C$3:$C$6,MATCH(C1041,$C$3:$C$6,0)+1,0)),""),"")</f>
        <v/>
      </c>
      <c r="J1041" s="29" t="str">
        <f ca="1">IF(ISERROR(VLOOKUP(I1041,$C$3:$L$6,5,0)),"",IF(OR(VLOOKUP(I1041,$C$3:$L$6,5,0)=Variables!$B$5,B1041&gt;VLOOKUP(I1041,$C$3:$L$6,8,0)),IF(VLOOKUP(I1041,$C$3:$L$6,5,0)=Variables!$B$5,((YEAR(B1041)-YEAR($B$12))*12+MONTH(B1041)-MONTH($B$12)),((YEAR(B1041)-YEAR(VLOOKUP(I1041,$C$3:$L$6,8,0)))*12+MONTH(B1041)-MONTH(VLOOKUP(I1041,$C$3:$L$6,8,0))))*(VLOOKUP(I1041,$C$3:$L$6,10,0)*VLOOKUP(I1041,$C$3:$L$6,6,0)/12),0))</f>
        <v/>
      </c>
      <c r="K1041" s="29" t="str">
        <f ca="1">IF(C1041&lt;&gt;"",IF(I1041&lt;&gt;"",IF(ISERROR(VLOOKUP(I1041,$C$3:$L$6,10,0)),"",VLOOKUP(I1041,$C$3:$L$6,10,0)+J1041+IF(OR(VLOOKUP(I1041,$C$3:$L$6,5,0)=Variables!$B$5,B1041&gt;VLOOKUP(I1041,$C$3:$L$6,8,0)),IF(VLOOKUP(I1041,$C$3:$L$6,5,0)=Variables!$B$5,((YEAR(B1041)-YEAR($B$12))*12+MONTH(B1041)-MONTH($B$12)),((YEAR(B1041)-YEAR(VLOOKUP(I1041,$C$3:$L$6,8,0)))*12+MONTH(B1041)-MONTH(VLOOKUP(I1041,$C$3:$L$6,8,0))))*VLOOKUP(I1041,$C$3:$L$6,7,0),0)),""),"")</f>
        <v/>
      </c>
      <c r="L1041" s="29" t="str">
        <f t="shared" ca="1" si="89"/>
        <v/>
      </c>
      <c r="M1041" s="10"/>
      <c r="N1041" s="10"/>
    </row>
    <row r="1042" spans="1:14" x14ac:dyDescent="0.25">
      <c r="A1042" s="10"/>
      <c r="B1042" s="14" t="str">
        <f t="shared" ca="1" si="90"/>
        <v/>
      </c>
      <c r="C1042" s="14" t="str">
        <f ca="1">IF(I1041&lt;&gt;Variables!$B$1,IF(H1041&lt;&gt;0,C1041,I1041),"")</f>
        <v/>
      </c>
      <c r="D1042" s="29" t="str">
        <f t="shared" ca="1" si="87"/>
        <v/>
      </c>
      <c r="E1042" s="29" t="str">
        <f t="shared" ca="1" si="88"/>
        <v/>
      </c>
      <c r="F1042" s="29" t="str">
        <f ca="1">IF(C1042&lt;&gt;"",IF(OR(VLOOKUP(C1042,$C$3:$L$6,5,0)=Variables!$B$5,B1042&gt;VLOOKUP(C1042,$C$3:$L$6,8,0)),-D1042*VLOOKUP(C1042,$C$3:$L$6,6,0)/12,0),"")</f>
        <v/>
      </c>
      <c r="G1042" s="29" t="str">
        <f ca="1">IF(I1042&lt;&gt;Variables!$B$1,IF(C1042&lt;&gt;"",$I$9-E1042-F1042,""),-D1042)</f>
        <v/>
      </c>
      <c r="H1042" s="29" t="str">
        <f t="shared" ca="1" si="91"/>
        <v/>
      </c>
      <c r="I1042" s="31" t="str">
        <f ca="1">IF(C1042&lt;&gt;"",IF(D1042+$I$9-E1042-F1042&gt;=0,IF(ISERROR(INDEX($C$3:$C$6,MATCH(C1042,$C$3:$C$6,0)+1,0)),Variables!$B$1,INDEX($C$3:$C$6,MATCH(C1042,$C$3:$C$6,0)+1,0)),""),"")</f>
        <v/>
      </c>
      <c r="J1042" s="29" t="str">
        <f ca="1">IF(ISERROR(VLOOKUP(I1042,$C$3:$L$6,5,0)),"",IF(OR(VLOOKUP(I1042,$C$3:$L$6,5,0)=Variables!$B$5,B1042&gt;VLOOKUP(I1042,$C$3:$L$6,8,0)),IF(VLOOKUP(I1042,$C$3:$L$6,5,0)=Variables!$B$5,((YEAR(B1042)-YEAR($B$12))*12+MONTH(B1042)-MONTH($B$12)),((YEAR(B1042)-YEAR(VLOOKUP(I1042,$C$3:$L$6,8,0)))*12+MONTH(B1042)-MONTH(VLOOKUP(I1042,$C$3:$L$6,8,0))))*(VLOOKUP(I1042,$C$3:$L$6,10,0)*VLOOKUP(I1042,$C$3:$L$6,6,0)/12),0))</f>
        <v/>
      </c>
      <c r="K1042" s="29" t="str">
        <f ca="1">IF(C1042&lt;&gt;"",IF(I1042&lt;&gt;"",IF(ISERROR(VLOOKUP(I1042,$C$3:$L$6,10,0)),"",VLOOKUP(I1042,$C$3:$L$6,10,0)+J1042+IF(OR(VLOOKUP(I1042,$C$3:$L$6,5,0)=Variables!$B$5,B1042&gt;VLOOKUP(I1042,$C$3:$L$6,8,0)),IF(VLOOKUP(I1042,$C$3:$L$6,5,0)=Variables!$B$5,((YEAR(B1042)-YEAR($B$12))*12+MONTH(B1042)-MONTH($B$12)),((YEAR(B1042)-YEAR(VLOOKUP(I1042,$C$3:$L$6,8,0)))*12+MONTH(B1042)-MONTH(VLOOKUP(I1042,$C$3:$L$6,8,0))))*VLOOKUP(I1042,$C$3:$L$6,7,0),0)),""),"")</f>
        <v/>
      </c>
      <c r="L1042" s="29" t="str">
        <f t="shared" ca="1" si="89"/>
        <v/>
      </c>
      <c r="M1042" s="10"/>
      <c r="N1042" s="10"/>
    </row>
    <row r="1043" spans="1:14" x14ac:dyDescent="0.25">
      <c r="A1043" s="10"/>
      <c r="B1043" s="14" t="str">
        <f t="shared" ca="1" si="90"/>
        <v/>
      </c>
      <c r="C1043" s="14" t="str">
        <f ca="1">IF(I1042&lt;&gt;Variables!$B$1,IF(H1042&lt;&gt;0,C1042,I1042),"")</f>
        <v/>
      </c>
      <c r="D1043" s="29" t="str">
        <f t="shared" ca="1" si="87"/>
        <v/>
      </c>
      <c r="E1043" s="29" t="str">
        <f t="shared" ca="1" si="88"/>
        <v/>
      </c>
      <c r="F1043" s="29" t="str">
        <f ca="1">IF(C1043&lt;&gt;"",IF(OR(VLOOKUP(C1043,$C$3:$L$6,5,0)=Variables!$B$5,B1043&gt;VLOOKUP(C1043,$C$3:$L$6,8,0)),-D1043*VLOOKUP(C1043,$C$3:$L$6,6,0)/12,0),"")</f>
        <v/>
      </c>
      <c r="G1043" s="29" t="str">
        <f ca="1">IF(I1043&lt;&gt;Variables!$B$1,IF(C1043&lt;&gt;"",$I$9-E1043-F1043,""),-D1043)</f>
        <v/>
      </c>
      <c r="H1043" s="29" t="str">
        <f t="shared" ca="1" si="91"/>
        <v/>
      </c>
      <c r="I1043" s="31" t="str">
        <f ca="1">IF(C1043&lt;&gt;"",IF(D1043+$I$9-E1043-F1043&gt;=0,IF(ISERROR(INDEX($C$3:$C$6,MATCH(C1043,$C$3:$C$6,0)+1,0)),Variables!$B$1,INDEX($C$3:$C$6,MATCH(C1043,$C$3:$C$6,0)+1,0)),""),"")</f>
        <v/>
      </c>
      <c r="J1043" s="29" t="str">
        <f ca="1">IF(ISERROR(VLOOKUP(I1043,$C$3:$L$6,5,0)),"",IF(OR(VLOOKUP(I1043,$C$3:$L$6,5,0)=Variables!$B$5,B1043&gt;VLOOKUP(I1043,$C$3:$L$6,8,0)),IF(VLOOKUP(I1043,$C$3:$L$6,5,0)=Variables!$B$5,((YEAR(B1043)-YEAR($B$12))*12+MONTH(B1043)-MONTH($B$12)),((YEAR(B1043)-YEAR(VLOOKUP(I1043,$C$3:$L$6,8,0)))*12+MONTH(B1043)-MONTH(VLOOKUP(I1043,$C$3:$L$6,8,0))))*(VLOOKUP(I1043,$C$3:$L$6,10,0)*VLOOKUP(I1043,$C$3:$L$6,6,0)/12),0))</f>
        <v/>
      </c>
      <c r="K1043" s="29" t="str">
        <f ca="1">IF(C1043&lt;&gt;"",IF(I1043&lt;&gt;"",IF(ISERROR(VLOOKUP(I1043,$C$3:$L$6,10,0)),"",VLOOKUP(I1043,$C$3:$L$6,10,0)+J1043+IF(OR(VLOOKUP(I1043,$C$3:$L$6,5,0)=Variables!$B$5,B1043&gt;VLOOKUP(I1043,$C$3:$L$6,8,0)),IF(VLOOKUP(I1043,$C$3:$L$6,5,0)=Variables!$B$5,((YEAR(B1043)-YEAR($B$12))*12+MONTH(B1043)-MONTH($B$12)),((YEAR(B1043)-YEAR(VLOOKUP(I1043,$C$3:$L$6,8,0)))*12+MONTH(B1043)-MONTH(VLOOKUP(I1043,$C$3:$L$6,8,0))))*VLOOKUP(I1043,$C$3:$L$6,7,0),0)),""),"")</f>
        <v/>
      </c>
      <c r="L1043" s="29" t="str">
        <f t="shared" ca="1" si="89"/>
        <v/>
      </c>
      <c r="M1043" s="10"/>
      <c r="N1043" s="10"/>
    </row>
    <row r="1044" spans="1:14" x14ac:dyDescent="0.25">
      <c r="A1044" s="10"/>
      <c r="B1044" s="14" t="str">
        <f t="shared" ca="1" si="90"/>
        <v/>
      </c>
      <c r="C1044" s="14" t="str">
        <f ca="1">IF(I1043&lt;&gt;Variables!$B$1,IF(H1043&lt;&gt;0,C1043,I1043),"")</f>
        <v/>
      </c>
      <c r="D1044" s="29" t="str">
        <f t="shared" ca="1" si="87"/>
        <v/>
      </c>
      <c r="E1044" s="29" t="str">
        <f t="shared" ca="1" si="88"/>
        <v/>
      </c>
      <c r="F1044" s="29" t="str">
        <f ca="1">IF(C1044&lt;&gt;"",IF(OR(VLOOKUP(C1044,$C$3:$L$6,5,0)=Variables!$B$5,B1044&gt;VLOOKUP(C1044,$C$3:$L$6,8,0)),-D1044*VLOOKUP(C1044,$C$3:$L$6,6,0)/12,0),"")</f>
        <v/>
      </c>
      <c r="G1044" s="29" t="str">
        <f ca="1">IF(I1044&lt;&gt;Variables!$B$1,IF(C1044&lt;&gt;"",$I$9-E1044-F1044,""),-D1044)</f>
        <v/>
      </c>
      <c r="H1044" s="29" t="str">
        <f t="shared" ca="1" si="91"/>
        <v/>
      </c>
      <c r="I1044" s="31" t="str">
        <f ca="1">IF(C1044&lt;&gt;"",IF(D1044+$I$9-E1044-F1044&gt;=0,IF(ISERROR(INDEX($C$3:$C$6,MATCH(C1044,$C$3:$C$6,0)+1,0)),Variables!$B$1,INDEX($C$3:$C$6,MATCH(C1044,$C$3:$C$6,0)+1,0)),""),"")</f>
        <v/>
      </c>
      <c r="J1044" s="29" t="str">
        <f ca="1">IF(ISERROR(VLOOKUP(I1044,$C$3:$L$6,5,0)),"",IF(OR(VLOOKUP(I1044,$C$3:$L$6,5,0)=Variables!$B$5,B1044&gt;VLOOKUP(I1044,$C$3:$L$6,8,0)),IF(VLOOKUP(I1044,$C$3:$L$6,5,0)=Variables!$B$5,((YEAR(B1044)-YEAR($B$12))*12+MONTH(B1044)-MONTH($B$12)),((YEAR(B1044)-YEAR(VLOOKUP(I1044,$C$3:$L$6,8,0)))*12+MONTH(B1044)-MONTH(VLOOKUP(I1044,$C$3:$L$6,8,0))))*(VLOOKUP(I1044,$C$3:$L$6,10,0)*VLOOKUP(I1044,$C$3:$L$6,6,0)/12),0))</f>
        <v/>
      </c>
      <c r="K1044" s="29" t="str">
        <f ca="1">IF(C1044&lt;&gt;"",IF(I1044&lt;&gt;"",IF(ISERROR(VLOOKUP(I1044,$C$3:$L$6,10,0)),"",VLOOKUP(I1044,$C$3:$L$6,10,0)+J1044+IF(OR(VLOOKUP(I1044,$C$3:$L$6,5,0)=Variables!$B$5,B1044&gt;VLOOKUP(I1044,$C$3:$L$6,8,0)),IF(VLOOKUP(I1044,$C$3:$L$6,5,0)=Variables!$B$5,((YEAR(B1044)-YEAR($B$12))*12+MONTH(B1044)-MONTH($B$12)),((YEAR(B1044)-YEAR(VLOOKUP(I1044,$C$3:$L$6,8,0)))*12+MONTH(B1044)-MONTH(VLOOKUP(I1044,$C$3:$L$6,8,0))))*VLOOKUP(I1044,$C$3:$L$6,7,0),0)),""),"")</f>
        <v/>
      </c>
      <c r="L1044" s="29" t="str">
        <f t="shared" ca="1" si="89"/>
        <v/>
      </c>
      <c r="M1044" s="10"/>
      <c r="N1044" s="10"/>
    </row>
    <row r="1045" spans="1:14" x14ac:dyDescent="0.25">
      <c r="A1045" s="10"/>
      <c r="B1045" s="14" t="str">
        <f t="shared" ca="1" si="90"/>
        <v/>
      </c>
      <c r="C1045" s="14" t="str">
        <f ca="1">IF(I1044&lt;&gt;Variables!$B$1,IF(H1044&lt;&gt;0,C1044,I1044),"")</f>
        <v/>
      </c>
      <c r="D1045" s="29" t="str">
        <f t="shared" ca="1" si="87"/>
        <v/>
      </c>
      <c r="E1045" s="29" t="str">
        <f t="shared" ca="1" si="88"/>
        <v/>
      </c>
      <c r="F1045" s="29" t="str">
        <f ca="1">IF(C1045&lt;&gt;"",IF(OR(VLOOKUP(C1045,$C$3:$L$6,5,0)=Variables!$B$5,B1045&gt;VLOOKUP(C1045,$C$3:$L$6,8,0)),-D1045*VLOOKUP(C1045,$C$3:$L$6,6,0)/12,0),"")</f>
        <v/>
      </c>
      <c r="G1045" s="29" t="str">
        <f ca="1">IF(I1045&lt;&gt;Variables!$B$1,IF(C1045&lt;&gt;"",$I$9-E1045-F1045,""),-D1045)</f>
        <v/>
      </c>
      <c r="H1045" s="29" t="str">
        <f t="shared" ca="1" si="91"/>
        <v/>
      </c>
      <c r="I1045" s="31" t="str">
        <f ca="1">IF(C1045&lt;&gt;"",IF(D1045+$I$9-E1045-F1045&gt;=0,IF(ISERROR(INDEX($C$3:$C$6,MATCH(C1045,$C$3:$C$6,0)+1,0)),Variables!$B$1,INDEX($C$3:$C$6,MATCH(C1045,$C$3:$C$6,0)+1,0)),""),"")</f>
        <v/>
      </c>
      <c r="J1045" s="29" t="str">
        <f ca="1">IF(ISERROR(VLOOKUP(I1045,$C$3:$L$6,5,0)),"",IF(OR(VLOOKUP(I1045,$C$3:$L$6,5,0)=Variables!$B$5,B1045&gt;VLOOKUP(I1045,$C$3:$L$6,8,0)),IF(VLOOKUP(I1045,$C$3:$L$6,5,0)=Variables!$B$5,((YEAR(B1045)-YEAR($B$12))*12+MONTH(B1045)-MONTH($B$12)),((YEAR(B1045)-YEAR(VLOOKUP(I1045,$C$3:$L$6,8,0)))*12+MONTH(B1045)-MONTH(VLOOKUP(I1045,$C$3:$L$6,8,0))))*(VLOOKUP(I1045,$C$3:$L$6,10,0)*VLOOKUP(I1045,$C$3:$L$6,6,0)/12),0))</f>
        <v/>
      </c>
      <c r="K1045" s="29" t="str">
        <f ca="1">IF(C1045&lt;&gt;"",IF(I1045&lt;&gt;"",IF(ISERROR(VLOOKUP(I1045,$C$3:$L$6,10,0)),"",VLOOKUP(I1045,$C$3:$L$6,10,0)+J1045+IF(OR(VLOOKUP(I1045,$C$3:$L$6,5,0)=Variables!$B$5,B1045&gt;VLOOKUP(I1045,$C$3:$L$6,8,0)),IF(VLOOKUP(I1045,$C$3:$L$6,5,0)=Variables!$B$5,((YEAR(B1045)-YEAR($B$12))*12+MONTH(B1045)-MONTH($B$12)),((YEAR(B1045)-YEAR(VLOOKUP(I1045,$C$3:$L$6,8,0)))*12+MONTH(B1045)-MONTH(VLOOKUP(I1045,$C$3:$L$6,8,0))))*VLOOKUP(I1045,$C$3:$L$6,7,0),0)),""),"")</f>
        <v/>
      </c>
      <c r="L1045" s="29" t="str">
        <f t="shared" ca="1" si="89"/>
        <v/>
      </c>
      <c r="M1045" s="10"/>
      <c r="N1045" s="10"/>
    </row>
    <row r="1046" spans="1:14" x14ac:dyDescent="0.25">
      <c r="A1046" s="10"/>
      <c r="B1046" s="14" t="str">
        <f t="shared" ca="1" si="90"/>
        <v/>
      </c>
      <c r="C1046" s="14" t="str">
        <f ca="1">IF(I1045&lt;&gt;Variables!$B$1,IF(H1045&lt;&gt;0,C1045,I1045),"")</f>
        <v/>
      </c>
      <c r="D1046" s="29" t="str">
        <f t="shared" ca="1" si="87"/>
        <v/>
      </c>
      <c r="E1046" s="29" t="str">
        <f t="shared" ca="1" si="88"/>
        <v/>
      </c>
      <c r="F1046" s="29" t="str">
        <f ca="1">IF(C1046&lt;&gt;"",IF(OR(VLOOKUP(C1046,$C$3:$L$6,5,0)=Variables!$B$5,B1046&gt;VLOOKUP(C1046,$C$3:$L$6,8,0)),-D1046*VLOOKUP(C1046,$C$3:$L$6,6,0)/12,0),"")</f>
        <v/>
      </c>
      <c r="G1046" s="29" t="str">
        <f ca="1">IF(I1046&lt;&gt;Variables!$B$1,IF(C1046&lt;&gt;"",$I$9-E1046-F1046,""),-D1046)</f>
        <v/>
      </c>
      <c r="H1046" s="29" t="str">
        <f t="shared" ca="1" si="91"/>
        <v/>
      </c>
      <c r="I1046" s="31" t="str">
        <f ca="1">IF(C1046&lt;&gt;"",IF(D1046+$I$9-E1046-F1046&gt;=0,IF(ISERROR(INDEX($C$3:$C$6,MATCH(C1046,$C$3:$C$6,0)+1,0)),Variables!$B$1,INDEX($C$3:$C$6,MATCH(C1046,$C$3:$C$6,0)+1,0)),""),"")</f>
        <v/>
      </c>
      <c r="J1046" s="29" t="str">
        <f ca="1">IF(ISERROR(VLOOKUP(I1046,$C$3:$L$6,5,0)),"",IF(OR(VLOOKUP(I1046,$C$3:$L$6,5,0)=Variables!$B$5,B1046&gt;VLOOKUP(I1046,$C$3:$L$6,8,0)),IF(VLOOKUP(I1046,$C$3:$L$6,5,0)=Variables!$B$5,((YEAR(B1046)-YEAR($B$12))*12+MONTH(B1046)-MONTH($B$12)),((YEAR(B1046)-YEAR(VLOOKUP(I1046,$C$3:$L$6,8,0)))*12+MONTH(B1046)-MONTH(VLOOKUP(I1046,$C$3:$L$6,8,0))))*(VLOOKUP(I1046,$C$3:$L$6,10,0)*VLOOKUP(I1046,$C$3:$L$6,6,0)/12),0))</f>
        <v/>
      </c>
      <c r="K1046" s="29" t="str">
        <f ca="1">IF(C1046&lt;&gt;"",IF(I1046&lt;&gt;"",IF(ISERROR(VLOOKUP(I1046,$C$3:$L$6,10,0)),"",VLOOKUP(I1046,$C$3:$L$6,10,0)+J1046+IF(OR(VLOOKUP(I1046,$C$3:$L$6,5,0)=Variables!$B$5,B1046&gt;VLOOKUP(I1046,$C$3:$L$6,8,0)),IF(VLOOKUP(I1046,$C$3:$L$6,5,0)=Variables!$B$5,((YEAR(B1046)-YEAR($B$12))*12+MONTH(B1046)-MONTH($B$12)),((YEAR(B1046)-YEAR(VLOOKUP(I1046,$C$3:$L$6,8,0)))*12+MONTH(B1046)-MONTH(VLOOKUP(I1046,$C$3:$L$6,8,0))))*VLOOKUP(I1046,$C$3:$L$6,7,0),0)),""),"")</f>
        <v/>
      </c>
      <c r="L1046" s="29" t="str">
        <f t="shared" ca="1" si="89"/>
        <v/>
      </c>
      <c r="M1046" s="10"/>
      <c r="N1046" s="10"/>
    </row>
    <row r="1047" spans="1:14" x14ac:dyDescent="0.25">
      <c r="A1047" s="10"/>
      <c r="B1047" s="14" t="str">
        <f t="shared" ca="1" si="90"/>
        <v/>
      </c>
      <c r="C1047" s="14" t="str">
        <f ca="1">IF(I1046&lt;&gt;Variables!$B$1,IF(H1046&lt;&gt;0,C1046,I1046),"")</f>
        <v/>
      </c>
      <c r="D1047" s="29" t="str">
        <f t="shared" ca="1" si="87"/>
        <v/>
      </c>
      <c r="E1047" s="29" t="str">
        <f t="shared" ca="1" si="88"/>
        <v/>
      </c>
      <c r="F1047" s="29" t="str">
        <f ca="1">IF(C1047&lt;&gt;"",IF(OR(VLOOKUP(C1047,$C$3:$L$6,5,0)=Variables!$B$5,B1047&gt;VLOOKUP(C1047,$C$3:$L$6,8,0)),-D1047*VLOOKUP(C1047,$C$3:$L$6,6,0)/12,0),"")</f>
        <v/>
      </c>
      <c r="G1047" s="29" t="str">
        <f ca="1">IF(I1047&lt;&gt;Variables!$B$1,IF(C1047&lt;&gt;"",$I$9-E1047-F1047,""),-D1047)</f>
        <v/>
      </c>
      <c r="H1047" s="29" t="str">
        <f t="shared" ca="1" si="91"/>
        <v/>
      </c>
      <c r="I1047" s="31" t="str">
        <f ca="1">IF(C1047&lt;&gt;"",IF(D1047+$I$9-E1047-F1047&gt;=0,IF(ISERROR(INDEX($C$3:$C$6,MATCH(C1047,$C$3:$C$6,0)+1,0)),Variables!$B$1,INDEX($C$3:$C$6,MATCH(C1047,$C$3:$C$6,0)+1,0)),""),"")</f>
        <v/>
      </c>
      <c r="J1047" s="29" t="str">
        <f ca="1">IF(ISERROR(VLOOKUP(I1047,$C$3:$L$6,5,0)),"",IF(OR(VLOOKUP(I1047,$C$3:$L$6,5,0)=Variables!$B$5,B1047&gt;VLOOKUP(I1047,$C$3:$L$6,8,0)),IF(VLOOKUP(I1047,$C$3:$L$6,5,0)=Variables!$B$5,((YEAR(B1047)-YEAR($B$12))*12+MONTH(B1047)-MONTH($B$12)),((YEAR(B1047)-YEAR(VLOOKUP(I1047,$C$3:$L$6,8,0)))*12+MONTH(B1047)-MONTH(VLOOKUP(I1047,$C$3:$L$6,8,0))))*(VLOOKUP(I1047,$C$3:$L$6,10,0)*VLOOKUP(I1047,$C$3:$L$6,6,0)/12),0))</f>
        <v/>
      </c>
      <c r="K1047" s="29" t="str">
        <f ca="1">IF(C1047&lt;&gt;"",IF(I1047&lt;&gt;"",IF(ISERROR(VLOOKUP(I1047,$C$3:$L$6,10,0)),"",VLOOKUP(I1047,$C$3:$L$6,10,0)+J1047+IF(OR(VLOOKUP(I1047,$C$3:$L$6,5,0)=Variables!$B$5,B1047&gt;VLOOKUP(I1047,$C$3:$L$6,8,0)),IF(VLOOKUP(I1047,$C$3:$L$6,5,0)=Variables!$B$5,((YEAR(B1047)-YEAR($B$12))*12+MONTH(B1047)-MONTH($B$12)),((YEAR(B1047)-YEAR(VLOOKUP(I1047,$C$3:$L$6,8,0)))*12+MONTH(B1047)-MONTH(VLOOKUP(I1047,$C$3:$L$6,8,0))))*VLOOKUP(I1047,$C$3:$L$6,7,0),0)),""),"")</f>
        <v/>
      </c>
      <c r="L1047" s="29" t="str">
        <f t="shared" ca="1" si="89"/>
        <v/>
      </c>
      <c r="M1047" s="10"/>
      <c r="N1047" s="10"/>
    </row>
    <row r="1048" spans="1:14" x14ac:dyDescent="0.25">
      <c r="A1048" s="10"/>
      <c r="B1048" s="14" t="str">
        <f t="shared" ca="1" si="90"/>
        <v/>
      </c>
      <c r="C1048" s="14" t="str">
        <f ca="1">IF(I1047&lt;&gt;Variables!$B$1,IF(H1047&lt;&gt;0,C1047,I1047),"")</f>
        <v/>
      </c>
      <c r="D1048" s="29" t="str">
        <f t="shared" ca="1" si="87"/>
        <v/>
      </c>
      <c r="E1048" s="29" t="str">
        <f t="shared" ca="1" si="88"/>
        <v/>
      </c>
      <c r="F1048" s="29" t="str">
        <f ca="1">IF(C1048&lt;&gt;"",IF(OR(VLOOKUP(C1048,$C$3:$L$6,5,0)=Variables!$B$5,B1048&gt;VLOOKUP(C1048,$C$3:$L$6,8,0)),-D1048*VLOOKUP(C1048,$C$3:$L$6,6,0)/12,0),"")</f>
        <v/>
      </c>
      <c r="G1048" s="29" t="str">
        <f ca="1">IF(I1048&lt;&gt;Variables!$B$1,IF(C1048&lt;&gt;"",$I$9-E1048-F1048,""),-D1048)</f>
        <v/>
      </c>
      <c r="H1048" s="29" t="str">
        <f t="shared" ca="1" si="91"/>
        <v/>
      </c>
      <c r="I1048" s="31" t="str">
        <f ca="1">IF(C1048&lt;&gt;"",IF(D1048+$I$9-E1048-F1048&gt;=0,IF(ISERROR(INDEX($C$3:$C$6,MATCH(C1048,$C$3:$C$6,0)+1,0)),Variables!$B$1,INDEX($C$3:$C$6,MATCH(C1048,$C$3:$C$6,0)+1,0)),""),"")</f>
        <v/>
      </c>
      <c r="J1048" s="29" t="str">
        <f ca="1">IF(ISERROR(VLOOKUP(I1048,$C$3:$L$6,5,0)),"",IF(OR(VLOOKUP(I1048,$C$3:$L$6,5,0)=Variables!$B$5,B1048&gt;VLOOKUP(I1048,$C$3:$L$6,8,0)),IF(VLOOKUP(I1048,$C$3:$L$6,5,0)=Variables!$B$5,((YEAR(B1048)-YEAR($B$12))*12+MONTH(B1048)-MONTH($B$12)),((YEAR(B1048)-YEAR(VLOOKUP(I1048,$C$3:$L$6,8,0)))*12+MONTH(B1048)-MONTH(VLOOKUP(I1048,$C$3:$L$6,8,0))))*(VLOOKUP(I1048,$C$3:$L$6,10,0)*VLOOKUP(I1048,$C$3:$L$6,6,0)/12),0))</f>
        <v/>
      </c>
      <c r="K1048" s="29" t="str">
        <f ca="1">IF(C1048&lt;&gt;"",IF(I1048&lt;&gt;"",IF(ISERROR(VLOOKUP(I1048,$C$3:$L$6,10,0)),"",VLOOKUP(I1048,$C$3:$L$6,10,0)+J1048+IF(OR(VLOOKUP(I1048,$C$3:$L$6,5,0)=Variables!$B$5,B1048&gt;VLOOKUP(I1048,$C$3:$L$6,8,0)),IF(VLOOKUP(I1048,$C$3:$L$6,5,0)=Variables!$B$5,((YEAR(B1048)-YEAR($B$12))*12+MONTH(B1048)-MONTH($B$12)),((YEAR(B1048)-YEAR(VLOOKUP(I1048,$C$3:$L$6,8,0)))*12+MONTH(B1048)-MONTH(VLOOKUP(I1048,$C$3:$L$6,8,0))))*VLOOKUP(I1048,$C$3:$L$6,7,0),0)),""),"")</f>
        <v/>
      </c>
      <c r="L1048" s="29" t="str">
        <f t="shared" ca="1" si="89"/>
        <v/>
      </c>
      <c r="M1048" s="10"/>
      <c r="N1048" s="10"/>
    </row>
    <row r="1049" spans="1:14" x14ac:dyDescent="0.25">
      <c r="A1049" s="10"/>
      <c r="B1049" s="14" t="str">
        <f t="shared" ca="1" si="90"/>
        <v/>
      </c>
      <c r="C1049" s="14" t="str">
        <f ca="1">IF(I1048&lt;&gt;Variables!$B$1,IF(H1048&lt;&gt;0,C1048,I1048),"")</f>
        <v/>
      </c>
      <c r="D1049" s="29" t="str">
        <f t="shared" ca="1" si="87"/>
        <v/>
      </c>
      <c r="E1049" s="29" t="str">
        <f t="shared" ca="1" si="88"/>
        <v/>
      </c>
      <c r="F1049" s="29" t="str">
        <f ca="1">IF(C1049&lt;&gt;"",IF(OR(VLOOKUP(C1049,$C$3:$L$6,5,0)=Variables!$B$5,B1049&gt;VLOOKUP(C1049,$C$3:$L$6,8,0)),-D1049*VLOOKUP(C1049,$C$3:$L$6,6,0)/12,0),"")</f>
        <v/>
      </c>
      <c r="G1049" s="29" t="str">
        <f ca="1">IF(I1049&lt;&gt;Variables!$B$1,IF(C1049&lt;&gt;"",$I$9-E1049-F1049,""),-D1049)</f>
        <v/>
      </c>
      <c r="H1049" s="29" t="str">
        <f t="shared" ca="1" si="91"/>
        <v/>
      </c>
      <c r="I1049" s="31" t="str">
        <f ca="1">IF(C1049&lt;&gt;"",IF(D1049+$I$9-E1049-F1049&gt;=0,IF(ISERROR(INDEX($C$3:$C$6,MATCH(C1049,$C$3:$C$6,0)+1,0)),Variables!$B$1,INDEX($C$3:$C$6,MATCH(C1049,$C$3:$C$6,0)+1,0)),""),"")</f>
        <v/>
      </c>
      <c r="J1049" s="29" t="str">
        <f ca="1">IF(ISERROR(VLOOKUP(I1049,$C$3:$L$6,5,0)),"",IF(OR(VLOOKUP(I1049,$C$3:$L$6,5,0)=Variables!$B$5,B1049&gt;VLOOKUP(I1049,$C$3:$L$6,8,0)),IF(VLOOKUP(I1049,$C$3:$L$6,5,0)=Variables!$B$5,((YEAR(B1049)-YEAR($B$12))*12+MONTH(B1049)-MONTH($B$12)),((YEAR(B1049)-YEAR(VLOOKUP(I1049,$C$3:$L$6,8,0)))*12+MONTH(B1049)-MONTH(VLOOKUP(I1049,$C$3:$L$6,8,0))))*(VLOOKUP(I1049,$C$3:$L$6,10,0)*VLOOKUP(I1049,$C$3:$L$6,6,0)/12),0))</f>
        <v/>
      </c>
      <c r="K1049" s="29" t="str">
        <f ca="1">IF(C1049&lt;&gt;"",IF(I1049&lt;&gt;"",IF(ISERROR(VLOOKUP(I1049,$C$3:$L$6,10,0)),"",VLOOKUP(I1049,$C$3:$L$6,10,0)+J1049+IF(OR(VLOOKUP(I1049,$C$3:$L$6,5,0)=Variables!$B$5,B1049&gt;VLOOKUP(I1049,$C$3:$L$6,8,0)),IF(VLOOKUP(I1049,$C$3:$L$6,5,0)=Variables!$B$5,((YEAR(B1049)-YEAR($B$12))*12+MONTH(B1049)-MONTH($B$12)),((YEAR(B1049)-YEAR(VLOOKUP(I1049,$C$3:$L$6,8,0)))*12+MONTH(B1049)-MONTH(VLOOKUP(I1049,$C$3:$L$6,8,0))))*VLOOKUP(I1049,$C$3:$L$6,7,0),0)),""),"")</f>
        <v/>
      </c>
      <c r="L1049" s="29" t="str">
        <f t="shared" ca="1" si="89"/>
        <v/>
      </c>
      <c r="M1049" s="10"/>
      <c r="N1049" s="10"/>
    </row>
    <row r="1050" spans="1:14" x14ac:dyDescent="0.25">
      <c r="A1050" s="10"/>
      <c r="B1050" s="14" t="str">
        <f t="shared" ca="1" si="90"/>
        <v/>
      </c>
      <c r="C1050" s="14" t="str">
        <f ca="1">IF(I1049&lt;&gt;Variables!$B$1,IF(H1049&lt;&gt;0,C1049,I1049),"")</f>
        <v/>
      </c>
      <c r="D1050" s="29" t="str">
        <f t="shared" ca="1" si="87"/>
        <v/>
      </c>
      <c r="E1050" s="29" t="str">
        <f t="shared" ca="1" si="88"/>
        <v/>
      </c>
      <c r="F1050" s="29" t="str">
        <f ca="1">IF(C1050&lt;&gt;"",IF(OR(VLOOKUP(C1050,$C$3:$L$6,5,0)=Variables!$B$5,B1050&gt;VLOOKUP(C1050,$C$3:$L$6,8,0)),-D1050*VLOOKUP(C1050,$C$3:$L$6,6,0)/12,0),"")</f>
        <v/>
      </c>
      <c r="G1050" s="29" t="str">
        <f ca="1">IF(I1050&lt;&gt;Variables!$B$1,IF(C1050&lt;&gt;"",$I$9-E1050-F1050,""),-D1050)</f>
        <v/>
      </c>
      <c r="H1050" s="29" t="str">
        <f t="shared" ca="1" si="91"/>
        <v/>
      </c>
      <c r="I1050" s="31" t="str">
        <f ca="1">IF(C1050&lt;&gt;"",IF(D1050+$I$9-E1050-F1050&gt;=0,IF(ISERROR(INDEX($C$3:$C$6,MATCH(C1050,$C$3:$C$6,0)+1,0)),Variables!$B$1,INDEX($C$3:$C$6,MATCH(C1050,$C$3:$C$6,0)+1,0)),""),"")</f>
        <v/>
      </c>
      <c r="J1050" s="29" t="str">
        <f ca="1">IF(ISERROR(VLOOKUP(I1050,$C$3:$L$6,5,0)),"",IF(OR(VLOOKUP(I1050,$C$3:$L$6,5,0)=Variables!$B$5,B1050&gt;VLOOKUP(I1050,$C$3:$L$6,8,0)),IF(VLOOKUP(I1050,$C$3:$L$6,5,0)=Variables!$B$5,((YEAR(B1050)-YEAR($B$12))*12+MONTH(B1050)-MONTH($B$12)),((YEAR(B1050)-YEAR(VLOOKUP(I1050,$C$3:$L$6,8,0)))*12+MONTH(B1050)-MONTH(VLOOKUP(I1050,$C$3:$L$6,8,0))))*(VLOOKUP(I1050,$C$3:$L$6,10,0)*VLOOKUP(I1050,$C$3:$L$6,6,0)/12),0))</f>
        <v/>
      </c>
      <c r="K1050" s="29" t="str">
        <f ca="1">IF(C1050&lt;&gt;"",IF(I1050&lt;&gt;"",IF(ISERROR(VLOOKUP(I1050,$C$3:$L$6,10,0)),"",VLOOKUP(I1050,$C$3:$L$6,10,0)+J1050+IF(OR(VLOOKUP(I1050,$C$3:$L$6,5,0)=Variables!$B$5,B1050&gt;VLOOKUP(I1050,$C$3:$L$6,8,0)),IF(VLOOKUP(I1050,$C$3:$L$6,5,0)=Variables!$B$5,((YEAR(B1050)-YEAR($B$12))*12+MONTH(B1050)-MONTH($B$12)),((YEAR(B1050)-YEAR(VLOOKUP(I1050,$C$3:$L$6,8,0)))*12+MONTH(B1050)-MONTH(VLOOKUP(I1050,$C$3:$L$6,8,0))))*VLOOKUP(I1050,$C$3:$L$6,7,0),0)),""),"")</f>
        <v/>
      </c>
      <c r="L1050" s="29" t="str">
        <f t="shared" ca="1" si="89"/>
        <v/>
      </c>
      <c r="M1050" s="10"/>
      <c r="N1050" s="10"/>
    </row>
    <row r="1051" spans="1:14" x14ac:dyDescent="0.25">
      <c r="A1051" s="10"/>
      <c r="B1051" s="14" t="str">
        <f t="shared" ca="1" si="90"/>
        <v/>
      </c>
      <c r="C1051" s="14" t="str">
        <f ca="1">IF(I1050&lt;&gt;Variables!$B$1,IF(H1050&lt;&gt;0,C1050,I1050),"")</f>
        <v/>
      </c>
      <c r="D1051" s="29" t="str">
        <f t="shared" ca="1" si="87"/>
        <v/>
      </c>
      <c r="E1051" s="29" t="str">
        <f t="shared" ca="1" si="88"/>
        <v/>
      </c>
      <c r="F1051" s="29" t="str">
        <f ca="1">IF(C1051&lt;&gt;"",IF(OR(VLOOKUP(C1051,$C$3:$L$6,5,0)=Variables!$B$5,B1051&gt;VLOOKUP(C1051,$C$3:$L$6,8,0)),-D1051*VLOOKUP(C1051,$C$3:$L$6,6,0)/12,0),"")</f>
        <v/>
      </c>
      <c r="G1051" s="29" t="str">
        <f ca="1">IF(I1051&lt;&gt;Variables!$B$1,IF(C1051&lt;&gt;"",$I$9-E1051-F1051,""),-D1051)</f>
        <v/>
      </c>
      <c r="H1051" s="29" t="str">
        <f t="shared" ca="1" si="91"/>
        <v/>
      </c>
      <c r="I1051" s="31" t="str">
        <f ca="1">IF(C1051&lt;&gt;"",IF(D1051+$I$9-E1051-F1051&gt;=0,IF(ISERROR(INDEX($C$3:$C$6,MATCH(C1051,$C$3:$C$6,0)+1,0)),Variables!$B$1,INDEX($C$3:$C$6,MATCH(C1051,$C$3:$C$6,0)+1,0)),""),"")</f>
        <v/>
      </c>
      <c r="J1051" s="29" t="str">
        <f ca="1">IF(ISERROR(VLOOKUP(I1051,$C$3:$L$6,5,0)),"",IF(OR(VLOOKUP(I1051,$C$3:$L$6,5,0)=Variables!$B$5,B1051&gt;VLOOKUP(I1051,$C$3:$L$6,8,0)),IF(VLOOKUP(I1051,$C$3:$L$6,5,0)=Variables!$B$5,((YEAR(B1051)-YEAR($B$12))*12+MONTH(B1051)-MONTH($B$12)),((YEAR(B1051)-YEAR(VLOOKUP(I1051,$C$3:$L$6,8,0)))*12+MONTH(B1051)-MONTH(VLOOKUP(I1051,$C$3:$L$6,8,0))))*(VLOOKUP(I1051,$C$3:$L$6,10,0)*VLOOKUP(I1051,$C$3:$L$6,6,0)/12),0))</f>
        <v/>
      </c>
      <c r="K1051" s="29" t="str">
        <f ca="1">IF(C1051&lt;&gt;"",IF(I1051&lt;&gt;"",IF(ISERROR(VLOOKUP(I1051,$C$3:$L$6,10,0)),"",VLOOKUP(I1051,$C$3:$L$6,10,0)+J1051+IF(OR(VLOOKUP(I1051,$C$3:$L$6,5,0)=Variables!$B$5,B1051&gt;VLOOKUP(I1051,$C$3:$L$6,8,0)),IF(VLOOKUP(I1051,$C$3:$L$6,5,0)=Variables!$B$5,((YEAR(B1051)-YEAR($B$12))*12+MONTH(B1051)-MONTH($B$12)),((YEAR(B1051)-YEAR(VLOOKUP(I1051,$C$3:$L$6,8,0)))*12+MONTH(B1051)-MONTH(VLOOKUP(I1051,$C$3:$L$6,8,0))))*VLOOKUP(I1051,$C$3:$L$6,7,0),0)),""),"")</f>
        <v/>
      </c>
      <c r="L1051" s="29" t="str">
        <f t="shared" ca="1" si="89"/>
        <v/>
      </c>
      <c r="M1051" s="10"/>
      <c r="N1051" s="10"/>
    </row>
    <row r="1052" spans="1:14" x14ac:dyDescent="0.25">
      <c r="A1052" s="10"/>
      <c r="B1052" s="14" t="str">
        <f t="shared" ca="1" si="90"/>
        <v/>
      </c>
      <c r="C1052" s="14" t="str">
        <f ca="1">IF(I1051&lt;&gt;Variables!$B$1,IF(H1051&lt;&gt;0,C1051,I1051),"")</f>
        <v/>
      </c>
      <c r="D1052" s="29" t="str">
        <f t="shared" ref="D1052:D1115" ca="1" si="92">IF(C1052&lt;&gt;"",IF(H1051&lt;&gt;0,H1051,L1051),"")</f>
        <v/>
      </c>
      <c r="E1052" s="29" t="str">
        <f t="shared" ref="E1052:E1115" ca="1" si="93">IF(C1052&lt;&gt;"",MINPAYMENT(C1052,ROW(B1052),COLUMN(B1052)),"")</f>
        <v/>
      </c>
      <c r="F1052" s="29" t="str">
        <f ca="1">IF(C1052&lt;&gt;"",IF(OR(VLOOKUP(C1052,$C$3:$L$6,5,0)=Variables!$B$5,B1052&gt;VLOOKUP(C1052,$C$3:$L$6,8,0)),-D1052*VLOOKUP(C1052,$C$3:$L$6,6,0)/12,0),"")</f>
        <v/>
      </c>
      <c r="G1052" s="29" t="str">
        <f ca="1">IF(I1052&lt;&gt;Variables!$B$1,IF(C1052&lt;&gt;"",$I$9-E1052-F1052,""),-D1052)</f>
        <v/>
      </c>
      <c r="H1052" s="29" t="str">
        <f t="shared" ca="1" si="91"/>
        <v/>
      </c>
      <c r="I1052" s="31" t="str">
        <f ca="1">IF(C1052&lt;&gt;"",IF(D1052+$I$9-E1052-F1052&gt;=0,IF(ISERROR(INDEX($C$3:$C$6,MATCH(C1052,$C$3:$C$6,0)+1,0)),Variables!$B$1,INDEX($C$3:$C$6,MATCH(C1052,$C$3:$C$6,0)+1,0)),""),"")</f>
        <v/>
      </c>
      <c r="J1052" s="29" t="str">
        <f ca="1">IF(ISERROR(VLOOKUP(I1052,$C$3:$L$6,5,0)),"",IF(OR(VLOOKUP(I1052,$C$3:$L$6,5,0)=Variables!$B$5,B1052&gt;VLOOKUP(I1052,$C$3:$L$6,8,0)),IF(VLOOKUP(I1052,$C$3:$L$6,5,0)=Variables!$B$5,((YEAR(B1052)-YEAR($B$12))*12+MONTH(B1052)-MONTH($B$12)),((YEAR(B1052)-YEAR(VLOOKUP(I1052,$C$3:$L$6,8,0)))*12+MONTH(B1052)-MONTH(VLOOKUP(I1052,$C$3:$L$6,8,0))))*(VLOOKUP(I1052,$C$3:$L$6,10,0)*VLOOKUP(I1052,$C$3:$L$6,6,0)/12),0))</f>
        <v/>
      </c>
      <c r="K1052" s="29" t="str">
        <f ca="1">IF(C1052&lt;&gt;"",IF(I1052&lt;&gt;"",IF(ISERROR(VLOOKUP(I1052,$C$3:$L$6,10,0)),"",VLOOKUP(I1052,$C$3:$L$6,10,0)+J1052+IF(OR(VLOOKUP(I1052,$C$3:$L$6,5,0)=Variables!$B$5,B1052&gt;VLOOKUP(I1052,$C$3:$L$6,8,0)),IF(VLOOKUP(I1052,$C$3:$L$6,5,0)=Variables!$B$5,((YEAR(B1052)-YEAR($B$12))*12+MONTH(B1052)-MONTH($B$12)),((YEAR(B1052)-YEAR(VLOOKUP(I1052,$C$3:$L$6,8,0)))*12+MONTH(B1052)-MONTH(VLOOKUP(I1052,$C$3:$L$6,8,0))))*VLOOKUP(I1052,$C$3:$L$6,7,0),0)),""),"")</f>
        <v/>
      </c>
      <c r="L1052" s="29" t="str">
        <f t="shared" ref="L1052:L1115" ca="1" si="94">IF(C1052&lt;&gt;"",IF(ISERROR(IF(D1052+G1052&gt;=0,K1052+D1052+G1052,"")),"",IF(D1052+G1052&gt;=0,K1052+D1052+G1052,"")),"")</f>
        <v/>
      </c>
      <c r="M1052" s="10"/>
      <c r="N1052" s="10"/>
    </row>
    <row r="1053" spans="1:14" x14ac:dyDescent="0.25">
      <c r="A1053" s="10"/>
      <c r="B1053" s="14" t="str">
        <f t="shared" ref="B1053:B1116" ca="1" si="95">IF(C1053&lt;&gt;"",DATE(YEAR(B1052),MONTH(B1052)+1,DAY(B1052)),"")</f>
        <v/>
      </c>
      <c r="C1053" s="14" t="str">
        <f ca="1">IF(I1052&lt;&gt;Variables!$B$1,IF(H1052&lt;&gt;0,C1052,I1052),"")</f>
        <v/>
      </c>
      <c r="D1053" s="29" t="str">
        <f t="shared" ca="1" si="92"/>
        <v/>
      </c>
      <c r="E1053" s="29" t="str">
        <f t="shared" ca="1" si="93"/>
        <v/>
      </c>
      <c r="F1053" s="29" t="str">
        <f ca="1">IF(C1053&lt;&gt;"",IF(OR(VLOOKUP(C1053,$C$3:$L$6,5,0)=Variables!$B$5,B1053&gt;VLOOKUP(C1053,$C$3:$L$6,8,0)),-D1053*VLOOKUP(C1053,$C$3:$L$6,6,0)/12,0),"")</f>
        <v/>
      </c>
      <c r="G1053" s="29" t="str">
        <f ca="1">IF(I1053&lt;&gt;Variables!$B$1,IF(C1053&lt;&gt;"",$I$9-E1053-F1053,""),-D1053)</f>
        <v/>
      </c>
      <c r="H1053" s="29" t="str">
        <f t="shared" ref="H1053:H1116" ca="1" si="96">IF(C1053&lt;&gt;"",IF(D1053+G1053&lt;0,D1053+G1053,0),"")</f>
        <v/>
      </c>
      <c r="I1053" s="31" t="str">
        <f ca="1">IF(C1053&lt;&gt;"",IF(D1053+$I$9-E1053-F1053&gt;=0,IF(ISERROR(INDEX($C$3:$C$6,MATCH(C1053,$C$3:$C$6,0)+1,0)),Variables!$B$1,INDEX($C$3:$C$6,MATCH(C1053,$C$3:$C$6,0)+1,0)),""),"")</f>
        <v/>
      </c>
      <c r="J1053" s="29" t="str">
        <f ca="1">IF(ISERROR(VLOOKUP(I1053,$C$3:$L$6,5,0)),"",IF(OR(VLOOKUP(I1053,$C$3:$L$6,5,0)=Variables!$B$5,B1053&gt;VLOOKUP(I1053,$C$3:$L$6,8,0)),IF(VLOOKUP(I1053,$C$3:$L$6,5,0)=Variables!$B$5,((YEAR(B1053)-YEAR($B$12))*12+MONTH(B1053)-MONTH($B$12)),((YEAR(B1053)-YEAR(VLOOKUP(I1053,$C$3:$L$6,8,0)))*12+MONTH(B1053)-MONTH(VLOOKUP(I1053,$C$3:$L$6,8,0))))*(VLOOKUP(I1053,$C$3:$L$6,10,0)*VLOOKUP(I1053,$C$3:$L$6,6,0)/12),0))</f>
        <v/>
      </c>
      <c r="K1053" s="29" t="str">
        <f ca="1">IF(C1053&lt;&gt;"",IF(I1053&lt;&gt;"",IF(ISERROR(VLOOKUP(I1053,$C$3:$L$6,10,0)),"",VLOOKUP(I1053,$C$3:$L$6,10,0)+J1053+IF(OR(VLOOKUP(I1053,$C$3:$L$6,5,0)=Variables!$B$5,B1053&gt;VLOOKUP(I1053,$C$3:$L$6,8,0)),IF(VLOOKUP(I1053,$C$3:$L$6,5,0)=Variables!$B$5,((YEAR(B1053)-YEAR($B$12))*12+MONTH(B1053)-MONTH($B$12)),((YEAR(B1053)-YEAR(VLOOKUP(I1053,$C$3:$L$6,8,0)))*12+MONTH(B1053)-MONTH(VLOOKUP(I1053,$C$3:$L$6,8,0))))*VLOOKUP(I1053,$C$3:$L$6,7,0),0)),""),"")</f>
        <v/>
      </c>
      <c r="L1053" s="29" t="str">
        <f t="shared" ca="1" si="94"/>
        <v/>
      </c>
      <c r="M1053" s="10"/>
      <c r="N1053" s="10"/>
    </row>
    <row r="1054" spans="1:14" x14ac:dyDescent="0.25">
      <c r="A1054" s="10"/>
      <c r="B1054" s="14" t="str">
        <f t="shared" ca="1" si="95"/>
        <v/>
      </c>
      <c r="C1054" s="14" t="str">
        <f ca="1">IF(I1053&lt;&gt;Variables!$B$1,IF(H1053&lt;&gt;0,C1053,I1053),"")</f>
        <v/>
      </c>
      <c r="D1054" s="29" t="str">
        <f t="shared" ca="1" si="92"/>
        <v/>
      </c>
      <c r="E1054" s="29" t="str">
        <f t="shared" ca="1" si="93"/>
        <v/>
      </c>
      <c r="F1054" s="29" t="str">
        <f ca="1">IF(C1054&lt;&gt;"",IF(OR(VLOOKUP(C1054,$C$3:$L$6,5,0)=Variables!$B$5,B1054&gt;VLOOKUP(C1054,$C$3:$L$6,8,0)),-D1054*VLOOKUP(C1054,$C$3:$L$6,6,0)/12,0),"")</f>
        <v/>
      </c>
      <c r="G1054" s="29" t="str">
        <f ca="1">IF(I1054&lt;&gt;Variables!$B$1,IF(C1054&lt;&gt;"",$I$9-E1054-F1054,""),-D1054)</f>
        <v/>
      </c>
      <c r="H1054" s="29" t="str">
        <f t="shared" ca="1" si="96"/>
        <v/>
      </c>
      <c r="I1054" s="31" t="str">
        <f ca="1">IF(C1054&lt;&gt;"",IF(D1054+$I$9-E1054-F1054&gt;=0,IF(ISERROR(INDEX($C$3:$C$6,MATCH(C1054,$C$3:$C$6,0)+1,0)),Variables!$B$1,INDEX($C$3:$C$6,MATCH(C1054,$C$3:$C$6,0)+1,0)),""),"")</f>
        <v/>
      </c>
      <c r="J1054" s="29" t="str">
        <f ca="1">IF(ISERROR(VLOOKUP(I1054,$C$3:$L$6,5,0)),"",IF(OR(VLOOKUP(I1054,$C$3:$L$6,5,0)=Variables!$B$5,B1054&gt;VLOOKUP(I1054,$C$3:$L$6,8,0)),IF(VLOOKUP(I1054,$C$3:$L$6,5,0)=Variables!$B$5,((YEAR(B1054)-YEAR($B$12))*12+MONTH(B1054)-MONTH($B$12)),((YEAR(B1054)-YEAR(VLOOKUP(I1054,$C$3:$L$6,8,0)))*12+MONTH(B1054)-MONTH(VLOOKUP(I1054,$C$3:$L$6,8,0))))*(VLOOKUP(I1054,$C$3:$L$6,10,0)*VLOOKUP(I1054,$C$3:$L$6,6,0)/12),0))</f>
        <v/>
      </c>
      <c r="K1054" s="29" t="str">
        <f ca="1">IF(C1054&lt;&gt;"",IF(I1054&lt;&gt;"",IF(ISERROR(VLOOKUP(I1054,$C$3:$L$6,10,0)),"",VLOOKUP(I1054,$C$3:$L$6,10,0)+J1054+IF(OR(VLOOKUP(I1054,$C$3:$L$6,5,0)=Variables!$B$5,B1054&gt;VLOOKUP(I1054,$C$3:$L$6,8,0)),IF(VLOOKUP(I1054,$C$3:$L$6,5,0)=Variables!$B$5,((YEAR(B1054)-YEAR($B$12))*12+MONTH(B1054)-MONTH($B$12)),((YEAR(B1054)-YEAR(VLOOKUP(I1054,$C$3:$L$6,8,0)))*12+MONTH(B1054)-MONTH(VLOOKUP(I1054,$C$3:$L$6,8,0))))*VLOOKUP(I1054,$C$3:$L$6,7,0),0)),""),"")</f>
        <v/>
      </c>
      <c r="L1054" s="29" t="str">
        <f t="shared" ca="1" si="94"/>
        <v/>
      </c>
      <c r="M1054" s="10"/>
      <c r="N1054" s="10"/>
    </row>
    <row r="1055" spans="1:14" x14ac:dyDescent="0.25">
      <c r="A1055" s="10"/>
      <c r="B1055" s="14" t="str">
        <f t="shared" ca="1" si="95"/>
        <v/>
      </c>
      <c r="C1055" s="14" t="str">
        <f ca="1">IF(I1054&lt;&gt;Variables!$B$1,IF(H1054&lt;&gt;0,C1054,I1054),"")</f>
        <v/>
      </c>
      <c r="D1055" s="29" t="str">
        <f t="shared" ca="1" si="92"/>
        <v/>
      </c>
      <c r="E1055" s="29" t="str">
        <f t="shared" ca="1" si="93"/>
        <v/>
      </c>
      <c r="F1055" s="29" t="str">
        <f ca="1">IF(C1055&lt;&gt;"",IF(OR(VLOOKUP(C1055,$C$3:$L$6,5,0)=Variables!$B$5,B1055&gt;VLOOKUP(C1055,$C$3:$L$6,8,0)),-D1055*VLOOKUP(C1055,$C$3:$L$6,6,0)/12,0),"")</f>
        <v/>
      </c>
      <c r="G1055" s="29" t="str">
        <f ca="1">IF(I1055&lt;&gt;Variables!$B$1,IF(C1055&lt;&gt;"",$I$9-E1055-F1055,""),-D1055)</f>
        <v/>
      </c>
      <c r="H1055" s="29" t="str">
        <f t="shared" ca="1" si="96"/>
        <v/>
      </c>
      <c r="I1055" s="31" t="str">
        <f ca="1">IF(C1055&lt;&gt;"",IF(D1055+$I$9-E1055-F1055&gt;=0,IF(ISERROR(INDEX($C$3:$C$6,MATCH(C1055,$C$3:$C$6,0)+1,0)),Variables!$B$1,INDEX($C$3:$C$6,MATCH(C1055,$C$3:$C$6,0)+1,0)),""),"")</f>
        <v/>
      </c>
      <c r="J1055" s="29" t="str">
        <f ca="1">IF(ISERROR(VLOOKUP(I1055,$C$3:$L$6,5,0)),"",IF(OR(VLOOKUP(I1055,$C$3:$L$6,5,0)=Variables!$B$5,B1055&gt;VLOOKUP(I1055,$C$3:$L$6,8,0)),IF(VLOOKUP(I1055,$C$3:$L$6,5,0)=Variables!$B$5,((YEAR(B1055)-YEAR($B$12))*12+MONTH(B1055)-MONTH($B$12)),((YEAR(B1055)-YEAR(VLOOKUP(I1055,$C$3:$L$6,8,0)))*12+MONTH(B1055)-MONTH(VLOOKUP(I1055,$C$3:$L$6,8,0))))*(VLOOKUP(I1055,$C$3:$L$6,10,0)*VLOOKUP(I1055,$C$3:$L$6,6,0)/12),0))</f>
        <v/>
      </c>
      <c r="K1055" s="29" t="str">
        <f ca="1">IF(C1055&lt;&gt;"",IF(I1055&lt;&gt;"",IF(ISERROR(VLOOKUP(I1055,$C$3:$L$6,10,0)),"",VLOOKUP(I1055,$C$3:$L$6,10,0)+J1055+IF(OR(VLOOKUP(I1055,$C$3:$L$6,5,0)=Variables!$B$5,B1055&gt;VLOOKUP(I1055,$C$3:$L$6,8,0)),IF(VLOOKUP(I1055,$C$3:$L$6,5,0)=Variables!$B$5,((YEAR(B1055)-YEAR($B$12))*12+MONTH(B1055)-MONTH($B$12)),((YEAR(B1055)-YEAR(VLOOKUP(I1055,$C$3:$L$6,8,0)))*12+MONTH(B1055)-MONTH(VLOOKUP(I1055,$C$3:$L$6,8,0))))*VLOOKUP(I1055,$C$3:$L$6,7,0),0)),""),"")</f>
        <v/>
      </c>
      <c r="L1055" s="29" t="str">
        <f t="shared" ca="1" si="94"/>
        <v/>
      </c>
      <c r="M1055" s="10"/>
      <c r="N1055" s="10"/>
    </row>
    <row r="1056" spans="1:14" x14ac:dyDescent="0.25">
      <c r="A1056" s="10"/>
      <c r="B1056" s="14" t="str">
        <f t="shared" ca="1" si="95"/>
        <v/>
      </c>
      <c r="C1056" s="14" t="str">
        <f ca="1">IF(I1055&lt;&gt;Variables!$B$1,IF(H1055&lt;&gt;0,C1055,I1055),"")</f>
        <v/>
      </c>
      <c r="D1056" s="29" t="str">
        <f t="shared" ca="1" si="92"/>
        <v/>
      </c>
      <c r="E1056" s="29" t="str">
        <f t="shared" ca="1" si="93"/>
        <v/>
      </c>
      <c r="F1056" s="29" t="str">
        <f ca="1">IF(C1056&lt;&gt;"",IF(OR(VLOOKUP(C1056,$C$3:$L$6,5,0)=Variables!$B$5,B1056&gt;VLOOKUP(C1056,$C$3:$L$6,8,0)),-D1056*VLOOKUP(C1056,$C$3:$L$6,6,0)/12,0),"")</f>
        <v/>
      </c>
      <c r="G1056" s="29" t="str">
        <f ca="1">IF(I1056&lt;&gt;Variables!$B$1,IF(C1056&lt;&gt;"",$I$9-E1056-F1056,""),-D1056)</f>
        <v/>
      </c>
      <c r="H1056" s="29" t="str">
        <f t="shared" ca="1" si="96"/>
        <v/>
      </c>
      <c r="I1056" s="31" t="str">
        <f ca="1">IF(C1056&lt;&gt;"",IF(D1056+$I$9-E1056-F1056&gt;=0,IF(ISERROR(INDEX($C$3:$C$6,MATCH(C1056,$C$3:$C$6,0)+1,0)),Variables!$B$1,INDEX($C$3:$C$6,MATCH(C1056,$C$3:$C$6,0)+1,0)),""),"")</f>
        <v/>
      </c>
      <c r="J1056" s="29" t="str">
        <f ca="1">IF(ISERROR(VLOOKUP(I1056,$C$3:$L$6,5,0)),"",IF(OR(VLOOKUP(I1056,$C$3:$L$6,5,0)=Variables!$B$5,B1056&gt;VLOOKUP(I1056,$C$3:$L$6,8,0)),IF(VLOOKUP(I1056,$C$3:$L$6,5,0)=Variables!$B$5,((YEAR(B1056)-YEAR($B$12))*12+MONTH(B1056)-MONTH($B$12)),((YEAR(B1056)-YEAR(VLOOKUP(I1056,$C$3:$L$6,8,0)))*12+MONTH(B1056)-MONTH(VLOOKUP(I1056,$C$3:$L$6,8,0))))*(VLOOKUP(I1056,$C$3:$L$6,10,0)*VLOOKUP(I1056,$C$3:$L$6,6,0)/12),0))</f>
        <v/>
      </c>
      <c r="K1056" s="29" t="str">
        <f ca="1">IF(C1056&lt;&gt;"",IF(I1056&lt;&gt;"",IF(ISERROR(VLOOKUP(I1056,$C$3:$L$6,10,0)),"",VLOOKUP(I1056,$C$3:$L$6,10,0)+J1056+IF(OR(VLOOKUP(I1056,$C$3:$L$6,5,0)=Variables!$B$5,B1056&gt;VLOOKUP(I1056,$C$3:$L$6,8,0)),IF(VLOOKUP(I1056,$C$3:$L$6,5,0)=Variables!$B$5,((YEAR(B1056)-YEAR($B$12))*12+MONTH(B1056)-MONTH($B$12)),((YEAR(B1056)-YEAR(VLOOKUP(I1056,$C$3:$L$6,8,0)))*12+MONTH(B1056)-MONTH(VLOOKUP(I1056,$C$3:$L$6,8,0))))*VLOOKUP(I1056,$C$3:$L$6,7,0),0)),""),"")</f>
        <v/>
      </c>
      <c r="L1056" s="29" t="str">
        <f t="shared" ca="1" si="94"/>
        <v/>
      </c>
      <c r="M1056" s="10"/>
      <c r="N1056" s="10"/>
    </row>
    <row r="1057" spans="1:14" x14ac:dyDescent="0.25">
      <c r="A1057" s="10"/>
      <c r="B1057" s="14" t="str">
        <f t="shared" ca="1" si="95"/>
        <v/>
      </c>
      <c r="C1057" s="14" t="str">
        <f ca="1">IF(I1056&lt;&gt;Variables!$B$1,IF(H1056&lt;&gt;0,C1056,I1056),"")</f>
        <v/>
      </c>
      <c r="D1057" s="29" t="str">
        <f t="shared" ca="1" si="92"/>
        <v/>
      </c>
      <c r="E1057" s="29" t="str">
        <f t="shared" ca="1" si="93"/>
        <v/>
      </c>
      <c r="F1057" s="29" t="str">
        <f ca="1">IF(C1057&lt;&gt;"",IF(OR(VLOOKUP(C1057,$C$3:$L$6,5,0)=Variables!$B$5,B1057&gt;VLOOKUP(C1057,$C$3:$L$6,8,0)),-D1057*VLOOKUP(C1057,$C$3:$L$6,6,0)/12,0),"")</f>
        <v/>
      </c>
      <c r="G1057" s="29" t="str">
        <f ca="1">IF(I1057&lt;&gt;Variables!$B$1,IF(C1057&lt;&gt;"",$I$9-E1057-F1057,""),-D1057)</f>
        <v/>
      </c>
      <c r="H1057" s="29" t="str">
        <f t="shared" ca="1" si="96"/>
        <v/>
      </c>
      <c r="I1057" s="31" t="str">
        <f ca="1">IF(C1057&lt;&gt;"",IF(D1057+$I$9-E1057-F1057&gt;=0,IF(ISERROR(INDEX($C$3:$C$6,MATCH(C1057,$C$3:$C$6,0)+1,0)),Variables!$B$1,INDEX($C$3:$C$6,MATCH(C1057,$C$3:$C$6,0)+1,0)),""),"")</f>
        <v/>
      </c>
      <c r="J1057" s="29" t="str">
        <f ca="1">IF(ISERROR(VLOOKUP(I1057,$C$3:$L$6,5,0)),"",IF(OR(VLOOKUP(I1057,$C$3:$L$6,5,0)=Variables!$B$5,B1057&gt;VLOOKUP(I1057,$C$3:$L$6,8,0)),IF(VLOOKUP(I1057,$C$3:$L$6,5,0)=Variables!$B$5,((YEAR(B1057)-YEAR($B$12))*12+MONTH(B1057)-MONTH($B$12)),((YEAR(B1057)-YEAR(VLOOKUP(I1057,$C$3:$L$6,8,0)))*12+MONTH(B1057)-MONTH(VLOOKUP(I1057,$C$3:$L$6,8,0))))*(VLOOKUP(I1057,$C$3:$L$6,10,0)*VLOOKUP(I1057,$C$3:$L$6,6,0)/12),0))</f>
        <v/>
      </c>
      <c r="K1057" s="29" t="str">
        <f ca="1">IF(C1057&lt;&gt;"",IF(I1057&lt;&gt;"",IF(ISERROR(VLOOKUP(I1057,$C$3:$L$6,10,0)),"",VLOOKUP(I1057,$C$3:$L$6,10,0)+J1057+IF(OR(VLOOKUP(I1057,$C$3:$L$6,5,0)=Variables!$B$5,B1057&gt;VLOOKUP(I1057,$C$3:$L$6,8,0)),IF(VLOOKUP(I1057,$C$3:$L$6,5,0)=Variables!$B$5,((YEAR(B1057)-YEAR($B$12))*12+MONTH(B1057)-MONTH($B$12)),((YEAR(B1057)-YEAR(VLOOKUP(I1057,$C$3:$L$6,8,0)))*12+MONTH(B1057)-MONTH(VLOOKUP(I1057,$C$3:$L$6,8,0))))*VLOOKUP(I1057,$C$3:$L$6,7,0),0)),""),"")</f>
        <v/>
      </c>
      <c r="L1057" s="29" t="str">
        <f t="shared" ca="1" si="94"/>
        <v/>
      </c>
      <c r="M1057" s="10"/>
      <c r="N1057" s="10"/>
    </row>
    <row r="1058" spans="1:14" x14ac:dyDescent="0.25">
      <c r="A1058" s="10"/>
      <c r="B1058" s="14" t="str">
        <f t="shared" ca="1" si="95"/>
        <v/>
      </c>
      <c r="C1058" s="14" t="str">
        <f ca="1">IF(I1057&lt;&gt;Variables!$B$1,IF(H1057&lt;&gt;0,C1057,I1057),"")</f>
        <v/>
      </c>
      <c r="D1058" s="29" t="str">
        <f t="shared" ca="1" si="92"/>
        <v/>
      </c>
      <c r="E1058" s="29" t="str">
        <f t="shared" ca="1" si="93"/>
        <v/>
      </c>
      <c r="F1058" s="29" t="str">
        <f ca="1">IF(C1058&lt;&gt;"",IF(OR(VLOOKUP(C1058,$C$3:$L$6,5,0)=Variables!$B$5,B1058&gt;VLOOKUP(C1058,$C$3:$L$6,8,0)),-D1058*VLOOKUP(C1058,$C$3:$L$6,6,0)/12,0),"")</f>
        <v/>
      </c>
      <c r="G1058" s="29" t="str">
        <f ca="1">IF(I1058&lt;&gt;Variables!$B$1,IF(C1058&lt;&gt;"",$I$9-E1058-F1058,""),-D1058)</f>
        <v/>
      </c>
      <c r="H1058" s="29" t="str">
        <f t="shared" ca="1" si="96"/>
        <v/>
      </c>
      <c r="I1058" s="31" t="str">
        <f ca="1">IF(C1058&lt;&gt;"",IF(D1058+$I$9-E1058-F1058&gt;=0,IF(ISERROR(INDEX($C$3:$C$6,MATCH(C1058,$C$3:$C$6,0)+1,0)),Variables!$B$1,INDEX($C$3:$C$6,MATCH(C1058,$C$3:$C$6,0)+1,0)),""),"")</f>
        <v/>
      </c>
      <c r="J1058" s="29" t="str">
        <f ca="1">IF(ISERROR(VLOOKUP(I1058,$C$3:$L$6,5,0)),"",IF(OR(VLOOKUP(I1058,$C$3:$L$6,5,0)=Variables!$B$5,B1058&gt;VLOOKUP(I1058,$C$3:$L$6,8,0)),IF(VLOOKUP(I1058,$C$3:$L$6,5,0)=Variables!$B$5,((YEAR(B1058)-YEAR($B$12))*12+MONTH(B1058)-MONTH($B$12)),((YEAR(B1058)-YEAR(VLOOKUP(I1058,$C$3:$L$6,8,0)))*12+MONTH(B1058)-MONTH(VLOOKUP(I1058,$C$3:$L$6,8,0))))*(VLOOKUP(I1058,$C$3:$L$6,10,0)*VLOOKUP(I1058,$C$3:$L$6,6,0)/12),0))</f>
        <v/>
      </c>
      <c r="K1058" s="29" t="str">
        <f ca="1">IF(C1058&lt;&gt;"",IF(I1058&lt;&gt;"",IF(ISERROR(VLOOKUP(I1058,$C$3:$L$6,10,0)),"",VLOOKUP(I1058,$C$3:$L$6,10,0)+J1058+IF(OR(VLOOKUP(I1058,$C$3:$L$6,5,0)=Variables!$B$5,B1058&gt;VLOOKUP(I1058,$C$3:$L$6,8,0)),IF(VLOOKUP(I1058,$C$3:$L$6,5,0)=Variables!$B$5,((YEAR(B1058)-YEAR($B$12))*12+MONTH(B1058)-MONTH($B$12)),((YEAR(B1058)-YEAR(VLOOKUP(I1058,$C$3:$L$6,8,0)))*12+MONTH(B1058)-MONTH(VLOOKUP(I1058,$C$3:$L$6,8,0))))*VLOOKUP(I1058,$C$3:$L$6,7,0),0)),""),"")</f>
        <v/>
      </c>
      <c r="L1058" s="29" t="str">
        <f t="shared" ca="1" si="94"/>
        <v/>
      </c>
      <c r="M1058" s="10"/>
      <c r="N1058" s="10"/>
    </row>
    <row r="1059" spans="1:14" x14ac:dyDescent="0.25">
      <c r="A1059" s="10"/>
      <c r="B1059" s="14" t="str">
        <f t="shared" ca="1" si="95"/>
        <v/>
      </c>
      <c r="C1059" s="14" t="str">
        <f ca="1">IF(I1058&lt;&gt;Variables!$B$1,IF(H1058&lt;&gt;0,C1058,I1058),"")</f>
        <v/>
      </c>
      <c r="D1059" s="29" t="str">
        <f t="shared" ca="1" si="92"/>
        <v/>
      </c>
      <c r="E1059" s="29" t="str">
        <f t="shared" ca="1" si="93"/>
        <v/>
      </c>
      <c r="F1059" s="29" t="str">
        <f ca="1">IF(C1059&lt;&gt;"",IF(OR(VLOOKUP(C1059,$C$3:$L$6,5,0)=Variables!$B$5,B1059&gt;VLOOKUP(C1059,$C$3:$L$6,8,0)),-D1059*VLOOKUP(C1059,$C$3:$L$6,6,0)/12,0),"")</f>
        <v/>
      </c>
      <c r="G1059" s="29" t="str">
        <f ca="1">IF(I1059&lt;&gt;Variables!$B$1,IF(C1059&lt;&gt;"",$I$9-E1059-F1059,""),-D1059)</f>
        <v/>
      </c>
      <c r="H1059" s="29" t="str">
        <f t="shared" ca="1" si="96"/>
        <v/>
      </c>
      <c r="I1059" s="31" t="str">
        <f ca="1">IF(C1059&lt;&gt;"",IF(D1059+$I$9-E1059-F1059&gt;=0,IF(ISERROR(INDEX($C$3:$C$6,MATCH(C1059,$C$3:$C$6,0)+1,0)),Variables!$B$1,INDEX($C$3:$C$6,MATCH(C1059,$C$3:$C$6,0)+1,0)),""),"")</f>
        <v/>
      </c>
      <c r="J1059" s="29" t="str">
        <f ca="1">IF(ISERROR(VLOOKUP(I1059,$C$3:$L$6,5,0)),"",IF(OR(VLOOKUP(I1059,$C$3:$L$6,5,0)=Variables!$B$5,B1059&gt;VLOOKUP(I1059,$C$3:$L$6,8,0)),IF(VLOOKUP(I1059,$C$3:$L$6,5,0)=Variables!$B$5,((YEAR(B1059)-YEAR($B$12))*12+MONTH(B1059)-MONTH($B$12)),((YEAR(B1059)-YEAR(VLOOKUP(I1059,$C$3:$L$6,8,0)))*12+MONTH(B1059)-MONTH(VLOOKUP(I1059,$C$3:$L$6,8,0))))*(VLOOKUP(I1059,$C$3:$L$6,10,0)*VLOOKUP(I1059,$C$3:$L$6,6,0)/12),0))</f>
        <v/>
      </c>
      <c r="K1059" s="29" t="str">
        <f ca="1">IF(C1059&lt;&gt;"",IF(I1059&lt;&gt;"",IF(ISERROR(VLOOKUP(I1059,$C$3:$L$6,10,0)),"",VLOOKUP(I1059,$C$3:$L$6,10,0)+J1059+IF(OR(VLOOKUP(I1059,$C$3:$L$6,5,0)=Variables!$B$5,B1059&gt;VLOOKUP(I1059,$C$3:$L$6,8,0)),IF(VLOOKUP(I1059,$C$3:$L$6,5,0)=Variables!$B$5,((YEAR(B1059)-YEAR($B$12))*12+MONTH(B1059)-MONTH($B$12)),((YEAR(B1059)-YEAR(VLOOKUP(I1059,$C$3:$L$6,8,0)))*12+MONTH(B1059)-MONTH(VLOOKUP(I1059,$C$3:$L$6,8,0))))*VLOOKUP(I1059,$C$3:$L$6,7,0),0)),""),"")</f>
        <v/>
      </c>
      <c r="L1059" s="29" t="str">
        <f t="shared" ca="1" si="94"/>
        <v/>
      </c>
      <c r="M1059" s="10"/>
      <c r="N1059" s="10"/>
    </row>
    <row r="1060" spans="1:14" x14ac:dyDescent="0.25">
      <c r="A1060" s="10"/>
      <c r="B1060" s="14" t="str">
        <f t="shared" ca="1" si="95"/>
        <v/>
      </c>
      <c r="C1060" s="14" t="str">
        <f ca="1">IF(I1059&lt;&gt;Variables!$B$1,IF(H1059&lt;&gt;0,C1059,I1059),"")</f>
        <v/>
      </c>
      <c r="D1060" s="29" t="str">
        <f t="shared" ca="1" si="92"/>
        <v/>
      </c>
      <c r="E1060" s="29" t="str">
        <f t="shared" ca="1" si="93"/>
        <v/>
      </c>
      <c r="F1060" s="29" t="str">
        <f ca="1">IF(C1060&lt;&gt;"",IF(OR(VLOOKUP(C1060,$C$3:$L$6,5,0)=Variables!$B$5,B1060&gt;VLOOKUP(C1060,$C$3:$L$6,8,0)),-D1060*VLOOKUP(C1060,$C$3:$L$6,6,0)/12,0),"")</f>
        <v/>
      </c>
      <c r="G1060" s="29" t="str">
        <f ca="1">IF(I1060&lt;&gt;Variables!$B$1,IF(C1060&lt;&gt;"",$I$9-E1060-F1060,""),-D1060)</f>
        <v/>
      </c>
      <c r="H1060" s="29" t="str">
        <f t="shared" ca="1" si="96"/>
        <v/>
      </c>
      <c r="I1060" s="31" t="str">
        <f ca="1">IF(C1060&lt;&gt;"",IF(D1060+$I$9-E1060-F1060&gt;=0,IF(ISERROR(INDEX($C$3:$C$6,MATCH(C1060,$C$3:$C$6,0)+1,0)),Variables!$B$1,INDEX($C$3:$C$6,MATCH(C1060,$C$3:$C$6,0)+1,0)),""),"")</f>
        <v/>
      </c>
      <c r="J1060" s="29" t="str">
        <f ca="1">IF(ISERROR(VLOOKUP(I1060,$C$3:$L$6,5,0)),"",IF(OR(VLOOKUP(I1060,$C$3:$L$6,5,0)=Variables!$B$5,B1060&gt;VLOOKUP(I1060,$C$3:$L$6,8,0)),IF(VLOOKUP(I1060,$C$3:$L$6,5,0)=Variables!$B$5,((YEAR(B1060)-YEAR($B$12))*12+MONTH(B1060)-MONTH($B$12)),((YEAR(B1060)-YEAR(VLOOKUP(I1060,$C$3:$L$6,8,0)))*12+MONTH(B1060)-MONTH(VLOOKUP(I1060,$C$3:$L$6,8,0))))*(VLOOKUP(I1060,$C$3:$L$6,10,0)*VLOOKUP(I1060,$C$3:$L$6,6,0)/12),0))</f>
        <v/>
      </c>
      <c r="K1060" s="29" t="str">
        <f ca="1">IF(C1060&lt;&gt;"",IF(I1060&lt;&gt;"",IF(ISERROR(VLOOKUP(I1060,$C$3:$L$6,10,0)),"",VLOOKUP(I1060,$C$3:$L$6,10,0)+J1060+IF(OR(VLOOKUP(I1060,$C$3:$L$6,5,0)=Variables!$B$5,B1060&gt;VLOOKUP(I1060,$C$3:$L$6,8,0)),IF(VLOOKUP(I1060,$C$3:$L$6,5,0)=Variables!$B$5,((YEAR(B1060)-YEAR($B$12))*12+MONTH(B1060)-MONTH($B$12)),((YEAR(B1060)-YEAR(VLOOKUP(I1060,$C$3:$L$6,8,0)))*12+MONTH(B1060)-MONTH(VLOOKUP(I1060,$C$3:$L$6,8,0))))*VLOOKUP(I1060,$C$3:$L$6,7,0),0)),""),"")</f>
        <v/>
      </c>
      <c r="L1060" s="29" t="str">
        <f t="shared" ca="1" si="94"/>
        <v/>
      </c>
      <c r="M1060" s="10"/>
      <c r="N1060" s="10"/>
    </row>
    <row r="1061" spans="1:14" x14ac:dyDescent="0.25">
      <c r="A1061" s="10"/>
      <c r="B1061" s="14" t="str">
        <f t="shared" ca="1" si="95"/>
        <v/>
      </c>
      <c r="C1061" s="14" t="str">
        <f ca="1">IF(I1060&lt;&gt;Variables!$B$1,IF(H1060&lt;&gt;0,C1060,I1060),"")</f>
        <v/>
      </c>
      <c r="D1061" s="29" t="str">
        <f t="shared" ca="1" si="92"/>
        <v/>
      </c>
      <c r="E1061" s="29" t="str">
        <f t="shared" ca="1" si="93"/>
        <v/>
      </c>
      <c r="F1061" s="29" t="str">
        <f ca="1">IF(C1061&lt;&gt;"",IF(OR(VLOOKUP(C1061,$C$3:$L$6,5,0)=Variables!$B$5,B1061&gt;VLOOKUP(C1061,$C$3:$L$6,8,0)),-D1061*VLOOKUP(C1061,$C$3:$L$6,6,0)/12,0),"")</f>
        <v/>
      </c>
      <c r="G1061" s="29" t="str">
        <f ca="1">IF(I1061&lt;&gt;Variables!$B$1,IF(C1061&lt;&gt;"",$I$9-E1061-F1061,""),-D1061)</f>
        <v/>
      </c>
      <c r="H1061" s="29" t="str">
        <f t="shared" ca="1" si="96"/>
        <v/>
      </c>
      <c r="I1061" s="31" t="str">
        <f ca="1">IF(C1061&lt;&gt;"",IF(D1061+$I$9-E1061-F1061&gt;=0,IF(ISERROR(INDEX($C$3:$C$6,MATCH(C1061,$C$3:$C$6,0)+1,0)),Variables!$B$1,INDEX($C$3:$C$6,MATCH(C1061,$C$3:$C$6,0)+1,0)),""),"")</f>
        <v/>
      </c>
      <c r="J1061" s="29" t="str">
        <f ca="1">IF(ISERROR(VLOOKUP(I1061,$C$3:$L$6,5,0)),"",IF(OR(VLOOKUP(I1061,$C$3:$L$6,5,0)=Variables!$B$5,B1061&gt;VLOOKUP(I1061,$C$3:$L$6,8,0)),IF(VLOOKUP(I1061,$C$3:$L$6,5,0)=Variables!$B$5,((YEAR(B1061)-YEAR($B$12))*12+MONTH(B1061)-MONTH($B$12)),((YEAR(B1061)-YEAR(VLOOKUP(I1061,$C$3:$L$6,8,0)))*12+MONTH(B1061)-MONTH(VLOOKUP(I1061,$C$3:$L$6,8,0))))*(VLOOKUP(I1061,$C$3:$L$6,10,0)*VLOOKUP(I1061,$C$3:$L$6,6,0)/12),0))</f>
        <v/>
      </c>
      <c r="K1061" s="29" t="str">
        <f ca="1">IF(C1061&lt;&gt;"",IF(I1061&lt;&gt;"",IF(ISERROR(VLOOKUP(I1061,$C$3:$L$6,10,0)),"",VLOOKUP(I1061,$C$3:$L$6,10,0)+J1061+IF(OR(VLOOKUP(I1061,$C$3:$L$6,5,0)=Variables!$B$5,B1061&gt;VLOOKUP(I1061,$C$3:$L$6,8,0)),IF(VLOOKUP(I1061,$C$3:$L$6,5,0)=Variables!$B$5,((YEAR(B1061)-YEAR($B$12))*12+MONTH(B1061)-MONTH($B$12)),((YEAR(B1061)-YEAR(VLOOKUP(I1061,$C$3:$L$6,8,0)))*12+MONTH(B1061)-MONTH(VLOOKUP(I1061,$C$3:$L$6,8,0))))*VLOOKUP(I1061,$C$3:$L$6,7,0),0)),""),"")</f>
        <v/>
      </c>
      <c r="L1061" s="29" t="str">
        <f t="shared" ca="1" si="94"/>
        <v/>
      </c>
      <c r="M1061" s="10"/>
      <c r="N1061" s="10"/>
    </row>
    <row r="1062" spans="1:14" x14ac:dyDescent="0.25">
      <c r="A1062" s="10"/>
      <c r="B1062" s="14" t="str">
        <f t="shared" ca="1" si="95"/>
        <v/>
      </c>
      <c r="C1062" s="14" t="str">
        <f ca="1">IF(I1061&lt;&gt;Variables!$B$1,IF(H1061&lt;&gt;0,C1061,I1061),"")</f>
        <v/>
      </c>
      <c r="D1062" s="29" t="str">
        <f t="shared" ca="1" si="92"/>
        <v/>
      </c>
      <c r="E1062" s="29" t="str">
        <f t="shared" ca="1" si="93"/>
        <v/>
      </c>
      <c r="F1062" s="29" t="str">
        <f ca="1">IF(C1062&lt;&gt;"",IF(OR(VLOOKUP(C1062,$C$3:$L$6,5,0)=Variables!$B$5,B1062&gt;VLOOKUP(C1062,$C$3:$L$6,8,0)),-D1062*VLOOKUP(C1062,$C$3:$L$6,6,0)/12,0),"")</f>
        <v/>
      </c>
      <c r="G1062" s="29" t="str">
        <f ca="1">IF(I1062&lt;&gt;Variables!$B$1,IF(C1062&lt;&gt;"",$I$9-E1062-F1062,""),-D1062)</f>
        <v/>
      </c>
      <c r="H1062" s="29" t="str">
        <f t="shared" ca="1" si="96"/>
        <v/>
      </c>
      <c r="I1062" s="31" t="str">
        <f ca="1">IF(C1062&lt;&gt;"",IF(D1062+$I$9-E1062-F1062&gt;=0,IF(ISERROR(INDEX($C$3:$C$6,MATCH(C1062,$C$3:$C$6,0)+1,0)),Variables!$B$1,INDEX($C$3:$C$6,MATCH(C1062,$C$3:$C$6,0)+1,0)),""),"")</f>
        <v/>
      </c>
      <c r="J1062" s="29" t="str">
        <f ca="1">IF(ISERROR(VLOOKUP(I1062,$C$3:$L$6,5,0)),"",IF(OR(VLOOKUP(I1062,$C$3:$L$6,5,0)=Variables!$B$5,B1062&gt;VLOOKUP(I1062,$C$3:$L$6,8,0)),IF(VLOOKUP(I1062,$C$3:$L$6,5,0)=Variables!$B$5,((YEAR(B1062)-YEAR($B$12))*12+MONTH(B1062)-MONTH($B$12)),((YEAR(B1062)-YEAR(VLOOKUP(I1062,$C$3:$L$6,8,0)))*12+MONTH(B1062)-MONTH(VLOOKUP(I1062,$C$3:$L$6,8,0))))*(VLOOKUP(I1062,$C$3:$L$6,10,0)*VLOOKUP(I1062,$C$3:$L$6,6,0)/12),0))</f>
        <v/>
      </c>
      <c r="K1062" s="29" t="str">
        <f ca="1">IF(C1062&lt;&gt;"",IF(I1062&lt;&gt;"",IF(ISERROR(VLOOKUP(I1062,$C$3:$L$6,10,0)),"",VLOOKUP(I1062,$C$3:$L$6,10,0)+J1062+IF(OR(VLOOKUP(I1062,$C$3:$L$6,5,0)=Variables!$B$5,B1062&gt;VLOOKUP(I1062,$C$3:$L$6,8,0)),IF(VLOOKUP(I1062,$C$3:$L$6,5,0)=Variables!$B$5,((YEAR(B1062)-YEAR($B$12))*12+MONTH(B1062)-MONTH($B$12)),((YEAR(B1062)-YEAR(VLOOKUP(I1062,$C$3:$L$6,8,0)))*12+MONTH(B1062)-MONTH(VLOOKUP(I1062,$C$3:$L$6,8,0))))*VLOOKUP(I1062,$C$3:$L$6,7,0),0)),""),"")</f>
        <v/>
      </c>
      <c r="L1062" s="29" t="str">
        <f t="shared" ca="1" si="94"/>
        <v/>
      </c>
      <c r="M1062" s="10"/>
      <c r="N1062" s="10"/>
    </row>
    <row r="1063" spans="1:14" x14ac:dyDescent="0.25">
      <c r="A1063" s="10"/>
      <c r="B1063" s="14" t="str">
        <f t="shared" ca="1" si="95"/>
        <v/>
      </c>
      <c r="C1063" s="14" t="str">
        <f ca="1">IF(I1062&lt;&gt;Variables!$B$1,IF(H1062&lt;&gt;0,C1062,I1062),"")</f>
        <v/>
      </c>
      <c r="D1063" s="29" t="str">
        <f t="shared" ca="1" si="92"/>
        <v/>
      </c>
      <c r="E1063" s="29" t="str">
        <f t="shared" ca="1" si="93"/>
        <v/>
      </c>
      <c r="F1063" s="29" t="str">
        <f ca="1">IF(C1063&lt;&gt;"",IF(OR(VLOOKUP(C1063,$C$3:$L$6,5,0)=Variables!$B$5,B1063&gt;VLOOKUP(C1063,$C$3:$L$6,8,0)),-D1063*VLOOKUP(C1063,$C$3:$L$6,6,0)/12,0),"")</f>
        <v/>
      </c>
      <c r="G1063" s="29" t="str">
        <f ca="1">IF(I1063&lt;&gt;Variables!$B$1,IF(C1063&lt;&gt;"",$I$9-E1063-F1063,""),-D1063)</f>
        <v/>
      </c>
      <c r="H1063" s="29" t="str">
        <f t="shared" ca="1" si="96"/>
        <v/>
      </c>
      <c r="I1063" s="31" t="str">
        <f ca="1">IF(C1063&lt;&gt;"",IF(D1063+$I$9-E1063-F1063&gt;=0,IF(ISERROR(INDEX($C$3:$C$6,MATCH(C1063,$C$3:$C$6,0)+1,0)),Variables!$B$1,INDEX($C$3:$C$6,MATCH(C1063,$C$3:$C$6,0)+1,0)),""),"")</f>
        <v/>
      </c>
      <c r="J1063" s="29" t="str">
        <f ca="1">IF(ISERROR(VLOOKUP(I1063,$C$3:$L$6,5,0)),"",IF(OR(VLOOKUP(I1063,$C$3:$L$6,5,0)=Variables!$B$5,B1063&gt;VLOOKUP(I1063,$C$3:$L$6,8,0)),IF(VLOOKUP(I1063,$C$3:$L$6,5,0)=Variables!$B$5,((YEAR(B1063)-YEAR($B$12))*12+MONTH(B1063)-MONTH($B$12)),((YEAR(B1063)-YEAR(VLOOKUP(I1063,$C$3:$L$6,8,0)))*12+MONTH(B1063)-MONTH(VLOOKUP(I1063,$C$3:$L$6,8,0))))*(VLOOKUP(I1063,$C$3:$L$6,10,0)*VLOOKUP(I1063,$C$3:$L$6,6,0)/12),0))</f>
        <v/>
      </c>
      <c r="K1063" s="29" t="str">
        <f ca="1">IF(C1063&lt;&gt;"",IF(I1063&lt;&gt;"",IF(ISERROR(VLOOKUP(I1063,$C$3:$L$6,10,0)),"",VLOOKUP(I1063,$C$3:$L$6,10,0)+J1063+IF(OR(VLOOKUP(I1063,$C$3:$L$6,5,0)=Variables!$B$5,B1063&gt;VLOOKUP(I1063,$C$3:$L$6,8,0)),IF(VLOOKUP(I1063,$C$3:$L$6,5,0)=Variables!$B$5,((YEAR(B1063)-YEAR($B$12))*12+MONTH(B1063)-MONTH($B$12)),((YEAR(B1063)-YEAR(VLOOKUP(I1063,$C$3:$L$6,8,0)))*12+MONTH(B1063)-MONTH(VLOOKUP(I1063,$C$3:$L$6,8,0))))*VLOOKUP(I1063,$C$3:$L$6,7,0),0)),""),"")</f>
        <v/>
      </c>
      <c r="L1063" s="29" t="str">
        <f t="shared" ca="1" si="94"/>
        <v/>
      </c>
      <c r="M1063" s="10"/>
      <c r="N1063" s="10"/>
    </row>
    <row r="1064" spans="1:14" x14ac:dyDescent="0.25">
      <c r="A1064" s="10"/>
      <c r="B1064" s="14" t="str">
        <f t="shared" ca="1" si="95"/>
        <v/>
      </c>
      <c r="C1064" s="14" t="str">
        <f ca="1">IF(I1063&lt;&gt;Variables!$B$1,IF(H1063&lt;&gt;0,C1063,I1063),"")</f>
        <v/>
      </c>
      <c r="D1064" s="29" t="str">
        <f t="shared" ca="1" si="92"/>
        <v/>
      </c>
      <c r="E1064" s="29" t="str">
        <f t="shared" ca="1" si="93"/>
        <v/>
      </c>
      <c r="F1064" s="29" t="str">
        <f ca="1">IF(C1064&lt;&gt;"",IF(OR(VLOOKUP(C1064,$C$3:$L$6,5,0)=Variables!$B$5,B1064&gt;VLOOKUP(C1064,$C$3:$L$6,8,0)),-D1064*VLOOKUP(C1064,$C$3:$L$6,6,0)/12,0),"")</f>
        <v/>
      </c>
      <c r="G1064" s="29" t="str">
        <f ca="1">IF(I1064&lt;&gt;Variables!$B$1,IF(C1064&lt;&gt;"",$I$9-E1064-F1064,""),-D1064)</f>
        <v/>
      </c>
      <c r="H1064" s="29" t="str">
        <f t="shared" ca="1" si="96"/>
        <v/>
      </c>
      <c r="I1064" s="31" t="str">
        <f ca="1">IF(C1064&lt;&gt;"",IF(D1064+$I$9-E1064-F1064&gt;=0,IF(ISERROR(INDEX($C$3:$C$6,MATCH(C1064,$C$3:$C$6,0)+1,0)),Variables!$B$1,INDEX($C$3:$C$6,MATCH(C1064,$C$3:$C$6,0)+1,0)),""),"")</f>
        <v/>
      </c>
      <c r="J1064" s="29" t="str">
        <f ca="1">IF(ISERROR(VLOOKUP(I1064,$C$3:$L$6,5,0)),"",IF(OR(VLOOKUP(I1064,$C$3:$L$6,5,0)=Variables!$B$5,B1064&gt;VLOOKUP(I1064,$C$3:$L$6,8,0)),IF(VLOOKUP(I1064,$C$3:$L$6,5,0)=Variables!$B$5,((YEAR(B1064)-YEAR($B$12))*12+MONTH(B1064)-MONTH($B$12)),((YEAR(B1064)-YEAR(VLOOKUP(I1064,$C$3:$L$6,8,0)))*12+MONTH(B1064)-MONTH(VLOOKUP(I1064,$C$3:$L$6,8,0))))*(VLOOKUP(I1064,$C$3:$L$6,10,0)*VLOOKUP(I1064,$C$3:$L$6,6,0)/12),0))</f>
        <v/>
      </c>
      <c r="K1064" s="29" t="str">
        <f ca="1">IF(C1064&lt;&gt;"",IF(I1064&lt;&gt;"",IF(ISERROR(VLOOKUP(I1064,$C$3:$L$6,10,0)),"",VLOOKUP(I1064,$C$3:$L$6,10,0)+J1064+IF(OR(VLOOKUP(I1064,$C$3:$L$6,5,0)=Variables!$B$5,B1064&gt;VLOOKUP(I1064,$C$3:$L$6,8,0)),IF(VLOOKUP(I1064,$C$3:$L$6,5,0)=Variables!$B$5,((YEAR(B1064)-YEAR($B$12))*12+MONTH(B1064)-MONTH($B$12)),((YEAR(B1064)-YEAR(VLOOKUP(I1064,$C$3:$L$6,8,0)))*12+MONTH(B1064)-MONTH(VLOOKUP(I1064,$C$3:$L$6,8,0))))*VLOOKUP(I1064,$C$3:$L$6,7,0),0)),""),"")</f>
        <v/>
      </c>
      <c r="L1064" s="29" t="str">
        <f t="shared" ca="1" si="94"/>
        <v/>
      </c>
      <c r="M1064" s="10"/>
      <c r="N1064" s="10"/>
    </row>
    <row r="1065" spans="1:14" x14ac:dyDescent="0.25">
      <c r="A1065" s="10"/>
      <c r="B1065" s="14" t="str">
        <f t="shared" ca="1" si="95"/>
        <v/>
      </c>
      <c r="C1065" s="14" t="str">
        <f ca="1">IF(I1064&lt;&gt;Variables!$B$1,IF(H1064&lt;&gt;0,C1064,I1064),"")</f>
        <v/>
      </c>
      <c r="D1065" s="29" t="str">
        <f t="shared" ca="1" si="92"/>
        <v/>
      </c>
      <c r="E1065" s="29" t="str">
        <f t="shared" ca="1" si="93"/>
        <v/>
      </c>
      <c r="F1065" s="29" t="str">
        <f ca="1">IF(C1065&lt;&gt;"",IF(OR(VLOOKUP(C1065,$C$3:$L$6,5,0)=Variables!$B$5,B1065&gt;VLOOKUP(C1065,$C$3:$L$6,8,0)),-D1065*VLOOKUP(C1065,$C$3:$L$6,6,0)/12,0),"")</f>
        <v/>
      </c>
      <c r="G1065" s="29" t="str">
        <f ca="1">IF(I1065&lt;&gt;Variables!$B$1,IF(C1065&lt;&gt;"",$I$9-E1065-F1065,""),-D1065)</f>
        <v/>
      </c>
      <c r="H1065" s="29" t="str">
        <f t="shared" ca="1" si="96"/>
        <v/>
      </c>
      <c r="I1065" s="31" t="str">
        <f ca="1">IF(C1065&lt;&gt;"",IF(D1065+$I$9-E1065-F1065&gt;=0,IF(ISERROR(INDEX($C$3:$C$6,MATCH(C1065,$C$3:$C$6,0)+1,0)),Variables!$B$1,INDEX($C$3:$C$6,MATCH(C1065,$C$3:$C$6,0)+1,0)),""),"")</f>
        <v/>
      </c>
      <c r="J1065" s="29" t="str">
        <f ca="1">IF(ISERROR(VLOOKUP(I1065,$C$3:$L$6,5,0)),"",IF(OR(VLOOKUP(I1065,$C$3:$L$6,5,0)=Variables!$B$5,B1065&gt;VLOOKUP(I1065,$C$3:$L$6,8,0)),IF(VLOOKUP(I1065,$C$3:$L$6,5,0)=Variables!$B$5,((YEAR(B1065)-YEAR($B$12))*12+MONTH(B1065)-MONTH($B$12)),((YEAR(B1065)-YEAR(VLOOKUP(I1065,$C$3:$L$6,8,0)))*12+MONTH(B1065)-MONTH(VLOOKUP(I1065,$C$3:$L$6,8,0))))*(VLOOKUP(I1065,$C$3:$L$6,10,0)*VLOOKUP(I1065,$C$3:$L$6,6,0)/12),0))</f>
        <v/>
      </c>
      <c r="K1065" s="29" t="str">
        <f ca="1">IF(C1065&lt;&gt;"",IF(I1065&lt;&gt;"",IF(ISERROR(VLOOKUP(I1065,$C$3:$L$6,10,0)),"",VLOOKUP(I1065,$C$3:$L$6,10,0)+J1065+IF(OR(VLOOKUP(I1065,$C$3:$L$6,5,0)=Variables!$B$5,B1065&gt;VLOOKUP(I1065,$C$3:$L$6,8,0)),IF(VLOOKUP(I1065,$C$3:$L$6,5,0)=Variables!$B$5,((YEAR(B1065)-YEAR($B$12))*12+MONTH(B1065)-MONTH($B$12)),((YEAR(B1065)-YEAR(VLOOKUP(I1065,$C$3:$L$6,8,0)))*12+MONTH(B1065)-MONTH(VLOOKUP(I1065,$C$3:$L$6,8,0))))*VLOOKUP(I1065,$C$3:$L$6,7,0),0)),""),"")</f>
        <v/>
      </c>
      <c r="L1065" s="29" t="str">
        <f t="shared" ca="1" si="94"/>
        <v/>
      </c>
      <c r="M1065" s="10"/>
      <c r="N1065" s="10"/>
    </row>
    <row r="1066" spans="1:14" x14ac:dyDescent="0.25">
      <c r="A1066" s="10"/>
      <c r="B1066" s="14" t="str">
        <f t="shared" ca="1" si="95"/>
        <v/>
      </c>
      <c r="C1066" s="14" t="str">
        <f ca="1">IF(I1065&lt;&gt;Variables!$B$1,IF(H1065&lt;&gt;0,C1065,I1065),"")</f>
        <v/>
      </c>
      <c r="D1066" s="29" t="str">
        <f t="shared" ca="1" si="92"/>
        <v/>
      </c>
      <c r="E1066" s="29" t="str">
        <f t="shared" ca="1" si="93"/>
        <v/>
      </c>
      <c r="F1066" s="29" t="str">
        <f ca="1">IF(C1066&lt;&gt;"",IF(OR(VLOOKUP(C1066,$C$3:$L$6,5,0)=Variables!$B$5,B1066&gt;VLOOKUP(C1066,$C$3:$L$6,8,0)),-D1066*VLOOKUP(C1066,$C$3:$L$6,6,0)/12,0),"")</f>
        <v/>
      </c>
      <c r="G1066" s="29" t="str">
        <f ca="1">IF(I1066&lt;&gt;Variables!$B$1,IF(C1066&lt;&gt;"",$I$9-E1066-F1066,""),-D1066)</f>
        <v/>
      </c>
      <c r="H1066" s="29" t="str">
        <f t="shared" ca="1" si="96"/>
        <v/>
      </c>
      <c r="I1066" s="31" t="str">
        <f ca="1">IF(C1066&lt;&gt;"",IF(D1066+$I$9-E1066-F1066&gt;=0,IF(ISERROR(INDEX($C$3:$C$6,MATCH(C1066,$C$3:$C$6,0)+1,0)),Variables!$B$1,INDEX($C$3:$C$6,MATCH(C1066,$C$3:$C$6,0)+1,0)),""),"")</f>
        <v/>
      </c>
      <c r="J1066" s="29" t="str">
        <f ca="1">IF(ISERROR(VLOOKUP(I1066,$C$3:$L$6,5,0)),"",IF(OR(VLOOKUP(I1066,$C$3:$L$6,5,0)=Variables!$B$5,B1066&gt;VLOOKUP(I1066,$C$3:$L$6,8,0)),IF(VLOOKUP(I1066,$C$3:$L$6,5,0)=Variables!$B$5,((YEAR(B1066)-YEAR($B$12))*12+MONTH(B1066)-MONTH($B$12)),((YEAR(B1066)-YEAR(VLOOKUP(I1066,$C$3:$L$6,8,0)))*12+MONTH(B1066)-MONTH(VLOOKUP(I1066,$C$3:$L$6,8,0))))*(VLOOKUP(I1066,$C$3:$L$6,10,0)*VLOOKUP(I1066,$C$3:$L$6,6,0)/12),0))</f>
        <v/>
      </c>
      <c r="K1066" s="29" t="str">
        <f ca="1">IF(C1066&lt;&gt;"",IF(I1066&lt;&gt;"",IF(ISERROR(VLOOKUP(I1066,$C$3:$L$6,10,0)),"",VLOOKUP(I1066,$C$3:$L$6,10,0)+J1066+IF(OR(VLOOKUP(I1066,$C$3:$L$6,5,0)=Variables!$B$5,B1066&gt;VLOOKUP(I1066,$C$3:$L$6,8,0)),IF(VLOOKUP(I1066,$C$3:$L$6,5,0)=Variables!$B$5,((YEAR(B1066)-YEAR($B$12))*12+MONTH(B1066)-MONTH($B$12)),((YEAR(B1066)-YEAR(VLOOKUP(I1066,$C$3:$L$6,8,0)))*12+MONTH(B1066)-MONTH(VLOOKUP(I1066,$C$3:$L$6,8,0))))*VLOOKUP(I1066,$C$3:$L$6,7,0),0)),""),"")</f>
        <v/>
      </c>
      <c r="L1066" s="29" t="str">
        <f t="shared" ca="1" si="94"/>
        <v/>
      </c>
      <c r="M1066" s="10"/>
      <c r="N1066" s="10"/>
    </row>
    <row r="1067" spans="1:14" x14ac:dyDescent="0.25">
      <c r="A1067" s="10"/>
      <c r="B1067" s="14" t="str">
        <f t="shared" ca="1" si="95"/>
        <v/>
      </c>
      <c r="C1067" s="14" t="str">
        <f ca="1">IF(I1066&lt;&gt;Variables!$B$1,IF(H1066&lt;&gt;0,C1066,I1066),"")</f>
        <v/>
      </c>
      <c r="D1067" s="29" t="str">
        <f t="shared" ca="1" si="92"/>
        <v/>
      </c>
      <c r="E1067" s="29" t="str">
        <f t="shared" ca="1" si="93"/>
        <v/>
      </c>
      <c r="F1067" s="29" t="str">
        <f ca="1">IF(C1067&lt;&gt;"",IF(OR(VLOOKUP(C1067,$C$3:$L$6,5,0)=Variables!$B$5,B1067&gt;VLOOKUP(C1067,$C$3:$L$6,8,0)),-D1067*VLOOKUP(C1067,$C$3:$L$6,6,0)/12,0),"")</f>
        <v/>
      </c>
      <c r="G1067" s="29" t="str">
        <f ca="1">IF(I1067&lt;&gt;Variables!$B$1,IF(C1067&lt;&gt;"",$I$9-E1067-F1067,""),-D1067)</f>
        <v/>
      </c>
      <c r="H1067" s="29" t="str">
        <f t="shared" ca="1" si="96"/>
        <v/>
      </c>
      <c r="I1067" s="31" t="str">
        <f ca="1">IF(C1067&lt;&gt;"",IF(D1067+$I$9-E1067-F1067&gt;=0,IF(ISERROR(INDEX($C$3:$C$6,MATCH(C1067,$C$3:$C$6,0)+1,0)),Variables!$B$1,INDEX($C$3:$C$6,MATCH(C1067,$C$3:$C$6,0)+1,0)),""),"")</f>
        <v/>
      </c>
      <c r="J1067" s="29" t="str">
        <f ca="1">IF(ISERROR(VLOOKUP(I1067,$C$3:$L$6,5,0)),"",IF(OR(VLOOKUP(I1067,$C$3:$L$6,5,0)=Variables!$B$5,B1067&gt;VLOOKUP(I1067,$C$3:$L$6,8,0)),IF(VLOOKUP(I1067,$C$3:$L$6,5,0)=Variables!$B$5,((YEAR(B1067)-YEAR($B$12))*12+MONTH(B1067)-MONTH($B$12)),((YEAR(B1067)-YEAR(VLOOKUP(I1067,$C$3:$L$6,8,0)))*12+MONTH(B1067)-MONTH(VLOOKUP(I1067,$C$3:$L$6,8,0))))*(VLOOKUP(I1067,$C$3:$L$6,10,0)*VLOOKUP(I1067,$C$3:$L$6,6,0)/12),0))</f>
        <v/>
      </c>
      <c r="K1067" s="29" t="str">
        <f ca="1">IF(C1067&lt;&gt;"",IF(I1067&lt;&gt;"",IF(ISERROR(VLOOKUP(I1067,$C$3:$L$6,10,0)),"",VLOOKUP(I1067,$C$3:$L$6,10,0)+J1067+IF(OR(VLOOKUP(I1067,$C$3:$L$6,5,0)=Variables!$B$5,B1067&gt;VLOOKUP(I1067,$C$3:$L$6,8,0)),IF(VLOOKUP(I1067,$C$3:$L$6,5,0)=Variables!$B$5,((YEAR(B1067)-YEAR($B$12))*12+MONTH(B1067)-MONTH($B$12)),((YEAR(B1067)-YEAR(VLOOKUP(I1067,$C$3:$L$6,8,0)))*12+MONTH(B1067)-MONTH(VLOOKUP(I1067,$C$3:$L$6,8,0))))*VLOOKUP(I1067,$C$3:$L$6,7,0),0)),""),"")</f>
        <v/>
      </c>
      <c r="L1067" s="29" t="str">
        <f t="shared" ca="1" si="94"/>
        <v/>
      </c>
      <c r="M1067" s="10"/>
      <c r="N1067" s="10"/>
    </row>
    <row r="1068" spans="1:14" x14ac:dyDescent="0.25">
      <c r="A1068" s="10"/>
      <c r="B1068" s="14" t="str">
        <f t="shared" ca="1" si="95"/>
        <v/>
      </c>
      <c r="C1068" s="14" t="str">
        <f ca="1">IF(I1067&lt;&gt;Variables!$B$1,IF(H1067&lt;&gt;0,C1067,I1067),"")</f>
        <v/>
      </c>
      <c r="D1068" s="29" t="str">
        <f t="shared" ca="1" si="92"/>
        <v/>
      </c>
      <c r="E1068" s="29" t="str">
        <f t="shared" ca="1" si="93"/>
        <v/>
      </c>
      <c r="F1068" s="29" t="str">
        <f ca="1">IF(C1068&lt;&gt;"",IF(OR(VLOOKUP(C1068,$C$3:$L$6,5,0)=Variables!$B$5,B1068&gt;VLOOKUP(C1068,$C$3:$L$6,8,0)),-D1068*VLOOKUP(C1068,$C$3:$L$6,6,0)/12,0),"")</f>
        <v/>
      </c>
      <c r="G1068" s="29" t="str">
        <f ca="1">IF(I1068&lt;&gt;Variables!$B$1,IF(C1068&lt;&gt;"",$I$9-E1068-F1068,""),-D1068)</f>
        <v/>
      </c>
      <c r="H1068" s="29" t="str">
        <f t="shared" ca="1" si="96"/>
        <v/>
      </c>
      <c r="I1068" s="31" t="str">
        <f ca="1">IF(C1068&lt;&gt;"",IF(D1068+$I$9-E1068-F1068&gt;=0,IF(ISERROR(INDEX($C$3:$C$6,MATCH(C1068,$C$3:$C$6,0)+1,0)),Variables!$B$1,INDEX($C$3:$C$6,MATCH(C1068,$C$3:$C$6,0)+1,0)),""),"")</f>
        <v/>
      </c>
      <c r="J1068" s="29" t="str">
        <f ca="1">IF(ISERROR(VLOOKUP(I1068,$C$3:$L$6,5,0)),"",IF(OR(VLOOKUP(I1068,$C$3:$L$6,5,0)=Variables!$B$5,B1068&gt;VLOOKUP(I1068,$C$3:$L$6,8,0)),IF(VLOOKUP(I1068,$C$3:$L$6,5,0)=Variables!$B$5,((YEAR(B1068)-YEAR($B$12))*12+MONTH(B1068)-MONTH($B$12)),((YEAR(B1068)-YEAR(VLOOKUP(I1068,$C$3:$L$6,8,0)))*12+MONTH(B1068)-MONTH(VLOOKUP(I1068,$C$3:$L$6,8,0))))*(VLOOKUP(I1068,$C$3:$L$6,10,0)*VLOOKUP(I1068,$C$3:$L$6,6,0)/12),0))</f>
        <v/>
      </c>
      <c r="K1068" s="29" t="str">
        <f ca="1">IF(C1068&lt;&gt;"",IF(I1068&lt;&gt;"",IF(ISERROR(VLOOKUP(I1068,$C$3:$L$6,10,0)),"",VLOOKUP(I1068,$C$3:$L$6,10,0)+J1068+IF(OR(VLOOKUP(I1068,$C$3:$L$6,5,0)=Variables!$B$5,B1068&gt;VLOOKUP(I1068,$C$3:$L$6,8,0)),IF(VLOOKUP(I1068,$C$3:$L$6,5,0)=Variables!$B$5,((YEAR(B1068)-YEAR($B$12))*12+MONTH(B1068)-MONTH($B$12)),((YEAR(B1068)-YEAR(VLOOKUP(I1068,$C$3:$L$6,8,0)))*12+MONTH(B1068)-MONTH(VLOOKUP(I1068,$C$3:$L$6,8,0))))*VLOOKUP(I1068,$C$3:$L$6,7,0),0)),""),"")</f>
        <v/>
      </c>
      <c r="L1068" s="29" t="str">
        <f t="shared" ca="1" si="94"/>
        <v/>
      </c>
      <c r="M1068" s="10"/>
      <c r="N1068" s="10"/>
    </row>
    <row r="1069" spans="1:14" x14ac:dyDescent="0.25">
      <c r="A1069" s="10"/>
      <c r="B1069" s="14" t="str">
        <f t="shared" ca="1" si="95"/>
        <v/>
      </c>
      <c r="C1069" s="14" t="str">
        <f ca="1">IF(I1068&lt;&gt;Variables!$B$1,IF(H1068&lt;&gt;0,C1068,I1068),"")</f>
        <v/>
      </c>
      <c r="D1069" s="29" t="str">
        <f t="shared" ca="1" si="92"/>
        <v/>
      </c>
      <c r="E1069" s="29" t="str">
        <f t="shared" ca="1" si="93"/>
        <v/>
      </c>
      <c r="F1069" s="29" t="str">
        <f ca="1">IF(C1069&lt;&gt;"",IF(OR(VLOOKUP(C1069,$C$3:$L$6,5,0)=Variables!$B$5,B1069&gt;VLOOKUP(C1069,$C$3:$L$6,8,0)),-D1069*VLOOKUP(C1069,$C$3:$L$6,6,0)/12,0),"")</f>
        <v/>
      </c>
      <c r="G1069" s="29" t="str">
        <f ca="1">IF(I1069&lt;&gt;Variables!$B$1,IF(C1069&lt;&gt;"",$I$9-E1069-F1069,""),-D1069)</f>
        <v/>
      </c>
      <c r="H1069" s="29" t="str">
        <f t="shared" ca="1" si="96"/>
        <v/>
      </c>
      <c r="I1069" s="31" t="str">
        <f ca="1">IF(C1069&lt;&gt;"",IF(D1069+$I$9-E1069-F1069&gt;=0,IF(ISERROR(INDEX($C$3:$C$6,MATCH(C1069,$C$3:$C$6,0)+1,0)),Variables!$B$1,INDEX($C$3:$C$6,MATCH(C1069,$C$3:$C$6,0)+1,0)),""),"")</f>
        <v/>
      </c>
      <c r="J1069" s="29" t="str">
        <f ca="1">IF(ISERROR(VLOOKUP(I1069,$C$3:$L$6,5,0)),"",IF(OR(VLOOKUP(I1069,$C$3:$L$6,5,0)=Variables!$B$5,B1069&gt;VLOOKUP(I1069,$C$3:$L$6,8,0)),IF(VLOOKUP(I1069,$C$3:$L$6,5,0)=Variables!$B$5,((YEAR(B1069)-YEAR($B$12))*12+MONTH(B1069)-MONTH($B$12)),((YEAR(B1069)-YEAR(VLOOKUP(I1069,$C$3:$L$6,8,0)))*12+MONTH(B1069)-MONTH(VLOOKUP(I1069,$C$3:$L$6,8,0))))*(VLOOKUP(I1069,$C$3:$L$6,10,0)*VLOOKUP(I1069,$C$3:$L$6,6,0)/12),0))</f>
        <v/>
      </c>
      <c r="K1069" s="29" t="str">
        <f ca="1">IF(C1069&lt;&gt;"",IF(I1069&lt;&gt;"",IF(ISERROR(VLOOKUP(I1069,$C$3:$L$6,10,0)),"",VLOOKUP(I1069,$C$3:$L$6,10,0)+J1069+IF(OR(VLOOKUP(I1069,$C$3:$L$6,5,0)=Variables!$B$5,B1069&gt;VLOOKUP(I1069,$C$3:$L$6,8,0)),IF(VLOOKUP(I1069,$C$3:$L$6,5,0)=Variables!$B$5,((YEAR(B1069)-YEAR($B$12))*12+MONTH(B1069)-MONTH($B$12)),((YEAR(B1069)-YEAR(VLOOKUP(I1069,$C$3:$L$6,8,0)))*12+MONTH(B1069)-MONTH(VLOOKUP(I1069,$C$3:$L$6,8,0))))*VLOOKUP(I1069,$C$3:$L$6,7,0),0)),""),"")</f>
        <v/>
      </c>
      <c r="L1069" s="29" t="str">
        <f t="shared" ca="1" si="94"/>
        <v/>
      </c>
      <c r="M1069" s="10"/>
      <c r="N1069" s="10"/>
    </row>
    <row r="1070" spans="1:14" x14ac:dyDescent="0.25">
      <c r="A1070" s="10"/>
      <c r="B1070" s="14" t="str">
        <f t="shared" ca="1" si="95"/>
        <v/>
      </c>
      <c r="C1070" s="14" t="str">
        <f ca="1">IF(I1069&lt;&gt;Variables!$B$1,IF(H1069&lt;&gt;0,C1069,I1069),"")</f>
        <v/>
      </c>
      <c r="D1070" s="29" t="str">
        <f t="shared" ca="1" si="92"/>
        <v/>
      </c>
      <c r="E1070" s="29" t="str">
        <f t="shared" ca="1" si="93"/>
        <v/>
      </c>
      <c r="F1070" s="29" t="str">
        <f ca="1">IF(C1070&lt;&gt;"",IF(OR(VLOOKUP(C1070,$C$3:$L$6,5,0)=Variables!$B$5,B1070&gt;VLOOKUP(C1070,$C$3:$L$6,8,0)),-D1070*VLOOKUP(C1070,$C$3:$L$6,6,0)/12,0),"")</f>
        <v/>
      </c>
      <c r="G1070" s="29" t="str">
        <f ca="1">IF(I1070&lt;&gt;Variables!$B$1,IF(C1070&lt;&gt;"",$I$9-E1070-F1070,""),-D1070)</f>
        <v/>
      </c>
      <c r="H1070" s="29" t="str">
        <f t="shared" ca="1" si="96"/>
        <v/>
      </c>
      <c r="I1070" s="31" t="str">
        <f ca="1">IF(C1070&lt;&gt;"",IF(D1070+$I$9-E1070-F1070&gt;=0,IF(ISERROR(INDEX($C$3:$C$6,MATCH(C1070,$C$3:$C$6,0)+1,0)),Variables!$B$1,INDEX($C$3:$C$6,MATCH(C1070,$C$3:$C$6,0)+1,0)),""),"")</f>
        <v/>
      </c>
      <c r="J1070" s="29" t="str">
        <f ca="1">IF(ISERROR(VLOOKUP(I1070,$C$3:$L$6,5,0)),"",IF(OR(VLOOKUP(I1070,$C$3:$L$6,5,0)=Variables!$B$5,B1070&gt;VLOOKUP(I1070,$C$3:$L$6,8,0)),IF(VLOOKUP(I1070,$C$3:$L$6,5,0)=Variables!$B$5,((YEAR(B1070)-YEAR($B$12))*12+MONTH(B1070)-MONTH($B$12)),((YEAR(B1070)-YEAR(VLOOKUP(I1070,$C$3:$L$6,8,0)))*12+MONTH(B1070)-MONTH(VLOOKUP(I1070,$C$3:$L$6,8,0))))*(VLOOKUP(I1070,$C$3:$L$6,10,0)*VLOOKUP(I1070,$C$3:$L$6,6,0)/12),0))</f>
        <v/>
      </c>
      <c r="K1070" s="29" t="str">
        <f ca="1">IF(C1070&lt;&gt;"",IF(I1070&lt;&gt;"",IF(ISERROR(VLOOKUP(I1070,$C$3:$L$6,10,0)),"",VLOOKUP(I1070,$C$3:$L$6,10,0)+J1070+IF(OR(VLOOKUP(I1070,$C$3:$L$6,5,0)=Variables!$B$5,B1070&gt;VLOOKUP(I1070,$C$3:$L$6,8,0)),IF(VLOOKUP(I1070,$C$3:$L$6,5,0)=Variables!$B$5,((YEAR(B1070)-YEAR($B$12))*12+MONTH(B1070)-MONTH($B$12)),((YEAR(B1070)-YEAR(VLOOKUP(I1070,$C$3:$L$6,8,0)))*12+MONTH(B1070)-MONTH(VLOOKUP(I1070,$C$3:$L$6,8,0))))*VLOOKUP(I1070,$C$3:$L$6,7,0),0)),""),"")</f>
        <v/>
      </c>
      <c r="L1070" s="29" t="str">
        <f t="shared" ca="1" si="94"/>
        <v/>
      </c>
      <c r="M1070" s="10"/>
      <c r="N1070" s="10"/>
    </row>
    <row r="1071" spans="1:14" x14ac:dyDescent="0.25">
      <c r="A1071" s="10"/>
      <c r="B1071" s="14" t="str">
        <f t="shared" ca="1" si="95"/>
        <v/>
      </c>
      <c r="C1071" s="14" t="str">
        <f ca="1">IF(I1070&lt;&gt;Variables!$B$1,IF(H1070&lt;&gt;0,C1070,I1070),"")</f>
        <v/>
      </c>
      <c r="D1071" s="29" t="str">
        <f t="shared" ca="1" si="92"/>
        <v/>
      </c>
      <c r="E1071" s="29" t="str">
        <f t="shared" ca="1" si="93"/>
        <v/>
      </c>
      <c r="F1071" s="29" t="str">
        <f ca="1">IF(C1071&lt;&gt;"",IF(OR(VLOOKUP(C1071,$C$3:$L$6,5,0)=Variables!$B$5,B1071&gt;VLOOKUP(C1071,$C$3:$L$6,8,0)),-D1071*VLOOKUP(C1071,$C$3:$L$6,6,0)/12,0),"")</f>
        <v/>
      </c>
      <c r="G1071" s="29" t="str">
        <f ca="1">IF(I1071&lt;&gt;Variables!$B$1,IF(C1071&lt;&gt;"",$I$9-E1071-F1071,""),-D1071)</f>
        <v/>
      </c>
      <c r="H1071" s="29" t="str">
        <f t="shared" ca="1" si="96"/>
        <v/>
      </c>
      <c r="I1071" s="31" t="str">
        <f ca="1">IF(C1071&lt;&gt;"",IF(D1071+$I$9-E1071-F1071&gt;=0,IF(ISERROR(INDEX($C$3:$C$6,MATCH(C1071,$C$3:$C$6,0)+1,0)),Variables!$B$1,INDEX($C$3:$C$6,MATCH(C1071,$C$3:$C$6,0)+1,0)),""),"")</f>
        <v/>
      </c>
      <c r="J1071" s="29" t="str">
        <f ca="1">IF(ISERROR(VLOOKUP(I1071,$C$3:$L$6,5,0)),"",IF(OR(VLOOKUP(I1071,$C$3:$L$6,5,0)=Variables!$B$5,B1071&gt;VLOOKUP(I1071,$C$3:$L$6,8,0)),IF(VLOOKUP(I1071,$C$3:$L$6,5,0)=Variables!$B$5,((YEAR(B1071)-YEAR($B$12))*12+MONTH(B1071)-MONTH($B$12)),((YEAR(B1071)-YEAR(VLOOKUP(I1071,$C$3:$L$6,8,0)))*12+MONTH(B1071)-MONTH(VLOOKUP(I1071,$C$3:$L$6,8,0))))*(VLOOKUP(I1071,$C$3:$L$6,10,0)*VLOOKUP(I1071,$C$3:$L$6,6,0)/12),0))</f>
        <v/>
      </c>
      <c r="K1071" s="29" t="str">
        <f ca="1">IF(C1071&lt;&gt;"",IF(I1071&lt;&gt;"",IF(ISERROR(VLOOKUP(I1071,$C$3:$L$6,10,0)),"",VLOOKUP(I1071,$C$3:$L$6,10,0)+J1071+IF(OR(VLOOKUP(I1071,$C$3:$L$6,5,0)=Variables!$B$5,B1071&gt;VLOOKUP(I1071,$C$3:$L$6,8,0)),IF(VLOOKUP(I1071,$C$3:$L$6,5,0)=Variables!$B$5,((YEAR(B1071)-YEAR($B$12))*12+MONTH(B1071)-MONTH($B$12)),((YEAR(B1071)-YEAR(VLOOKUP(I1071,$C$3:$L$6,8,0)))*12+MONTH(B1071)-MONTH(VLOOKUP(I1071,$C$3:$L$6,8,0))))*VLOOKUP(I1071,$C$3:$L$6,7,0),0)),""),"")</f>
        <v/>
      </c>
      <c r="L1071" s="29" t="str">
        <f t="shared" ca="1" si="94"/>
        <v/>
      </c>
      <c r="M1071" s="10"/>
      <c r="N1071" s="10"/>
    </row>
    <row r="1072" spans="1:14" x14ac:dyDescent="0.25">
      <c r="A1072" s="10"/>
      <c r="B1072" s="14" t="str">
        <f t="shared" ca="1" si="95"/>
        <v/>
      </c>
      <c r="C1072" s="14" t="str">
        <f ca="1">IF(I1071&lt;&gt;Variables!$B$1,IF(H1071&lt;&gt;0,C1071,I1071),"")</f>
        <v/>
      </c>
      <c r="D1072" s="29" t="str">
        <f t="shared" ca="1" si="92"/>
        <v/>
      </c>
      <c r="E1072" s="29" t="str">
        <f t="shared" ca="1" si="93"/>
        <v/>
      </c>
      <c r="F1072" s="29" t="str">
        <f ca="1">IF(C1072&lt;&gt;"",IF(OR(VLOOKUP(C1072,$C$3:$L$6,5,0)=Variables!$B$5,B1072&gt;VLOOKUP(C1072,$C$3:$L$6,8,0)),-D1072*VLOOKUP(C1072,$C$3:$L$6,6,0)/12,0),"")</f>
        <v/>
      </c>
      <c r="G1072" s="29" t="str">
        <f ca="1">IF(I1072&lt;&gt;Variables!$B$1,IF(C1072&lt;&gt;"",$I$9-E1072-F1072,""),-D1072)</f>
        <v/>
      </c>
      <c r="H1072" s="29" t="str">
        <f t="shared" ca="1" si="96"/>
        <v/>
      </c>
      <c r="I1072" s="31" t="str">
        <f ca="1">IF(C1072&lt;&gt;"",IF(D1072+$I$9-E1072-F1072&gt;=0,IF(ISERROR(INDEX($C$3:$C$6,MATCH(C1072,$C$3:$C$6,0)+1,0)),Variables!$B$1,INDEX($C$3:$C$6,MATCH(C1072,$C$3:$C$6,0)+1,0)),""),"")</f>
        <v/>
      </c>
      <c r="J1072" s="29" t="str">
        <f ca="1">IF(ISERROR(VLOOKUP(I1072,$C$3:$L$6,5,0)),"",IF(OR(VLOOKUP(I1072,$C$3:$L$6,5,0)=Variables!$B$5,B1072&gt;VLOOKUP(I1072,$C$3:$L$6,8,0)),IF(VLOOKUP(I1072,$C$3:$L$6,5,0)=Variables!$B$5,((YEAR(B1072)-YEAR($B$12))*12+MONTH(B1072)-MONTH($B$12)),((YEAR(B1072)-YEAR(VLOOKUP(I1072,$C$3:$L$6,8,0)))*12+MONTH(B1072)-MONTH(VLOOKUP(I1072,$C$3:$L$6,8,0))))*(VLOOKUP(I1072,$C$3:$L$6,10,0)*VLOOKUP(I1072,$C$3:$L$6,6,0)/12),0))</f>
        <v/>
      </c>
      <c r="K1072" s="29" t="str">
        <f ca="1">IF(C1072&lt;&gt;"",IF(I1072&lt;&gt;"",IF(ISERROR(VLOOKUP(I1072,$C$3:$L$6,10,0)),"",VLOOKUP(I1072,$C$3:$L$6,10,0)+J1072+IF(OR(VLOOKUP(I1072,$C$3:$L$6,5,0)=Variables!$B$5,B1072&gt;VLOOKUP(I1072,$C$3:$L$6,8,0)),IF(VLOOKUP(I1072,$C$3:$L$6,5,0)=Variables!$B$5,((YEAR(B1072)-YEAR($B$12))*12+MONTH(B1072)-MONTH($B$12)),((YEAR(B1072)-YEAR(VLOOKUP(I1072,$C$3:$L$6,8,0)))*12+MONTH(B1072)-MONTH(VLOOKUP(I1072,$C$3:$L$6,8,0))))*VLOOKUP(I1072,$C$3:$L$6,7,0),0)),""),"")</f>
        <v/>
      </c>
      <c r="L1072" s="29" t="str">
        <f t="shared" ca="1" si="94"/>
        <v/>
      </c>
      <c r="M1072" s="10"/>
      <c r="N1072" s="10"/>
    </row>
    <row r="1073" spans="1:14" x14ac:dyDescent="0.25">
      <c r="A1073" s="10"/>
      <c r="B1073" s="14" t="str">
        <f t="shared" ca="1" si="95"/>
        <v/>
      </c>
      <c r="C1073" s="14" t="str">
        <f ca="1">IF(I1072&lt;&gt;Variables!$B$1,IF(H1072&lt;&gt;0,C1072,I1072),"")</f>
        <v/>
      </c>
      <c r="D1073" s="29" t="str">
        <f t="shared" ca="1" si="92"/>
        <v/>
      </c>
      <c r="E1073" s="29" t="str">
        <f t="shared" ca="1" si="93"/>
        <v/>
      </c>
      <c r="F1073" s="29" t="str">
        <f ca="1">IF(C1073&lt;&gt;"",IF(OR(VLOOKUP(C1073,$C$3:$L$6,5,0)=Variables!$B$5,B1073&gt;VLOOKUP(C1073,$C$3:$L$6,8,0)),-D1073*VLOOKUP(C1073,$C$3:$L$6,6,0)/12,0),"")</f>
        <v/>
      </c>
      <c r="G1073" s="29" t="str">
        <f ca="1">IF(I1073&lt;&gt;Variables!$B$1,IF(C1073&lt;&gt;"",$I$9-E1073-F1073,""),-D1073)</f>
        <v/>
      </c>
      <c r="H1073" s="29" t="str">
        <f t="shared" ca="1" si="96"/>
        <v/>
      </c>
      <c r="I1073" s="31" t="str">
        <f ca="1">IF(C1073&lt;&gt;"",IF(D1073+$I$9-E1073-F1073&gt;=0,IF(ISERROR(INDEX($C$3:$C$6,MATCH(C1073,$C$3:$C$6,0)+1,0)),Variables!$B$1,INDEX($C$3:$C$6,MATCH(C1073,$C$3:$C$6,0)+1,0)),""),"")</f>
        <v/>
      </c>
      <c r="J1073" s="29" t="str">
        <f ca="1">IF(ISERROR(VLOOKUP(I1073,$C$3:$L$6,5,0)),"",IF(OR(VLOOKUP(I1073,$C$3:$L$6,5,0)=Variables!$B$5,B1073&gt;VLOOKUP(I1073,$C$3:$L$6,8,0)),IF(VLOOKUP(I1073,$C$3:$L$6,5,0)=Variables!$B$5,((YEAR(B1073)-YEAR($B$12))*12+MONTH(B1073)-MONTH($B$12)),((YEAR(B1073)-YEAR(VLOOKUP(I1073,$C$3:$L$6,8,0)))*12+MONTH(B1073)-MONTH(VLOOKUP(I1073,$C$3:$L$6,8,0))))*(VLOOKUP(I1073,$C$3:$L$6,10,0)*VLOOKUP(I1073,$C$3:$L$6,6,0)/12),0))</f>
        <v/>
      </c>
      <c r="K1073" s="29" t="str">
        <f ca="1">IF(C1073&lt;&gt;"",IF(I1073&lt;&gt;"",IF(ISERROR(VLOOKUP(I1073,$C$3:$L$6,10,0)),"",VLOOKUP(I1073,$C$3:$L$6,10,0)+J1073+IF(OR(VLOOKUP(I1073,$C$3:$L$6,5,0)=Variables!$B$5,B1073&gt;VLOOKUP(I1073,$C$3:$L$6,8,0)),IF(VLOOKUP(I1073,$C$3:$L$6,5,0)=Variables!$B$5,((YEAR(B1073)-YEAR($B$12))*12+MONTH(B1073)-MONTH($B$12)),((YEAR(B1073)-YEAR(VLOOKUP(I1073,$C$3:$L$6,8,0)))*12+MONTH(B1073)-MONTH(VLOOKUP(I1073,$C$3:$L$6,8,0))))*VLOOKUP(I1073,$C$3:$L$6,7,0),0)),""),"")</f>
        <v/>
      </c>
      <c r="L1073" s="29" t="str">
        <f t="shared" ca="1" si="94"/>
        <v/>
      </c>
      <c r="M1073" s="10"/>
      <c r="N1073" s="10"/>
    </row>
    <row r="1074" spans="1:14" x14ac:dyDescent="0.25">
      <c r="A1074" s="10"/>
      <c r="B1074" s="14" t="str">
        <f t="shared" ca="1" si="95"/>
        <v/>
      </c>
      <c r="C1074" s="14" t="str">
        <f ca="1">IF(I1073&lt;&gt;Variables!$B$1,IF(H1073&lt;&gt;0,C1073,I1073),"")</f>
        <v/>
      </c>
      <c r="D1074" s="29" t="str">
        <f t="shared" ca="1" si="92"/>
        <v/>
      </c>
      <c r="E1074" s="29" t="str">
        <f t="shared" ca="1" si="93"/>
        <v/>
      </c>
      <c r="F1074" s="29" t="str">
        <f ca="1">IF(C1074&lt;&gt;"",IF(OR(VLOOKUP(C1074,$C$3:$L$6,5,0)=Variables!$B$5,B1074&gt;VLOOKUP(C1074,$C$3:$L$6,8,0)),-D1074*VLOOKUP(C1074,$C$3:$L$6,6,0)/12,0),"")</f>
        <v/>
      </c>
      <c r="G1074" s="29" t="str">
        <f ca="1">IF(I1074&lt;&gt;Variables!$B$1,IF(C1074&lt;&gt;"",$I$9-E1074-F1074,""),-D1074)</f>
        <v/>
      </c>
      <c r="H1074" s="29" t="str">
        <f t="shared" ca="1" si="96"/>
        <v/>
      </c>
      <c r="I1074" s="31" t="str">
        <f ca="1">IF(C1074&lt;&gt;"",IF(D1074+$I$9-E1074-F1074&gt;=0,IF(ISERROR(INDEX($C$3:$C$6,MATCH(C1074,$C$3:$C$6,0)+1,0)),Variables!$B$1,INDEX($C$3:$C$6,MATCH(C1074,$C$3:$C$6,0)+1,0)),""),"")</f>
        <v/>
      </c>
      <c r="J1074" s="29" t="str">
        <f ca="1">IF(ISERROR(VLOOKUP(I1074,$C$3:$L$6,5,0)),"",IF(OR(VLOOKUP(I1074,$C$3:$L$6,5,0)=Variables!$B$5,B1074&gt;VLOOKUP(I1074,$C$3:$L$6,8,0)),IF(VLOOKUP(I1074,$C$3:$L$6,5,0)=Variables!$B$5,((YEAR(B1074)-YEAR($B$12))*12+MONTH(B1074)-MONTH($B$12)),((YEAR(B1074)-YEAR(VLOOKUP(I1074,$C$3:$L$6,8,0)))*12+MONTH(B1074)-MONTH(VLOOKUP(I1074,$C$3:$L$6,8,0))))*(VLOOKUP(I1074,$C$3:$L$6,10,0)*VLOOKUP(I1074,$C$3:$L$6,6,0)/12),0))</f>
        <v/>
      </c>
      <c r="K1074" s="29" t="str">
        <f ca="1">IF(C1074&lt;&gt;"",IF(I1074&lt;&gt;"",IF(ISERROR(VLOOKUP(I1074,$C$3:$L$6,10,0)),"",VLOOKUP(I1074,$C$3:$L$6,10,0)+J1074+IF(OR(VLOOKUP(I1074,$C$3:$L$6,5,0)=Variables!$B$5,B1074&gt;VLOOKUP(I1074,$C$3:$L$6,8,0)),IF(VLOOKUP(I1074,$C$3:$L$6,5,0)=Variables!$B$5,((YEAR(B1074)-YEAR($B$12))*12+MONTH(B1074)-MONTH($B$12)),((YEAR(B1074)-YEAR(VLOOKUP(I1074,$C$3:$L$6,8,0)))*12+MONTH(B1074)-MONTH(VLOOKUP(I1074,$C$3:$L$6,8,0))))*VLOOKUP(I1074,$C$3:$L$6,7,0),0)),""),"")</f>
        <v/>
      </c>
      <c r="L1074" s="29" t="str">
        <f t="shared" ca="1" si="94"/>
        <v/>
      </c>
      <c r="M1074" s="10"/>
      <c r="N1074" s="10"/>
    </row>
    <row r="1075" spans="1:14" x14ac:dyDescent="0.25">
      <c r="A1075" s="10"/>
      <c r="B1075" s="14" t="str">
        <f t="shared" ca="1" si="95"/>
        <v/>
      </c>
      <c r="C1075" s="14" t="str">
        <f ca="1">IF(I1074&lt;&gt;Variables!$B$1,IF(H1074&lt;&gt;0,C1074,I1074),"")</f>
        <v/>
      </c>
      <c r="D1075" s="29" t="str">
        <f t="shared" ca="1" si="92"/>
        <v/>
      </c>
      <c r="E1075" s="29" t="str">
        <f t="shared" ca="1" si="93"/>
        <v/>
      </c>
      <c r="F1075" s="29" t="str">
        <f ca="1">IF(C1075&lt;&gt;"",IF(OR(VLOOKUP(C1075,$C$3:$L$6,5,0)=Variables!$B$5,B1075&gt;VLOOKUP(C1075,$C$3:$L$6,8,0)),-D1075*VLOOKUP(C1075,$C$3:$L$6,6,0)/12,0),"")</f>
        <v/>
      </c>
      <c r="G1075" s="29" t="str">
        <f ca="1">IF(I1075&lt;&gt;Variables!$B$1,IF(C1075&lt;&gt;"",$I$9-E1075-F1075,""),-D1075)</f>
        <v/>
      </c>
      <c r="H1075" s="29" t="str">
        <f t="shared" ca="1" si="96"/>
        <v/>
      </c>
      <c r="I1075" s="31" t="str">
        <f ca="1">IF(C1075&lt;&gt;"",IF(D1075+$I$9-E1075-F1075&gt;=0,IF(ISERROR(INDEX($C$3:$C$6,MATCH(C1075,$C$3:$C$6,0)+1,0)),Variables!$B$1,INDEX($C$3:$C$6,MATCH(C1075,$C$3:$C$6,0)+1,0)),""),"")</f>
        <v/>
      </c>
      <c r="J1075" s="29" t="str">
        <f ca="1">IF(ISERROR(VLOOKUP(I1075,$C$3:$L$6,5,0)),"",IF(OR(VLOOKUP(I1075,$C$3:$L$6,5,0)=Variables!$B$5,B1075&gt;VLOOKUP(I1075,$C$3:$L$6,8,0)),IF(VLOOKUP(I1075,$C$3:$L$6,5,0)=Variables!$B$5,((YEAR(B1075)-YEAR($B$12))*12+MONTH(B1075)-MONTH($B$12)),((YEAR(B1075)-YEAR(VLOOKUP(I1075,$C$3:$L$6,8,0)))*12+MONTH(B1075)-MONTH(VLOOKUP(I1075,$C$3:$L$6,8,0))))*(VLOOKUP(I1075,$C$3:$L$6,10,0)*VLOOKUP(I1075,$C$3:$L$6,6,0)/12),0))</f>
        <v/>
      </c>
      <c r="K1075" s="29" t="str">
        <f ca="1">IF(C1075&lt;&gt;"",IF(I1075&lt;&gt;"",IF(ISERROR(VLOOKUP(I1075,$C$3:$L$6,10,0)),"",VLOOKUP(I1075,$C$3:$L$6,10,0)+J1075+IF(OR(VLOOKUP(I1075,$C$3:$L$6,5,0)=Variables!$B$5,B1075&gt;VLOOKUP(I1075,$C$3:$L$6,8,0)),IF(VLOOKUP(I1075,$C$3:$L$6,5,0)=Variables!$B$5,((YEAR(B1075)-YEAR($B$12))*12+MONTH(B1075)-MONTH($B$12)),((YEAR(B1075)-YEAR(VLOOKUP(I1075,$C$3:$L$6,8,0)))*12+MONTH(B1075)-MONTH(VLOOKUP(I1075,$C$3:$L$6,8,0))))*VLOOKUP(I1075,$C$3:$L$6,7,0),0)),""),"")</f>
        <v/>
      </c>
      <c r="L1075" s="29" t="str">
        <f t="shared" ca="1" si="94"/>
        <v/>
      </c>
      <c r="M1075" s="10"/>
      <c r="N1075" s="10"/>
    </row>
    <row r="1076" spans="1:14" x14ac:dyDescent="0.25">
      <c r="A1076" s="10"/>
      <c r="B1076" s="14" t="str">
        <f t="shared" ca="1" si="95"/>
        <v/>
      </c>
      <c r="C1076" s="14" t="str">
        <f ca="1">IF(I1075&lt;&gt;Variables!$B$1,IF(H1075&lt;&gt;0,C1075,I1075),"")</f>
        <v/>
      </c>
      <c r="D1076" s="29" t="str">
        <f t="shared" ca="1" si="92"/>
        <v/>
      </c>
      <c r="E1076" s="29" t="str">
        <f t="shared" ca="1" si="93"/>
        <v/>
      </c>
      <c r="F1076" s="29" t="str">
        <f ca="1">IF(C1076&lt;&gt;"",IF(OR(VLOOKUP(C1076,$C$3:$L$6,5,0)=Variables!$B$5,B1076&gt;VLOOKUP(C1076,$C$3:$L$6,8,0)),-D1076*VLOOKUP(C1076,$C$3:$L$6,6,0)/12,0),"")</f>
        <v/>
      </c>
      <c r="G1076" s="29" t="str">
        <f ca="1">IF(I1076&lt;&gt;Variables!$B$1,IF(C1076&lt;&gt;"",$I$9-E1076-F1076,""),-D1076)</f>
        <v/>
      </c>
      <c r="H1076" s="29" t="str">
        <f t="shared" ca="1" si="96"/>
        <v/>
      </c>
      <c r="I1076" s="31" t="str">
        <f ca="1">IF(C1076&lt;&gt;"",IF(D1076+$I$9-E1076-F1076&gt;=0,IF(ISERROR(INDEX($C$3:$C$6,MATCH(C1076,$C$3:$C$6,0)+1,0)),Variables!$B$1,INDEX($C$3:$C$6,MATCH(C1076,$C$3:$C$6,0)+1,0)),""),"")</f>
        <v/>
      </c>
      <c r="J1076" s="29" t="str">
        <f ca="1">IF(ISERROR(VLOOKUP(I1076,$C$3:$L$6,5,0)),"",IF(OR(VLOOKUP(I1076,$C$3:$L$6,5,0)=Variables!$B$5,B1076&gt;VLOOKUP(I1076,$C$3:$L$6,8,0)),IF(VLOOKUP(I1076,$C$3:$L$6,5,0)=Variables!$B$5,((YEAR(B1076)-YEAR($B$12))*12+MONTH(B1076)-MONTH($B$12)),((YEAR(B1076)-YEAR(VLOOKUP(I1076,$C$3:$L$6,8,0)))*12+MONTH(B1076)-MONTH(VLOOKUP(I1076,$C$3:$L$6,8,0))))*(VLOOKUP(I1076,$C$3:$L$6,10,0)*VLOOKUP(I1076,$C$3:$L$6,6,0)/12),0))</f>
        <v/>
      </c>
      <c r="K1076" s="29" t="str">
        <f ca="1">IF(C1076&lt;&gt;"",IF(I1076&lt;&gt;"",IF(ISERROR(VLOOKUP(I1076,$C$3:$L$6,10,0)),"",VLOOKUP(I1076,$C$3:$L$6,10,0)+J1076+IF(OR(VLOOKUP(I1076,$C$3:$L$6,5,0)=Variables!$B$5,B1076&gt;VLOOKUP(I1076,$C$3:$L$6,8,0)),IF(VLOOKUP(I1076,$C$3:$L$6,5,0)=Variables!$B$5,((YEAR(B1076)-YEAR($B$12))*12+MONTH(B1076)-MONTH($B$12)),((YEAR(B1076)-YEAR(VLOOKUP(I1076,$C$3:$L$6,8,0)))*12+MONTH(B1076)-MONTH(VLOOKUP(I1076,$C$3:$L$6,8,0))))*VLOOKUP(I1076,$C$3:$L$6,7,0),0)),""),"")</f>
        <v/>
      </c>
      <c r="L1076" s="29" t="str">
        <f t="shared" ca="1" si="94"/>
        <v/>
      </c>
      <c r="M1076" s="10"/>
      <c r="N1076" s="10"/>
    </row>
    <row r="1077" spans="1:14" x14ac:dyDescent="0.25">
      <c r="A1077" s="10"/>
      <c r="B1077" s="14" t="str">
        <f t="shared" ca="1" si="95"/>
        <v/>
      </c>
      <c r="C1077" s="14" t="str">
        <f ca="1">IF(I1076&lt;&gt;Variables!$B$1,IF(H1076&lt;&gt;0,C1076,I1076),"")</f>
        <v/>
      </c>
      <c r="D1077" s="29" t="str">
        <f t="shared" ca="1" si="92"/>
        <v/>
      </c>
      <c r="E1077" s="29" t="str">
        <f t="shared" ca="1" si="93"/>
        <v/>
      </c>
      <c r="F1077" s="29" t="str">
        <f ca="1">IF(C1077&lt;&gt;"",IF(OR(VLOOKUP(C1077,$C$3:$L$6,5,0)=Variables!$B$5,B1077&gt;VLOOKUP(C1077,$C$3:$L$6,8,0)),-D1077*VLOOKUP(C1077,$C$3:$L$6,6,0)/12,0),"")</f>
        <v/>
      </c>
      <c r="G1077" s="29" t="str">
        <f ca="1">IF(I1077&lt;&gt;Variables!$B$1,IF(C1077&lt;&gt;"",$I$9-E1077-F1077,""),-D1077)</f>
        <v/>
      </c>
      <c r="H1077" s="29" t="str">
        <f t="shared" ca="1" si="96"/>
        <v/>
      </c>
      <c r="I1077" s="31" t="str">
        <f ca="1">IF(C1077&lt;&gt;"",IF(D1077+$I$9-E1077-F1077&gt;=0,IF(ISERROR(INDEX($C$3:$C$6,MATCH(C1077,$C$3:$C$6,0)+1,0)),Variables!$B$1,INDEX($C$3:$C$6,MATCH(C1077,$C$3:$C$6,0)+1,0)),""),"")</f>
        <v/>
      </c>
      <c r="J1077" s="29" t="str">
        <f ca="1">IF(ISERROR(VLOOKUP(I1077,$C$3:$L$6,5,0)),"",IF(OR(VLOOKUP(I1077,$C$3:$L$6,5,0)=Variables!$B$5,B1077&gt;VLOOKUP(I1077,$C$3:$L$6,8,0)),IF(VLOOKUP(I1077,$C$3:$L$6,5,0)=Variables!$B$5,((YEAR(B1077)-YEAR($B$12))*12+MONTH(B1077)-MONTH($B$12)),((YEAR(B1077)-YEAR(VLOOKUP(I1077,$C$3:$L$6,8,0)))*12+MONTH(B1077)-MONTH(VLOOKUP(I1077,$C$3:$L$6,8,0))))*(VLOOKUP(I1077,$C$3:$L$6,10,0)*VLOOKUP(I1077,$C$3:$L$6,6,0)/12),0))</f>
        <v/>
      </c>
      <c r="K1077" s="29" t="str">
        <f ca="1">IF(C1077&lt;&gt;"",IF(I1077&lt;&gt;"",IF(ISERROR(VLOOKUP(I1077,$C$3:$L$6,10,0)),"",VLOOKUP(I1077,$C$3:$L$6,10,0)+J1077+IF(OR(VLOOKUP(I1077,$C$3:$L$6,5,0)=Variables!$B$5,B1077&gt;VLOOKUP(I1077,$C$3:$L$6,8,0)),IF(VLOOKUP(I1077,$C$3:$L$6,5,0)=Variables!$B$5,((YEAR(B1077)-YEAR($B$12))*12+MONTH(B1077)-MONTH($B$12)),((YEAR(B1077)-YEAR(VLOOKUP(I1077,$C$3:$L$6,8,0)))*12+MONTH(B1077)-MONTH(VLOOKUP(I1077,$C$3:$L$6,8,0))))*VLOOKUP(I1077,$C$3:$L$6,7,0),0)),""),"")</f>
        <v/>
      </c>
      <c r="L1077" s="29" t="str">
        <f t="shared" ca="1" si="94"/>
        <v/>
      </c>
      <c r="M1077" s="10"/>
      <c r="N1077" s="10"/>
    </row>
    <row r="1078" spans="1:14" x14ac:dyDescent="0.25">
      <c r="A1078" s="10"/>
      <c r="B1078" s="14" t="str">
        <f t="shared" ca="1" si="95"/>
        <v/>
      </c>
      <c r="C1078" s="14" t="str">
        <f ca="1">IF(I1077&lt;&gt;Variables!$B$1,IF(H1077&lt;&gt;0,C1077,I1077),"")</f>
        <v/>
      </c>
      <c r="D1078" s="29" t="str">
        <f t="shared" ca="1" si="92"/>
        <v/>
      </c>
      <c r="E1078" s="29" t="str">
        <f t="shared" ca="1" si="93"/>
        <v/>
      </c>
      <c r="F1078" s="29" t="str">
        <f ca="1">IF(C1078&lt;&gt;"",IF(OR(VLOOKUP(C1078,$C$3:$L$6,5,0)=Variables!$B$5,B1078&gt;VLOOKUP(C1078,$C$3:$L$6,8,0)),-D1078*VLOOKUP(C1078,$C$3:$L$6,6,0)/12,0),"")</f>
        <v/>
      </c>
      <c r="G1078" s="29" t="str">
        <f ca="1">IF(I1078&lt;&gt;Variables!$B$1,IF(C1078&lt;&gt;"",$I$9-E1078-F1078,""),-D1078)</f>
        <v/>
      </c>
      <c r="H1078" s="29" t="str">
        <f t="shared" ca="1" si="96"/>
        <v/>
      </c>
      <c r="I1078" s="31" t="str">
        <f ca="1">IF(C1078&lt;&gt;"",IF(D1078+$I$9-E1078-F1078&gt;=0,IF(ISERROR(INDEX($C$3:$C$6,MATCH(C1078,$C$3:$C$6,0)+1,0)),Variables!$B$1,INDEX($C$3:$C$6,MATCH(C1078,$C$3:$C$6,0)+1,0)),""),"")</f>
        <v/>
      </c>
      <c r="J1078" s="29" t="str">
        <f ca="1">IF(ISERROR(VLOOKUP(I1078,$C$3:$L$6,5,0)),"",IF(OR(VLOOKUP(I1078,$C$3:$L$6,5,0)=Variables!$B$5,B1078&gt;VLOOKUP(I1078,$C$3:$L$6,8,0)),IF(VLOOKUP(I1078,$C$3:$L$6,5,0)=Variables!$B$5,((YEAR(B1078)-YEAR($B$12))*12+MONTH(B1078)-MONTH($B$12)),((YEAR(B1078)-YEAR(VLOOKUP(I1078,$C$3:$L$6,8,0)))*12+MONTH(B1078)-MONTH(VLOOKUP(I1078,$C$3:$L$6,8,0))))*(VLOOKUP(I1078,$C$3:$L$6,10,0)*VLOOKUP(I1078,$C$3:$L$6,6,0)/12),0))</f>
        <v/>
      </c>
      <c r="K1078" s="29" t="str">
        <f ca="1">IF(C1078&lt;&gt;"",IF(I1078&lt;&gt;"",IF(ISERROR(VLOOKUP(I1078,$C$3:$L$6,10,0)),"",VLOOKUP(I1078,$C$3:$L$6,10,0)+J1078+IF(OR(VLOOKUP(I1078,$C$3:$L$6,5,0)=Variables!$B$5,B1078&gt;VLOOKUP(I1078,$C$3:$L$6,8,0)),IF(VLOOKUP(I1078,$C$3:$L$6,5,0)=Variables!$B$5,((YEAR(B1078)-YEAR($B$12))*12+MONTH(B1078)-MONTH($B$12)),((YEAR(B1078)-YEAR(VLOOKUP(I1078,$C$3:$L$6,8,0)))*12+MONTH(B1078)-MONTH(VLOOKUP(I1078,$C$3:$L$6,8,0))))*VLOOKUP(I1078,$C$3:$L$6,7,0),0)),""),"")</f>
        <v/>
      </c>
      <c r="L1078" s="29" t="str">
        <f t="shared" ca="1" si="94"/>
        <v/>
      </c>
      <c r="M1078" s="10"/>
      <c r="N1078" s="10"/>
    </row>
    <row r="1079" spans="1:14" x14ac:dyDescent="0.25">
      <c r="A1079" s="10"/>
      <c r="B1079" s="14" t="str">
        <f t="shared" ca="1" si="95"/>
        <v/>
      </c>
      <c r="C1079" s="14" t="str">
        <f ca="1">IF(I1078&lt;&gt;Variables!$B$1,IF(H1078&lt;&gt;0,C1078,I1078),"")</f>
        <v/>
      </c>
      <c r="D1079" s="29" t="str">
        <f t="shared" ca="1" si="92"/>
        <v/>
      </c>
      <c r="E1079" s="29" t="str">
        <f t="shared" ca="1" si="93"/>
        <v/>
      </c>
      <c r="F1079" s="29" t="str">
        <f ca="1">IF(C1079&lt;&gt;"",IF(OR(VLOOKUP(C1079,$C$3:$L$6,5,0)=Variables!$B$5,B1079&gt;VLOOKUP(C1079,$C$3:$L$6,8,0)),-D1079*VLOOKUP(C1079,$C$3:$L$6,6,0)/12,0),"")</f>
        <v/>
      </c>
      <c r="G1079" s="29" t="str">
        <f ca="1">IF(I1079&lt;&gt;Variables!$B$1,IF(C1079&lt;&gt;"",$I$9-E1079-F1079,""),-D1079)</f>
        <v/>
      </c>
      <c r="H1079" s="29" t="str">
        <f t="shared" ca="1" si="96"/>
        <v/>
      </c>
      <c r="I1079" s="31" t="str">
        <f ca="1">IF(C1079&lt;&gt;"",IF(D1079+$I$9-E1079-F1079&gt;=0,IF(ISERROR(INDEX($C$3:$C$6,MATCH(C1079,$C$3:$C$6,0)+1,0)),Variables!$B$1,INDEX($C$3:$C$6,MATCH(C1079,$C$3:$C$6,0)+1,0)),""),"")</f>
        <v/>
      </c>
      <c r="J1079" s="29" t="str">
        <f ca="1">IF(ISERROR(VLOOKUP(I1079,$C$3:$L$6,5,0)),"",IF(OR(VLOOKUP(I1079,$C$3:$L$6,5,0)=Variables!$B$5,B1079&gt;VLOOKUP(I1079,$C$3:$L$6,8,0)),IF(VLOOKUP(I1079,$C$3:$L$6,5,0)=Variables!$B$5,((YEAR(B1079)-YEAR($B$12))*12+MONTH(B1079)-MONTH($B$12)),((YEAR(B1079)-YEAR(VLOOKUP(I1079,$C$3:$L$6,8,0)))*12+MONTH(B1079)-MONTH(VLOOKUP(I1079,$C$3:$L$6,8,0))))*(VLOOKUP(I1079,$C$3:$L$6,10,0)*VLOOKUP(I1079,$C$3:$L$6,6,0)/12),0))</f>
        <v/>
      </c>
      <c r="K1079" s="29" t="str">
        <f ca="1">IF(C1079&lt;&gt;"",IF(I1079&lt;&gt;"",IF(ISERROR(VLOOKUP(I1079,$C$3:$L$6,10,0)),"",VLOOKUP(I1079,$C$3:$L$6,10,0)+J1079+IF(OR(VLOOKUP(I1079,$C$3:$L$6,5,0)=Variables!$B$5,B1079&gt;VLOOKUP(I1079,$C$3:$L$6,8,0)),IF(VLOOKUP(I1079,$C$3:$L$6,5,0)=Variables!$B$5,((YEAR(B1079)-YEAR($B$12))*12+MONTH(B1079)-MONTH($B$12)),((YEAR(B1079)-YEAR(VLOOKUP(I1079,$C$3:$L$6,8,0)))*12+MONTH(B1079)-MONTH(VLOOKUP(I1079,$C$3:$L$6,8,0))))*VLOOKUP(I1079,$C$3:$L$6,7,0),0)),""),"")</f>
        <v/>
      </c>
      <c r="L1079" s="29" t="str">
        <f t="shared" ca="1" si="94"/>
        <v/>
      </c>
      <c r="M1079" s="10"/>
      <c r="N1079" s="10"/>
    </row>
    <row r="1080" spans="1:14" x14ac:dyDescent="0.25">
      <c r="A1080" s="10"/>
      <c r="B1080" s="14" t="str">
        <f t="shared" ca="1" si="95"/>
        <v/>
      </c>
      <c r="C1080" s="14" t="str">
        <f ca="1">IF(I1079&lt;&gt;Variables!$B$1,IF(H1079&lt;&gt;0,C1079,I1079),"")</f>
        <v/>
      </c>
      <c r="D1080" s="29" t="str">
        <f t="shared" ca="1" si="92"/>
        <v/>
      </c>
      <c r="E1080" s="29" t="str">
        <f t="shared" ca="1" si="93"/>
        <v/>
      </c>
      <c r="F1080" s="29" t="str">
        <f ca="1">IF(C1080&lt;&gt;"",IF(OR(VLOOKUP(C1080,$C$3:$L$6,5,0)=Variables!$B$5,B1080&gt;VLOOKUP(C1080,$C$3:$L$6,8,0)),-D1080*VLOOKUP(C1080,$C$3:$L$6,6,0)/12,0),"")</f>
        <v/>
      </c>
      <c r="G1080" s="29" t="str">
        <f ca="1">IF(I1080&lt;&gt;Variables!$B$1,IF(C1080&lt;&gt;"",$I$9-E1080-F1080,""),-D1080)</f>
        <v/>
      </c>
      <c r="H1080" s="29" t="str">
        <f t="shared" ca="1" si="96"/>
        <v/>
      </c>
      <c r="I1080" s="31" t="str">
        <f ca="1">IF(C1080&lt;&gt;"",IF(D1080+$I$9-E1080-F1080&gt;=0,IF(ISERROR(INDEX($C$3:$C$6,MATCH(C1080,$C$3:$C$6,0)+1,0)),Variables!$B$1,INDEX($C$3:$C$6,MATCH(C1080,$C$3:$C$6,0)+1,0)),""),"")</f>
        <v/>
      </c>
      <c r="J1080" s="29" t="str">
        <f ca="1">IF(ISERROR(VLOOKUP(I1080,$C$3:$L$6,5,0)),"",IF(OR(VLOOKUP(I1080,$C$3:$L$6,5,0)=Variables!$B$5,B1080&gt;VLOOKUP(I1080,$C$3:$L$6,8,0)),IF(VLOOKUP(I1080,$C$3:$L$6,5,0)=Variables!$B$5,((YEAR(B1080)-YEAR($B$12))*12+MONTH(B1080)-MONTH($B$12)),((YEAR(B1080)-YEAR(VLOOKUP(I1080,$C$3:$L$6,8,0)))*12+MONTH(B1080)-MONTH(VLOOKUP(I1080,$C$3:$L$6,8,0))))*(VLOOKUP(I1080,$C$3:$L$6,10,0)*VLOOKUP(I1080,$C$3:$L$6,6,0)/12),0))</f>
        <v/>
      </c>
      <c r="K1080" s="29" t="str">
        <f ca="1">IF(C1080&lt;&gt;"",IF(I1080&lt;&gt;"",IF(ISERROR(VLOOKUP(I1080,$C$3:$L$6,10,0)),"",VLOOKUP(I1080,$C$3:$L$6,10,0)+J1080+IF(OR(VLOOKUP(I1080,$C$3:$L$6,5,0)=Variables!$B$5,B1080&gt;VLOOKUP(I1080,$C$3:$L$6,8,0)),IF(VLOOKUP(I1080,$C$3:$L$6,5,0)=Variables!$B$5,((YEAR(B1080)-YEAR($B$12))*12+MONTH(B1080)-MONTH($B$12)),((YEAR(B1080)-YEAR(VLOOKUP(I1080,$C$3:$L$6,8,0)))*12+MONTH(B1080)-MONTH(VLOOKUP(I1080,$C$3:$L$6,8,0))))*VLOOKUP(I1080,$C$3:$L$6,7,0),0)),""),"")</f>
        <v/>
      </c>
      <c r="L1080" s="29" t="str">
        <f t="shared" ca="1" si="94"/>
        <v/>
      </c>
      <c r="M1080" s="10"/>
      <c r="N1080" s="10"/>
    </row>
    <row r="1081" spans="1:14" x14ac:dyDescent="0.25">
      <c r="A1081" s="10"/>
      <c r="B1081" s="14" t="str">
        <f t="shared" ca="1" si="95"/>
        <v/>
      </c>
      <c r="C1081" s="14" t="str">
        <f ca="1">IF(I1080&lt;&gt;Variables!$B$1,IF(H1080&lt;&gt;0,C1080,I1080),"")</f>
        <v/>
      </c>
      <c r="D1081" s="29" t="str">
        <f t="shared" ca="1" si="92"/>
        <v/>
      </c>
      <c r="E1081" s="29" t="str">
        <f t="shared" ca="1" si="93"/>
        <v/>
      </c>
      <c r="F1081" s="29" t="str">
        <f ca="1">IF(C1081&lt;&gt;"",IF(OR(VLOOKUP(C1081,$C$3:$L$6,5,0)=Variables!$B$5,B1081&gt;VLOOKUP(C1081,$C$3:$L$6,8,0)),-D1081*VLOOKUP(C1081,$C$3:$L$6,6,0)/12,0),"")</f>
        <v/>
      </c>
      <c r="G1081" s="29" t="str">
        <f ca="1">IF(I1081&lt;&gt;Variables!$B$1,IF(C1081&lt;&gt;"",$I$9-E1081-F1081,""),-D1081)</f>
        <v/>
      </c>
      <c r="H1081" s="29" t="str">
        <f t="shared" ca="1" si="96"/>
        <v/>
      </c>
      <c r="I1081" s="31" t="str">
        <f ca="1">IF(C1081&lt;&gt;"",IF(D1081+$I$9-E1081-F1081&gt;=0,IF(ISERROR(INDEX($C$3:$C$6,MATCH(C1081,$C$3:$C$6,0)+1,0)),Variables!$B$1,INDEX($C$3:$C$6,MATCH(C1081,$C$3:$C$6,0)+1,0)),""),"")</f>
        <v/>
      </c>
      <c r="J1081" s="29" t="str">
        <f ca="1">IF(ISERROR(VLOOKUP(I1081,$C$3:$L$6,5,0)),"",IF(OR(VLOOKUP(I1081,$C$3:$L$6,5,0)=Variables!$B$5,B1081&gt;VLOOKUP(I1081,$C$3:$L$6,8,0)),IF(VLOOKUP(I1081,$C$3:$L$6,5,0)=Variables!$B$5,((YEAR(B1081)-YEAR($B$12))*12+MONTH(B1081)-MONTH($B$12)),((YEAR(B1081)-YEAR(VLOOKUP(I1081,$C$3:$L$6,8,0)))*12+MONTH(B1081)-MONTH(VLOOKUP(I1081,$C$3:$L$6,8,0))))*(VLOOKUP(I1081,$C$3:$L$6,10,0)*VLOOKUP(I1081,$C$3:$L$6,6,0)/12),0))</f>
        <v/>
      </c>
      <c r="K1081" s="29" t="str">
        <f ca="1">IF(C1081&lt;&gt;"",IF(I1081&lt;&gt;"",IF(ISERROR(VLOOKUP(I1081,$C$3:$L$6,10,0)),"",VLOOKUP(I1081,$C$3:$L$6,10,0)+J1081+IF(OR(VLOOKUP(I1081,$C$3:$L$6,5,0)=Variables!$B$5,B1081&gt;VLOOKUP(I1081,$C$3:$L$6,8,0)),IF(VLOOKUP(I1081,$C$3:$L$6,5,0)=Variables!$B$5,((YEAR(B1081)-YEAR($B$12))*12+MONTH(B1081)-MONTH($B$12)),((YEAR(B1081)-YEAR(VLOOKUP(I1081,$C$3:$L$6,8,0)))*12+MONTH(B1081)-MONTH(VLOOKUP(I1081,$C$3:$L$6,8,0))))*VLOOKUP(I1081,$C$3:$L$6,7,0),0)),""),"")</f>
        <v/>
      </c>
      <c r="L1081" s="29" t="str">
        <f t="shared" ca="1" si="94"/>
        <v/>
      </c>
      <c r="M1081" s="10"/>
      <c r="N1081" s="10"/>
    </row>
    <row r="1082" spans="1:14" x14ac:dyDescent="0.25">
      <c r="A1082" s="10"/>
      <c r="B1082" s="14" t="str">
        <f t="shared" ca="1" si="95"/>
        <v/>
      </c>
      <c r="C1082" s="14" t="str">
        <f ca="1">IF(I1081&lt;&gt;Variables!$B$1,IF(H1081&lt;&gt;0,C1081,I1081),"")</f>
        <v/>
      </c>
      <c r="D1082" s="29" t="str">
        <f t="shared" ca="1" si="92"/>
        <v/>
      </c>
      <c r="E1082" s="29" t="str">
        <f t="shared" ca="1" si="93"/>
        <v/>
      </c>
      <c r="F1082" s="29" t="str">
        <f ca="1">IF(C1082&lt;&gt;"",IF(OR(VLOOKUP(C1082,$C$3:$L$6,5,0)=Variables!$B$5,B1082&gt;VLOOKUP(C1082,$C$3:$L$6,8,0)),-D1082*VLOOKUP(C1082,$C$3:$L$6,6,0)/12,0),"")</f>
        <v/>
      </c>
      <c r="G1082" s="29" t="str">
        <f ca="1">IF(I1082&lt;&gt;Variables!$B$1,IF(C1082&lt;&gt;"",$I$9-E1082-F1082,""),-D1082)</f>
        <v/>
      </c>
      <c r="H1082" s="29" t="str">
        <f t="shared" ca="1" si="96"/>
        <v/>
      </c>
      <c r="I1082" s="31" t="str">
        <f ca="1">IF(C1082&lt;&gt;"",IF(D1082+$I$9-E1082-F1082&gt;=0,IF(ISERROR(INDEX($C$3:$C$6,MATCH(C1082,$C$3:$C$6,0)+1,0)),Variables!$B$1,INDEX($C$3:$C$6,MATCH(C1082,$C$3:$C$6,0)+1,0)),""),"")</f>
        <v/>
      </c>
      <c r="J1082" s="29" t="str">
        <f ca="1">IF(ISERROR(VLOOKUP(I1082,$C$3:$L$6,5,0)),"",IF(OR(VLOOKUP(I1082,$C$3:$L$6,5,0)=Variables!$B$5,B1082&gt;VLOOKUP(I1082,$C$3:$L$6,8,0)),IF(VLOOKUP(I1082,$C$3:$L$6,5,0)=Variables!$B$5,((YEAR(B1082)-YEAR($B$12))*12+MONTH(B1082)-MONTH($B$12)),((YEAR(B1082)-YEAR(VLOOKUP(I1082,$C$3:$L$6,8,0)))*12+MONTH(B1082)-MONTH(VLOOKUP(I1082,$C$3:$L$6,8,0))))*(VLOOKUP(I1082,$C$3:$L$6,10,0)*VLOOKUP(I1082,$C$3:$L$6,6,0)/12),0))</f>
        <v/>
      </c>
      <c r="K1082" s="29" t="str">
        <f ca="1">IF(C1082&lt;&gt;"",IF(I1082&lt;&gt;"",IF(ISERROR(VLOOKUP(I1082,$C$3:$L$6,10,0)),"",VLOOKUP(I1082,$C$3:$L$6,10,0)+J1082+IF(OR(VLOOKUP(I1082,$C$3:$L$6,5,0)=Variables!$B$5,B1082&gt;VLOOKUP(I1082,$C$3:$L$6,8,0)),IF(VLOOKUP(I1082,$C$3:$L$6,5,0)=Variables!$B$5,((YEAR(B1082)-YEAR($B$12))*12+MONTH(B1082)-MONTH($B$12)),((YEAR(B1082)-YEAR(VLOOKUP(I1082,$C$3:$L$6,8,0)))*12+MONTH(B1082)-MONTH(VLOOKUP(I1082,$C$3:$L$6,8,0))))*VLOOKUP(I1082,$C$3:$L$6,7,0),0)),""),"")</f>
        <v/>
      </c>
      <c r="L1082" s="29" t="str">
        <f t="shared" ca="1" si="94"/>
        <v/>
      </c>
      <c r="M1082" s="10"/>
      <c r="N1082" s="10"/>
    </row>
    <row r="1083" spans="1:14" x14ac:dyDescent="0.25">
      <c r="A1083" s="10"/>
      <c r="B1083" s="14" t="str">
        <f t="shared" ca="1" si="95"/>
        <v/>
      </c>
      <c r="C1083" s="14" t="str">
        <f ca="1">IF(I1082&lt;&gt;Variables!$B$1,IF(H1082&lt;&gt;0,C1082,I1082),"")</f>
        <v/>
      </c>
      <c r="D1083" s="29" t="str">
        <f t="shared" ca="1" si="92"/>
        <v/>
      </c>
      <c r="E1083" s="29" t="str">
        <f t="shared" ca="1" si="93"/>
        <v/>
      </c>
      <c r="F1083" s="29" t="str">
        <f ca="1">IF(C1083&lt;&gt;"",IF(OR(VLOOKUP(C1083,$C$3:$L$6,5,0)=Variables!$B$5,B1083&gt;VLOOKUP(C1083,$C$3:$L$6,8,0)),-D1083*VLOOKUP(C1083,$C$3:$L$6,6,0)/12,0),"")</f>
        <v/>
      </c>
      <c r="G1083" s="29" t="str">
        <f ca="1">IF(I1083&lt;&gt;Variables!$B$1,IF(C1083&lt;&gt;"",$I$9-E1083-F1083,""),-D1083)</f>
        <v/>
      </c>
      <c r="H1083" s="29" t="str">
        <f t="shared" ca="1" si="96"/>
        <v/>
      </c>
      <c r="I1083" s="31" t="str">
        <f ca="1">IF(C1083&lt;&gt;"",IF(D1083+$I$9-E1083-F1083&gt;=0,IF(ISERROR(INDEX($C$3:$C$6,MATCH(C1083,$C$3:$C$6,0)+1,0)),Variables!$B$1,INDEX($C$3:$C$6,MATCH(C1083,$C$3:$C$6,0)+1,0)),""),"")</f>
        <v/>
      </c>
      <c r="J1083" s="29" t="str">
        <f ca="1">IF(ISERROR(VLOOKUP(I1083,$C$3:$L$6,5,0)),"",IF(OR(VLOOKUP(I1083,$C$3:$L$6,5,0)=Variables!$B$5,B1083&gt;VLOOKUP(I1083,$C$3:$L$6,8,0)),IF(VLOOKUP(I1083,$C$3:$L$6,5,0)=Variables!$B$5,((YEAR(B1083)-YEAR($B$12))*12+MONTH(B1083)-MONTH($B$12)),((YEAR(B1083)-YEAR(VLOOKUP(I1083,$C$3:$L$6,8,0)))*12+MONTH(B1083)-MONTH(VLOOKUP(I1083,$C$3:$L$6,8,0))))*(VLOOKUP(I1083,$C$3:$L$6,10,0)*VLOOKUP(I1083,$C$3:$L$6,6,0)/12),0))</f>
        <v/>
      </c>
      <c r="K1083" s="29" t="str">
        <f ca="1">IF(C1083&lt;&gt;"",IF(I1083&lt;&gt;"",IF(ISERROR(VLOOKUP(I1083,$C$3:$L$6,10,0)),"",VLOOKUP(I1083,$C$3:$L$6,10,0)+J1083+IF(OR(VLOOKUP(I1083,$C$3:$L$6,5,0)=Variables!$B$5,B1083&gt;VLOOKUP(I1083,$C$3:$L$6,8,0)),IF(VLOOKUP(I1083,$C$3:$L$6,5,0)=Variables!$B$5,((YEAR(B1083)-YEAR($B$12))*12+MONTH(B1083)-MONTH($B$12)),((YEAR(B1083)-YEAR(VLOOKUP(I1083,$C$3:$L$6,8,0)))*12+MONTH(B1083)-MONTH(VLOOKUP(I1083,$C$3:$L$6,8,0))))*VLOOKUP(I1083,$C$3:$L$6,7,0),0)),""),"")</f>
        <v/>
      </c>
      <c r="L1083" s="29" t="str">
        <f t="shared" ca="1" si="94"/>
        <v/>
      </c>
      <c r="M1083" s="10"/>
      <c r="N1083" s="10"/>
    </row>
    <row r="1084" spans="1:14" x14ac:dyDescent="0.25">
      <c r="A1084" s="10"/>
      <c r="B1084" s="14" t="str">
        <f t="shared" ca="1" si="95"/>
        <v/>
      </c>
      <c r="C1084" s="14" t="str">
        <f ca="1">IF(I1083&lt;&gt;Variables!$B$1,IF(H1083&lt;&gt;0,C1083,I1083),"")</f>
        <v/>
      </c>
      <c r="D1084" s="29" t="str">
        <f t="shared" ca="1" si="92"/>
        <v/>
      </c>
      <c r="E1084" s="29" t="str">
        <f t="shared" ca="1" si="93"/>
        <v/>
      </c>
      <c r="F1084" s="29" t="str">
        <f ca="1">IF(C1084&lt;&gt;"",IF(OR(VLOOKUP(C1084,$C$3:$L$6,5,0)=Variables!$B$5,B1084&gt;VLOOKUP(C1084,$C$3:$L$6,8,0)),-D1084*VLOOKUP(C1084,$C$3:$L$6,6,0)/12,0),"")</f>
        <v/>
      </c>
      <c r="G1084" s="29" t="str">
        <f ca="1">IF(I1084&lt;&gt;Variables!$B$1,IF(C1084&lt;&gt;"",$I$9-E1084-F1084,""),-D1084)</f>
        <v/>
      </c>
      <c r="H1084" s="29" t="str">
        <f t="shared" ca="1" si="96"/>
        <v/>
      </c>
      <c r="I1084" s="31" t="str">
        <f ca="1">IF(C1084&lt;&gt;"",IF(D1084+$I$9-E1084-F1084&gt;=0,IF(ISERROR(INDEX($C$3:$C$6,MATCH(C1084,$C$3:$C$6,0)+1,0)),Variables!$B$1,INDEX($C$3:$C$6,MATCH(C1084,$C$3:$C$6,0)+1,0)),""),"")</f>
        <v/>
      </c>
      <c r="J1084" s="29" t="str">
        <f ca="1">IF(ISERROR(VLOOKUP(I1084,$C$3:$L$6,5,0)),"",IF(OR(VLOOKUP(I1084,$C$3:$L$6,5,0)=Variables!$B$5,B1084&gt;VLOOKUP(I1084,$C$3:$L$6,8,0)),IF(VLOOKUP(I1084,$C$3:$L$6,5,0)=Variables!$B$5,((YEAR(B1084)-YEAR($B$12))*12+MONTH(B1084)-MONTH($B$12)),((YEAR(B1084)-YEAR(VLOOKUP(I1084,$C$3:$L$6,8,0)))*12+MONTH(B1084)-MONTH(VLOOKUP(I1084,$C$3:$L$6,8,0))))*(VLOOKUP(I1084,$C$3:$L$6,10,0)*VLOOKUP(I1084,$C$3:$L$6,6,0)/12),0))</f>
        <v/>
      </c>
      <c r="K1084" s="29" t="str">
        <f ca="1">IF(C1084&lt;&gt;"",IF(I1084&lt;&gt;"",IF(ISERROR(VLOOKUP(I1084,$C$3:$L$6,10,0)),"",VLOOKUP(I1084,$C$3:$L$6,10,0)+J1084+IF(OR(VLOOKUP(I1084,$C$3:$L$6,5,0)=Variables!$B$5,B1084&gt;VLOOKUP(I1084,$C$3:$L$6,8,0)),IF(VLOOKUP(I1084,$C$3:$L$6,5,0)=Variables!$B$5,((YEAR(B1084)-YEAR($B$12))*12+MONTH(B1084)-MONTH($B$12)),((YEAR(B1084)-YEAR(VLOOKUP(I1084,$C$3:$L$6,8,0)))*12+MONTH(B1084)-MONTH(VLOOKUP(I1084,$C$3:$L$6,8,0))))*VLOOKUP(I1084,$C$3:$L$6,7,0),0)),""),"")</f>
        <v/>
      </c>
      <c r="L1084" s="29" t="str">
        <f t="shared" ca="1" si="94"/>
        <v/>
      </c>
      <c r="M1084" s="10"/>
      <c r="N1084" s="10"/>
    </row>
    <row r="1085" spans="1:14" x14ac:dyDescent="0.25">
      <c r="A1085" s="10"/>
      <c r="B1085" s="14" t="str">
        <f t="shared" ca="1" si="95"/>
        <v/>
      </c>
      <c r="C1085" s="14" t="str">
        <f ca="1">IF(I1084&lt;&gt;Variables!$B$1,IF(H1084&lt;&gt;0,C1084,I1084),"")</f>
        <v/>
      </c>
      <c r="D1085" s="29" t="str">
        <f t="shared" ca="1" si="92"/>
        <v/>
      </c>
      <c r="E1085" s="29" t="str">
        <f t="shared" ca="1" si="93"/>
        <v/>
      </c>
      <c r="F1085" s="29" t="str">
        <f ca="1">IF(C1085&lt;&gt;"",IF(OR(VLOOKUP(C1085,$C$3:$L$6,5,0)=Variables!$B$5,B1085&gt;VLOOKUP(C1085,$C$3:$L$6,8,0)),-D1085*VLOOKUP(C1085,$C$3:$L$6,6,0)/12,0),"")</f>
        <v/>
      </c>
      <c r="G1085" s="29" t="str">
        <f ca="1">IF(I1085&lt;&gt;Variables!$B$1,IF(C1085&lt;&gt;"",$I$9-E1085-F1085,""),-D1085)</f>
        <v/>
      </c>
      <c r="H1085" s="29" t="str">
        <f t="shared" ca="1" si="96"/>
        <v/>
      </c>
      <c r="I1085" s="31" t="str">
        <f ca="1">IF(C1085&lt;&gt;"",IF(D1085+$I$9-E1085-F1085&gt;=0,IF(ISERROR(INDEX($C$3:$C$6,MATCH(C1085,$C$3:$C$6,0)+1,0)),Variables!$B$1,INDEX($C$3:$C$6,MATCH(C1085,$C$3:$C$6,0)+1,0)),""),"")</f>
        <v/>
      </c>
      <c r="J1085" s="29" t="str">
        <f ca="1">IF(ISERROR(VLOOKUP(I1085,$C$3:$L$6,5,0)),"",IF(OR(VLOOKUP(I1085,$C$3:$L$6,5,0)=Variables!$B$5,B1085&gt;VLOOKUP(I1085,$C$3:$L$6,8,0)),IF(VLOOKUP(I1085,$C$3:$L$6,5,0)=Variables!$B$5,((YEAR(B1085)-YEAR($B$12))*12+MONTH(B1085)-MONTH($B$12)),((YEAR(B1085)-YEAR(VLOOKUP(I1085,$C$3:$L$6,8,0)))*12+MONTH(B1085)-MONTH(VLOOKUP(I1085,$C$3:$L$6,8,0))))*(VLOOKUP(I1085,$C$3:$L$6,10,0)*VLOOKUP(I1085,$C$3:$L$6,6,0)/12),0))</f>
        <v/>
      </c>
      <c r="K1085" s="29" t="str">
        <f ca="1">IF(C1085&lt;&gt;"",IF(I1085&lt;&gt;"",IF(ISERROR(VLOOKUP(I1085,$C$3:$L$6,10,0)),"",VLOOKUP(I1085,$C$3:$L$6,10,0)+J1085+IF(OR(VLOOKUP(I1085,$C$3:$L$6,5,0)=Variables!$B$5,B1085&gt;VLOOKUP(I1085,$C$3:$L$6,8,0)),IF(VLOOKUP(I1085,$C$3:$L$6,5,0)=Variables!$B$5,((YEAR(B1085)-YEAR($B$12))*12+MONTH(B1085)-MONTH($B$12)),((YEAR(B1085)-YEAR(VLOOKUP(I1085,$C$3:$L$6,8,0)))*12+MONTH(B1085)-MONTH(VLOOKUP(I1085,$C$3:$L$6,8,0))))*VLOOKUP(I1085,$C$3:$L$6,7,0),0)),""),"")</f>
        <v/>
      </c>
      <c r="L1085" s="29" t="str">
        <f t="shared" ca="1" si="94"/>
        <v/>
      </c>
      <c r="M1085" s="10"/>
      <c r="N1085" s="10"/>
    </row>
    <row r="1086" spans="1:14" x14ac:dyDescent="0.25">
      <c r="A1086" s="10"/>
      <c r="B1086" s="14" t="str">
        <f t="shared" ca="1" si="95"/>
        <v/>
      </c>
      <c r="C1086" s="14" t="str">
        <f ca="1">IF(I1085&lt;&gt;Variables!$B$1,IF(H1085&lt;&gt;0,C1085,I1085),"")</f>
        <v/>
      </c>
      <c r="D1086" s="29" t="str">
        <f t="shared" ca="1" si="92"/>
        <v/>
      </c>
      <c r="E1086" s="29" t="str">
        <f t="shared" ca="1" si="93"/>
        <v/>
      </c>
      <c r="F1086" s="29" t="str">
        <f ca="1">IF(C1086&lt;&gt;"",IF(OR(VLOOKUP(C1086,$C$3:$L$6,5,0)=Variables!$B$5,B1086&gt;VLOOKUP(C1086,$C$3:$L$6,8,0)),-D1086*VLOOKUP(C1086,$C$3:$L$6,6,0)/12,0),"")</f>
        <v/>
      </c>
      <c r="G1086" s="29" t="str">
        <f ca="1">IF(I1086&lt;&gt;Variables!$B$1,IF(C1086&lt;&gt;"",$I$9-E1086-F1086,""),-D1086)</f>
        <v/>
      </c>
      <c r="H1086" s="29" t="str">
        <f t="shared" ca="1" si="96"/>
        <v/>
      </c>
      <c r="I1086" s="31" t="str">
        <f ca="1">IF(C1086&lt;&gt;"",IF(D1086+$I$9-E1086-F1086&gt;=0,IF(ISERROR(INDEX($C$3:$C$6,MATCH(C1086,$C$3:$C$6,0)+1,0)),Variables!$B$1,INDEX($C$3:$C$6,MATCH(C1086,$C$3:$C$6,0)+1,0)),""),"")</f>
        <v/>
      </c>
      <c r="J1086" s="29" t="str">
        <f ca="1">IF(ISERROR(VLOOKUP(I1086,$C$3:$L$6,5,0)),"",IF(OR(VLOOKUP(I1086,$C$3:$L$6,5,0)=Variables!$B$5,B1086&gt;VLOOKUP(I1086,$C$3:$L$6,8,0)),IF(VLOOKUP(I1086,$C$3:$L$6,5,0)=Variables!$B$5,((YEAR(B1086)-YEAR($B$12))*12+MONTH(B1086)-MONTH($B$12)),((YEAR(B1086)-YEAR(VLOOKUP(I1086,$C$3:$L$6,8,0)))*12+MONTH(B1086)-MONTH(VLOOKUP(I1086,$C$3:$L$6,8,0))))*(VLOOKUP(I1086,$C$3:$L$6,10,0)*VLOOKUP(I1086,$C$3:$L$6,6,0)/12),0))</f>
        <v/>
      </c>
      <c r="K1086" s="29" t="str">
        <f ca="1">IF(C1086&lt;&gt;"",IF(I1086&lt;&gt;"",IF(ISERROR(VLOOKUP(I1086,$C$3:$L$6,10,0)),"",VLOOKUP(I1086,$C$3:$L$6,10,0)+J1086+IF(OR(VLOOKUP(I1086,$C$3:$L$6,5,0)=Variables!$B$5,B1086&gt;VLOOKUP(I1086,$C$3:$L$6,8,0)),IF(VLOOKUP(I1086,$C$3:$L$6,5,0)=Variables!$B$5,((YEAR(B1086)-YEAR($B$12))*12+MONTH(B1086)-MONTH($B$12)),((YEAR(B1086)-YEAR(VLOOKUP(I1086,$C$3:$L$6,8,0)))*12+MONTH(B1086)-MONTH(VLOOKUP(I1086,$C$3:$L$6,8,0))))*VLOOKUP(I1086,$C$3:$L$6,7,0),0)),""),"")</f>
        <v/>
      </c>
      <c r="L1086" s="29" t="str">
        <f t="shared" ca="1" si="94"/>
        <v/>
      </c>
      <c r="M1086" s="10"/>
      <c r="N1086" s="10"/>
    </row>
    <row r="1087" spans="1:14" x14ac:dyDescent="0.25">
      <c r="A1087" s="10"/>
      <c r="B1087" s="14" t="str">
        <f t="shared" ca="1" si="95"/>
        <v/>
      </c>
      <c r="C1087" s="14" t="str">
        <f ca="1">IF(I1086&lt;&gt;Variables!$B$1,IF(H1086&lt;&gt;0,C1086,I1086),"")</f>
        <v/>
      </c>
      <c r="D1087" s="29" t="str">
        <f t="shared" ca="1" si="92"/>
        <v/>
      </c>
      <c r="E1087" s="29" t="str">
        <f t="shared" ca="1" si="93"/>
        <v/>
      </c>
      <c r="F1087" s="29" t="str">
        <f ca="1">IF(C1087&lt;&gt;"",IF(OR(VLOOKUP(C1087,$C$3:$L$6,5,0)=Variables!$B$5,B1087&gt;VLOOKUP(C1087,$C$3:$L$6,8,0)),-D1087*VLOOKUP(C1087,$C$3:$L$6,6,0)/12,0),"")</f>
        <v/>
      </c>
      <c r="G1087" s="29" t="str">
        <f ca="1">IF(I1087&lt;&gt;Variables!$B$1,IF(C1087&lt;&gt;"",$I$9-E1087-F1087,""),-D1087)</f>
        <v/>
      </c>
      <c r="H1087" s="29" t="str">
        <f t="shared" ca="1" si="96"/>
        <v/>
      </c>
      <c r="I1087" s="31" t="str">
        <f ca="1">IF(C1087&lt;&gt;"",IF(D1087+$I$9-E1087-F1087&gt;=0,IF(ISERROR(INDEX($C$3:$C$6,MATCH(C1087,$C$3:$C$6,0)+1,0)),Variables!$B$1,INDEX($C$3:$C$6,MATCH(C1087,$C$3:$C$6,0)+1,0)),""),"")</f>
        <v/>
      </c>
      <c r="J1087" s="29" t="str">
        <f ca="1">IF(ISERROR(VLOOKUP(I1087,$C$3:$L$6,5,0)),"",IF(OR(VLOOKUP(I1087,$C$3:$L$6,5,0)=Variables!$B$5,B1087&gt;VLOOKUP(I1087,$C$3:$L$6,8,0)),IF(VLOOKUP(I1087,$C$3:$L$6,5,0)=Variables!$B$5,((YEAR(B1087)-YEAR($B$12))*12+MONTH(B1087)-MONTH($B$12)),((YEAR(B1087)-YEAR(VLOOKUP(I1087,$C$3:$L$6,8,0)))*12+MONTH(B1087)-MONTH(VLOOKUP(I1087,$C$3:$L$6,8,0))))*(VLOOKUP(I1087,$C$3:$L$6,10,0)*VLOOKUP(I1087,$C$3:$L$6,6,0)/12),0))</f>
        <v/>
      </c>
      <c r="K1087" s="29" t="str">
        <f ca="1">IF(C1087&lt;&gt;"",IF(I1087&lt;&gt;"",IF(ISERROR(VLOOKUP(I1087,$C$3:$L$6,10,0)),"",VLOOKUP(I1087,$C$3:$L$6,10,0)+J1087+IF(OR(VLOOKUP(I1087,$C$3:$L$6,5,0)=Variables!$B$5,B1087&gt;VLOOKUP(I1087,$C$3:$L$6,8,0)),IF(VLOOKUP(I1087,$C$3:$L$6,5,0)=Variables!$B$5,((YEAR(B1087)-YEAR($B$12))*12+MONTH(B1087)-MONTH($B$12)),((YEAR(B1087)-YEAR(VLOOKUP(I1087,$C$3:$L$6,8,0)))*12+MONTH(B1087)-MONTH(VLOOKUP(I1087,$C$3:$L$6,8,0))))*VLOOKUP(I1087,$C$3:$L$6,7,0),0)),""),"")</f>
        <v/>
      </c>
      <c r="L1087" s="29" t="str">
        <f t="shared" ca="1" si="94"/>
        <v/>
      </c>
      <c r="M1087" s="10"/>
      <c r="N1087" s="10"/>
    </row>
    <row r="1088" spans="1:14" x14ac:dyDescent="0.25">
      <c r="A1088" s="10"/>
      <c r="B1088" s="14" t="str">
        <f t="shared" ca="1" si="95"/>
        <v/>
      </c>
      <c r="C1088" s="14" t="str">
        <f ca="1">IF(I1087&lt;&gt;Variables!$B$1,IF(H1087&lt;&gt;0,C1087,I1087),"")</f>
        <v/>
      </c>
      <c r="D1088" s="29" t="str">
        <f t="shared" ca="1" si="92"/>
        <v/>
      </c>
      <c r="E1088" s="29" t="str">
        <f t="shared" ca="1" si="93"/>
        <v/>
      </c>
      <c r="F1088" s="29" t="str">
        <f ca="1">IF(C1088&lt;&gt;"",IF(OR(VLOOKUP(C1088,$C$3:$L$6,5,0)=Variables!$B$5,B1088&gt;VLOOKUP(C1088,$C$3:$L$6,8,0)),-D1088*VLOOKUP(C1088,$C$3:$L$6,6,0)/12,0),"")</f>
        <v/>
      </c>
      <c r="G1088" s="29" t="str">
        <f ca="1">IF(I1088&lt;&gt;Variables!$B$1,IF(C1088&lt;&gt;"",$I$9-E1088-F1088,""),-D1088)</f>
        <v/>
      </c>
      <c r="H1088" s="29" t="str">
        <f t="shared" ca="1" si="96"/>
        <v/>
      </c>
      <c r="I1088" s="31" t="str">
        <f ca="1">IF(C1088&lt;&gt;"",IF(D1088+$I$9-E1088-F1088&gt;=0,IF(ISERROR(INDEX($C$3:$C$6,MATCH(C1088,$C$3:$C$6,0)+1,0)),Variables!$B$1,INDEX($C$3:$C$6,MATCH(C1088,$C$3:$C$6,0)+1,0)),""),"")</f>
        <v/>
      </c>
      <c r="J1088" s="29" t="str">
        <f ca="1">IF(ISERROR(VLOOKUP(I1088,$C$3:$L$6,5,0)),"",IF(OR(VLOOKUP(I1088,$C$3:$L$6,5,0)=Variables!$B$5,B1088&gt;VLOOKUP(I1088,$C$3:$L$6,8,0)),IF(VLOOKUP(I1088,$C$3:$L$6,5,0)=Variables!$B$5,((YEAR(B1088)-YEAR($B$12))*12+MONTH(B1088)-MONTH($B$12)),((YEAR(B1088)-YEAR(VLOOKUP(I1088,$C$3:$L$6,8,0)))*12+MONTH(B1088)-MONTH(VLOOKUP(I1088,$C$3:$L$6,8,0))))*(VLOOKUP(I1088,$C$3:$L$6,10,0)*VLOOKUP(I1088,$C$3:$L$6,6,0)/12),0))</f>
        <v/>
      </c>
      <c r="K1088" s="29" t="str">
        <f ca="1">IF(C1088&lt;&gt;"",IF(I1088&lt;&gt;"",IF(ISERROR(VLOOKUP(I1088,$C$3:$L$6,10,0)),"",VLOOKUP(I1088,$C$3:$L$6,10,0)+J1088+IF(OR(VLOOKUP(I1088,$C$3:$L$6,5,0)=Variables!$B$5,B1088&gt;VLOOKUP(I1088,$C$3:$L$6,8,0)),IF(VLOOKUP(I1088,$C$3:$L$6,5,0)=Variables!$B$5,((YEAR(B1088)-YEAR($B$12))*12+MONTH(B1088)-MONTH($B$12)),((YEAR(B1088)-YEAR(VLOOKUP(I1088,$C$3:$L$6,8,0)))*12+MONTH(B1088)-MONTH(VLOOKUP(I1088,$C$3:$L$6,8,0))))*VLOOKUP(I1088,$C$3:$L$6,7,0),0)),""),"")</f>
        <v/>
      </c>
      <c r="L1088" s="29" t="str">
        <f t="shared" ca="1" si="94"/>
        <v/>
      </c>
      <c r="M1088" s="10"/>
      <c r="N1088" s="10"/>
    </row>
    <row r="1089" spans="1:14" x14ac:dyDescent="0.25">
      <c r="A1089" s="10"/>
      <c r="B1089" s="14" t="str">
        <f t="shared" ca="1" si="95"/>
        <v/>
      </c>
      <c r="C1089" s="14" t="str">
        <f ca="1">IF(I1088&lt;&gt;Variables!$B$1,IF(H1088&lt;&gt;0,C1088,I1088),"")</f>
        <v/>
      </c>
      <c r="D1089" s="29" t="str">
        <f t="shared" ca="1" si="92"/>
        <v/>
      </c>
      <c r="E1089" s="29" t="str">
        <f t="shared" ca="1" si="93"/>
        <v/>
      </c>
      <c r="F1089" s="29" t="str">
        <f ca="1">IF(C1089&lt;&gt;"",IF(OR(VLOOKUP(C1089,$C$3:$L$6,5,0)=Variables!$B$5,B1089&gt;VLOOKUP(C1089,$C$3:$L$6,8,0)),-D1089*VLOOKUP(C1089,$C$3:$L$6,6,0)/12,0),"")</f>
        <v/>
      </c>
      <c r="G1089" s="29" t="str">
        <f ca="1">IF(I1089&lt;&gt;Variables!$B$1,IF(C1089&lt;&gt;"",$I$9-E1089-F1089,""),-D1089)</f>
        <v/>
      </c>
      <c r="H1089" s="29" t="str">
        <f t="shared" ca="1" si="96"/>
        <v/>
      </c>
      <c r="I1089" s="31" t="str">
        <f ca="1">IF(C1089&lt;&gt;"",IF(D1089+$I$9-E1089-F1089&gt;=0,IF(ISERROR(INDEX($C$3:$C$6,MATCH(C1089,$C$3:$C$6,0)+1,0)),Variables!$B$1,INDEX($C$3:$C$6,MATCH(C1089,$C$3:$C$6,0)+1,0)),""),"")</f>
        <v/>
      </c>
      <c r="J1089" s="29" t="str">
        <f ca="1">IF(ISERROR(VLOOKUP(I1089,$C$3:$L$6,5,0)),"",IF(OR(VLOOKUP(I1089,$C$3:$L$6,5,0)=Variables!$B$5,B1089&gt;VLOOKUP(I1089,$C$3:$L$6,8,0)),IF(VLOOKUP(I1089,$C$3:$L$6,5,0)=Variables!$B$5,((YEAR(B1089)-YEAR($B$12))*12+MONTH(B1089)-MONTH($B$12)),((YEAR(B1089)-YEAR(VLOOKUP(I1089,$C$3:$L$6,8,0)))*12+MONTH(B1089)-MONTH(VLOOKUP(I1089,$C$3:$L$6,8,0))))*(VLOOKUP(I1089,$C$3:$L$6,10,0)*VLOOKUP(I1089,$C$3:$L$6,6,0)/12),0))</f>
        <v/>
      </c>
      <c r="K1089" s="29" t="str">
        <f ca="1">IF(C1089&lt;&gt;"",IF(I1089&lt;&gt;"",IF(ISERROR(VLOOKUP(I1089,$C$3:$L$6,10,0)),"",VLOOKUP(I1089,$C$3:$L$6,10,0)+J1089+IF(OR(VLOOKUP(I1089,$C$3:$L$6,5,0)=Variables!$B$5,B1089&gt;VLOOKUP(I1089,$C$3:$L$6,8,0)),IF(VLOOKUP(I1089,$C$3:$L$6,5,0)=Variables!$B$5,((YEAR(B1089)-YEAR($B$12))*12+MONTH(B1089)-MONTH($B$12)),((YEAR(B1089)-YEAR(VLOOKUP(I1089,$C$3:$L$6,8,0)))*12+MONTH(B1089)-MONTH(VLOOKUP(I1089,$C$3:$L$6,8,0))))*VLOOKUP(I1089,$C$3:$L$6,7,0),0)),""),"")</f>
        <v/>
      </c>
      <c r="L1089" s="29" t="str">
        <f t="shared" ca="1" si="94"/>
        <v/>
      </c>
      <c r="M1089" s="10"/>
      <c r="N1089" s="10"/>
    </row>
    <row r="1090" spans="1:14" x14ac:dyDescent="0.25">
      <c r="A1090" s="10"/>
      <c r="B1090" s="14" t="str">
        <f t="shared" ca="1" si="95"/>
        <v/>
      </c>
      <c r="C1090" s="14" t="str">
        <f ca="1">IF(I1089&lt;&gt;Variables!$B$1,IF(H1089&lt;&gt;0,C1089,I1089),"")</f>
        <v/>
      </c>
      <c r="D1090" s="29" t="str">
        <f t="shared" ca="1" si="92"/>
        <v/>
      </c>
      <c r="E1090" s="29" t="str">
        <f t="shared" ca="1" si="93"/>
        <v/>
      </c>
      <c r="F1090" s="29" t="str">
        <f ca="1">IF(C1090&lt;&gt;"",IF(OR(VLOOKUP(C1090,$C$3:$L$6,5,0)=Variables!$B$5,B1090&gt;VLOOKUP(C1090,$C$3:$L$6,8,0)),-D1090*VLOOKUP(C1090,$C$3:$L$6,6,0)/12,0),"")</f>
        <v/>
      </c>
      <c r="G1090" s="29" t="str">
        <f ca="1">IF(I1090&lt;&gt;Variables!$B$1,IF(C1090&lt;&gt;"",$I$9-E1090-F1090,""),-D1090)</f>
        <v/>
      </c>
      <c r="H1090" s="29" t="str">
        <f t="shared" ca="1" si="96"/>
        <v/>
      </c>
      <c r="I1090" s="31" t="str">
        <f ca="1">IF(C1090&lt;&gt;"",IF(D1090+$I$9-E1090-F1090&gt;=0,IF(ISERROR(INDEX($C$3:$C$6,MATCH(C1090,$C$3:$C$6,0)+1,0)),Variables!$B$1,INDEX($C$3:$C$6,MATCH(C1090,$C$3:$C$6,0)+1,0)),""),"")</f>
        <v/>
      </c>
      <c r="J1090" s="29" t="str">
        <f ca="1">IF(ISERROR(VLOOKUP(I1090,$C$3:$L$6,5,0)),"",IF(OR(VLOOKUP(I1090,$C$3:$L$6,5,0)=Variables!$B$5,B1090&gt;VLOOKUP(I1090,$C$3:$L$6,8,0)),IF(VLOOKUP(I1090,$C$3:$L$6,5,0)=Variables!$B$5,((YEAR(B1090)-YEAR($B$12))*12+MONTH(B1090)-MONTH($B$12)),((YEAR(B1090)-YEAR(VLOOKUP(I1090,$C$3:$L$6,8,0)))*12+MONTH(B1090)-MONTH(VLOOKUP(I1090,$C$3:$L$6,8,0))))*(VLOOKUP(I1090,$C$3:$L$6,10,0)*VLOOKUP(I1090,$C$3:$L$6,6,0)/12),0))</f>
        <v/>
      </c>
      <c r="K1090" s="29" t="str">
        <f ca="1">IF(C1090&lt;&gt;"",IF(I1090&lt;&gt;"",IF(ISERROR(VLOOKUP(I1090,$C$3:$L$6,10,0)),"",VLOOKUP(I1090,$C$3:$L$6,10,0)+J1090+IF(OR(VLOOKUP(I1090,$C$3:$L$6,5,0)=Variables!$B$5,B1090&gt;VLOOKUP(I1090,$C$3:$L$6,8,0)),IF(VLOOKUP(I1090,$C$3:$L$6,5,0)=Variables!$B$5,((YEAR(B1090)-YEAR($B$12))*12+MONTH(B1090)-MONTH($B$12)),((YEAR(B1090)-YEAR(VLOOKUP(I1090,$C$3:$L$6,8,0)))*12+MONTH(B1090)-MONTH(VLOOKUP(I1090,$C$3:$L$6,8,0))))*VLOOKUP(I1090,$C$3:$L$6,7,0),0)),""),"")</f>
        <v/>
      </c>
      <c r="L1090" s="29" t="str">
        <f t="shared" ca="1" si="94"/>
        <v/>
      </c>
      <c r="M1090" s="10"/>
      <c r="N1090" s="10"/>
    </row>
    <row r="1091" spans="1:14" x14ac:dyDescent="0.25">
      <c r="A1091" s="10"/>
      <c r="B1091" s="14" t="str">
        <f t="shared" ca="1" si="95"/>
        <v/>
      </c>
      <c r="C1091" s="14" t="str">
        <f ca="1">IF(I1090&lt;&gt;Variables!$B$1,IF(H1090&lt;&gt;0,C1090,I1090),"")</f>
        <v/>
      </c>
      <c r="D1091" s="29" t="str">
        <f t="shared" ca="1" si="92"/>
        <v/>
      </c>
      <c r="E1091" s="29" t="str">
        <f t="shared" ca="1" si="93"/>
        <v/>
      </c>
      <c r="F1091" s="29" t="str">
        <f ca="1">IF(C1091&lt;&gt;"",IF(OR(VLOOKUP(C1091,$C$3:$L$6,5,0)=Variables!$B$5,B1091&gt;VLOOKUP(C1091,$C$3:$L$6,8,0)),-D1091*VLOOKUP(C1091,$C$3:$L$6,6,0)/12,0),"")</f>
        <v/>
      </c>
      <c r="G1091" s="29" t="str">
        <f ca="1">IF(I1091&lt;&gt;Variables!$B$1,IF(C1091&lt;&gt;"",$I$9-E1091-F1091,""),-D1091)</f>
        <v/>
      </c>
      <c r="H1091" s="29" t="str">
        <f t="shared" ca="1" si="96"/>
        <v/>
      </c>
      <c r="I1091" s="31" t="str">
        <f ca="1">IF(C1091&lt;&gt;"",IF(D1091+$I$9-E1091-F1091&gt;=0,IF(ISERROR(INDEX($C$3:$C$6,MATCH(C1091,$C$3:$C$6,0)+1,0)),Variables!$B$1,INDEX($C$3:$C$6,MATCH(C1091,$C$3:$C$6,0)+1,0)),""),"")</f>
        <v/>
      </c>
      <c r="J1091" s="29" t="str">
        <f ca="1">IF(ISERROR(VLOOKUP(I1091,$C$3:$L$6,5,0)),"",IF(OR(VLOOKUP(I1091,$C$3:$L$6,5,0)=Variables!$B$5,B1091&gt;VLOOKUP(I1091,$C$3:$L$6,8,0)),IF(VLOOKUP(I1091,$C$3:$L$6,5,0)=Variables!$B$5,((YEAR(B1091)-YEAR($B$12))*12+MONTH(B1091)-MONTH($B$12)),((YEAR(B1091)-YEAR(VLOOKUP(I1091,$C$3:$L$6,8,0)))*12+MONTH(B1091)-MONTH(VLOOKUP(I1091,$C$3:$L$6,8,0))))*(VLOOKUP(I1091,$C$3:$L$6,10,0)*VLOOKUP(I1091,$C$3:$L$6,6,0)/12),0))</f>
        <v/>
      </c>
      <c r="K1091" s="29" t="str">
        <f ca="1">IF(C1091&lt;&gt;"",IF(I1091&lt;&gt;"",IF(ISERROR(VLOOKUP(I1091,$C$3:$L$6,10,0)),"",VLOOKUP(I1091,$C$3:$L$6,10,0)+J1091+IF(OR(VLOOKUP(I1091,$C$3:$L$6,5,0)=Variables!$B$5,B1091&gt;VLOOKUP(I1091,$C$3:$L$6,8,0)),IF(VLOOKUP(I1091,$C$3:$L$6,5,0)=Variables!$B$5,((YEAR(B1091)-YEAR($B$12))*12+MONTH(B1091)-MONTH($B$12)),((YEAR(B1091)-YEAR(VLOOKUP(I1091,$C$3:$L$6,8,0)))*12+MONTH(B1091)-MONTH(VLOOKUP(I1091,$C$3:$L$6,8,0))))*VLOOKUP(I1091,$C$3:$L$6,7,0),0)),""),"")</f>
        <v/>
      </c>
      <c r="L1091" s="29" t="str">
        <f t="shared" ca="1" si="94"/>
        <v/>
      </c>
      <c r="M1091" s="10"/>
      <c r="N1091" s="10"/>
    </row>
    <row r="1092" spans="1:14" x14ac:dyDescent="0.25">
      <c r="A1092" s="10"/>
      <c r="B1092" s="14" t="str">
        <f t="shared" ca="1" si="95"/>
        <v/>
      </c>
      <c r="C1092" s="14" t="str">
        <f ca="1">IF(I1091&lt;&gt;Variables!$B$1,IF(H1091&lt;&gt;0,C1091,I1091),"")</f>
        <v/>
      </c>
      <c r="D1092" s="29" t="str">
        <f t="shared" ca="1" si="92"/>
        <v/>
      </c>
      <c r="E1092" s="29" t="str">
        <f t="shared" ca="1" si="93"/>
        <v/>
      </c>
      <c r="F1092" s="29" t="str">
        <f ca="1">IF(C1092&lt;&gt;"",IF(OR(VLOOKUP(C1092,$C$3:$L$6,5,0)=Variables!$B$5,B1092&gt;VLOOKUP(C1092,$C$3:$L$6,8,0)),-D1092*VLOOKUP(C1092,$C$3:$L$6,6,0)/12,0),"")</f>
        <v/>
      </c>
      <c r="G1092" s="29" t="str">
        <f ca="1">IF(I1092&lt;&gt;Variables!$B$1,IF(C1092&lt;&gt;"",$I$9-E1092-F1092,""),-D1092)</f>
        <v/>
      </c>
      <c r="H1092" s="29" t="str">
        <f t="shared" ca="1" si="96"/>
        <v/>
      </c>
      <c r="I1092" s="31" t="str">
        <f ca="1">IF(C1092&lt;&gt;"",IF(D1092+$I$9-E1092-F1092&gt;=0,IF(ISERROR(INDEX($C$3:$C$6,MATCH(C1092,$C$3:$C$6,0)+1,0)),Variables!$B$1,INDEX($C$3:$C$6,MATCH(C1092,$C$3:$C$6,0)+1,0)),""),"")</f>
        <v/>
      </c>
      <c r="J1092" s="29" t="str">
        <f ca="1">IF(ISERROR(VLOOKUP(I1092,$C$3:$L$6,5,0)),"",IF(OR(VLOOKUP(I1092,$C$3:$L$6,5,0)=Variables!$B$5,B1092&gt;VLOOKUP(I1092,$C$3:$L$6,8,0)),IF(VLOOKUP(I1092,$C$3:$L$6,5,0)=Variables!$B$5,((YEAR(B1092)-YEAR($B$12))*12+MONTH(B1092)-MONTH($B$12)),((YEAR(B1092)-YEAR(VLOOKUP(I1092,$C$3:$L$6,8,0)))*12+MONTH(B1092)-MONTH(VLOOKUP(I1092,$C$3:$L$6,8,0))))*(VLOOKUP(I1092,$C$3:$L$6,10,0)*VLOOKUP(I1092,$C$3:$L$6,6,0)/12),0))</f>
        <v/>
      </c>
      <c r="K1092" s="29" t="str">
        <f ca="1">IF(C1092&lt;&gt;"",IF(I1092&lt;&gt;"",IF(ISERROR(VLOOKUP(I1092,$C$3:$L$6,10,0)),"",VLOOKUP(I1092,$C$3:$L$6,10,0)+J1092+IF(OR(VLOOKUP(I1092,$C$3:$L$6,5,0)=Variables!$B$5,B1092&gt;VLOOKUP(I1092,$C$3:$L$6,8,0)),IF(VLOOKUP(I1092,$C$3:$L$6,5,0)=Variables!$B$5,((YEAR(B1092)-YEAR($B$12))*12+MONTH(B1092)-MONTH($B$12)),((YEAR(B1092)-YEAR(VLOOKUP(I1092,$C$3:$L$6,8,0)))*12+MONTH(B1092)-MONTH(VLOOKUP(I1092,$C$3:$L$6,8,0))))*VLOOKUP(I1092,$C$3:$L$6,7,0),0)),""),"")</f>
        <v/>
      </c>
      <c r="L1092" s="29" t="str">
        <f t="shared" ca="1" si="94"/>
        <v/>
      </c>
      <c r="M1092" s="10"/>
      <c r="N1092" s="10"/>
    </row>
    <row r="1093" spans="1:14" x14ac:dyDescent="0.25">
      <c r="A1093" s="10"/>
      <c r="B1093" s="14" t="str">
        <f t="shared" ca="1" si="95"/>
        <v/>
      </c>
      <c r="C1093" s="14" t="str">
        <f ca="1">IF(I1092&lt;&gt;Variables!$B$1,IF(H1092&lt;&gt;0,C1092,I1092),"")</f>
        <v/>
      </c>
      <c r="D1093" s="29" t="str">
        <f t="shared" ca="1" si="92"/>
        <v/>
      </c>
      <c r="E1093" s="29" t="str">
        <f t="shared" ca="1" si="93"/>
        <v/>
      </c>
      <c r="F1093" s="29" t="str">
        <f ca="1">IF(C1093&lt;&gt;"",IF(OR(VLOOKUP(C1093,$C$3:$L$6,5,0)=Variables!$B$5,B1093&gt;VLOOKUP(C1093,$C$3:$L$6,8,0)),-D1093*VLOOKUP(C1093,$C$3:$L$6,6,0)/12,0),"")</f>
        <v/>
      </c>
      <c r="G1093" s="29" t="str">
        <f ca="1">IF(I1093&lt;&gt;Variables!$B$1,IF(C1093&lt;&gt;"",$I$9-E1093-F1093,""),-D1093)</f>
        <v/>
      </c>
      <c r="H1093" s="29" t="str">
        <f t="shared" ca="1" si="96"/>
        <v/>
      </c>
      <c r="I1093" s="31" t="str">
        <f ca="1">IF(C1093&lt;&gt;"",IF(D1093+$I$9-E1093-F1093&gt;=0,IF(ISERROR(INDEX($C$3:$C$6,MATCH(C1093,$C$3:$C$6,0)+1,0)),Variables!$B$1,INDEX($C$3:$C$6,MATCH(C1093,$C$3:$C$6,0)+1,0)),""),"")</f>
        <v/>
      </c>
      <c r="J1093" s="29" t="str">
        <f ca="1">IF(ISERROR(VLOOKUP(I1093,$C$3:$L$6,5,0)),"",IF(OR(VLOOKUP(I1093,$C$3:$L$6,5,0)=Variables!$B$5,B1093&gt;VLOOKUP(I1093,$C$3:$L$6,8,0)),IF(VLOOKUP(I1093,$C$3:$L$6,5,0)=Variables!$B$5,((YEAR(B1093)-YEAR($B$12))*12+MONTH(B1093)-MONTH($B$12)),((YEAR(B1093)-YEAR(VLOOKUP(I1093,$C$3:$L$6,8,0)))*12+MONTH(B1093)-MONTH(VLOOKUP(I1093,$C$3:$L$6,8,0))))*(VLOOKUP(I1093,$C$3:$L$6,10,0)*VLOOKUP(I1093,$C$3:$L$6,6,0)/12),0))</f>
        <v/>
      </c>
      <c r="K1093" s="29" t="str">
        <f ca="1">IF(C1093&lt;&gt;"",IF(I1093&lt;&gt;"",IF(ISERROR(VLOOKUP(I1093,$C$3:$L$6,10,0)),"",VLOOKUP(I1093,$C$3:$L$6,10,0)+J1093+IF(OR(VLOOKUP(I1093,$C$3:$L$6,5,0)=Variables!$B$5,B1093&gt;VLOOKUP(I1093,$C$3:$L$6,8,0)),IF(VLOOKUP(I1093,$C$3:$L$6,5,0)=Variables!$B$5,((YEAR(B1093)-YEAR($B$12))*12+MONTH(B1093)-MONTH($B$12)),((YEAR(B1093)-YEAR(VLOOKUP(I1093,$C$3:$L$6,8,0)))*12+MONTH(B1093)-MONTH(VLOOKUP(I1093,$C$3:$L$6,8,0))))*VLOOKUP(I1093,$C$3:$L$6,7,0),0)),""),"")</f>
        <v/>
      </c>
      <c r="L1093" s="29" t="str">
        <f t="shared" ca="1" si="94"/>
        <v/>
      </c>
      <c r="M1093" s="10"/>
      <c r="N1093" s="10"/>
    </row>
    <row r="1094" spans="1:14" x14ac:dyDescent="0.25">
      <c r="A1094" s="10"/>
      <c r="B1094" s="14" t="str">
        <f t="shared" ca="1" si="95"/>
        <v/>
      </c>
      <c r="C1094" s="14" t="str">
        <f ca="1">IF(I1093&lt;&gt;Variables!$B$1,IF(H1093&lt;&gt;0,C1093,I1093),"")</f>
        <v/>
      </c>
      <c r="D1094" s="29" t="str">
        <f t="shared" ca="1" si="92"/>
        <v/>
      </c>
      <c r="E1094" s="29" t="str">
        <f t="shared" ca="1" si="93"/>
        <v/>
      </c>
      <c r="F1094" s="29" t="str">
        <f ca="1">IF(C1094&lt;&gt;"",IF(OR(VLOOKUP(C1094,$C$3:$L$6,5,0)=Variables!$B$5,B1094&gt;VLOOKUP(C1094,$C$3:$L$6,8,0)),-D1094*VLOOKUP(C1094,$C$3:$L$6,6,0)/12,0),"")</f>
        <v/>
      </c>
      <c r="G1094" s="29" t="str">
        <f ca="1">IF(I1094&lt;&gt;Variables!$B$1,IF(C1094&lt;&gt;"",$I$9-E1094-F1094,""),-D1094)</f>
        <v/>
      </c>
      <c r="H1094" s="29" t="str">
        <f t="shared" ca="1" si="96"/>
        <v/>
      </c>
      <c r="I1094" s="31" t="str">
        <f ca="1">IF(C1094&lt;&gt;"",IF(D1094+$I$9-E1094-F1094&gt;=0,IF(ISERROR(INDEX($C$3:$C$6,MATCH(C1094,$C$3:$C$6,0)+1,0)),Variables!$B$1,INDEX($C$3:$C$6,MATCH(C1094,$C$3:$C$6,0)+1,0)),""),"")</f>
        <v/>
      </c>
      <c r="J1094" s="29" t="str">
        <f ca="1">IF(ISERROR(VLOOKUP(I1094,$C$3:$L$6,5,0)),"",IF(OR(VLOOKUP(I1094,$C$3:$L$6,5,0)=Variables!$B$5,B1094&gt;VLOOKUP(I1094,$C$3:$L$6,8,0)),IF(VLOOKUP(I1094,$C$3:$L$6,5,0)=Variables!$B$5,((YEAR(B1094)-YEAR($B$12))*12+MONTH(B1094)-MONTH($B$12)),((YEAR(B1094)-YEAR(VLOOKUP(I1094,$C$3:$L$6,8,0)))*12+MONTH(B1094)-MONTH(VLOOKUP(I1094,$C$3:$L$6,8,0))))*(VLOOKUP(I1094,$C$3:$L$6,10,0)*VLOOKUP(I1094,$C$3:$L$6,6,0)/12),0))</f>
        <v/>
      </c>
      <c r="K1094" s="29" t="str">
        <f ca="1">IF(C1094&lt;&gt;"",IF(I1094&lt;&gt;"",IF(ISERROR(VLOOKUP(I1094,$C$3:$L$6,10,0)),"",VLOOKUP(I1094,$C$3:$L$6,10,0)+J1094+IF(OR(VLOOKUP(I1094,$C$3:$L$6,5,0)=Variables!$B$5,B1094&gt;VLOOKUP(I1094,$C$3:$L$6,8,0)),IF(VLOOKUP(I1094,$C$3:$L$6,5,0)=Variables!$B$5,((YEAR(B1094)-YEAR($B$12))*12+MONTH(B1094)-MONTH($B$12)),((YEAR(B1094)-YEAR(VLOOKUP(I1094,$C$3:$L$6,8,0)))*12+MONTH(B1094)-MONTH(VLOOKUP(I1094,$C$3:$L$6,8,0))))*VLOOKUP(I1094,$C$3:$L$6,7,0),0)),""),"")</f>
        <v/>
      </c>
      <c r="L1094" s="29" t="str">
        <f t="shared" ca="1" si="94"/>
        <v/>
      </c>
      <c r="M1094" s="10"/>
      <c r="N1094" s="10"/>
    </row>
    <row r="1095" spans="1:14" x14ac:dyDescent="0.25">
      <c r="A1095" s="10"/>
      <c r="B1095" s="14" t="str">
        <f t="shared" ca="1" si="95"/>
        <v/>
      </c>
      <c r="C1095" s="14" t="str">
        <f ca="1">IF(I1094&lt;&gt;Variables!$B$1,IF(H1094&lt;&gt;0,C1094,I1094),"")</f>
        <v/>
      </c>
      <c r="D1095" s="29" t="str">
        <f t="shared" ca="1" si="92"/>
        <v/>
      </c>
      <c r="E1095" s="29" t="str">
        <f t="shared" ca="1" si="93"/>
        <v/>
      </c>
      <c r="F1095" s="29" t="str">
        <f ca="1">IF(C1095&lt;&gt;"",IF(OR(VLOOKUP(C1095,$C$3:$L$6,5,0)=Variables!$B$5,B1095&gt;VLOOKUP(C1095,$C$3:$L$6,8,0)),-D1095*VLOOKUP(C1095,$C$3:$L$6,6,0)/12,0),"")</f>
        <v/>
      </c>
      <c r="G1095" s="29" t="str">
        <f ca="1">IF(I1095&lt;&gt;Variables!$B$1,IF(C1095&lt;&gt;"",$I$9-E1095-F1095,""),-D1095)</f>
        <v/>
      </c>
      <c r="H1095" s="29" t="str">
        <f t="shared" ca="1" si="96"/>
        <v/>
      </c>
      <c r="I1095" s="31" t="str">
        <f ca="1">IF(C1095&lt;&gt;"",IF(D1095+$I$9-E1095-F1095&gt;=0,IF(ISERROR(INDEX($C$3:$C$6,MATCH(C1095,$C$3:$C$6,0)+1,0)),Variables!$B$1,INDEX($C$3:$C$6,MATCH(C1095,$C$3:$C$6,0)+1,0)),""),"")</f>
        <v/>
      </c>
      <c r="J1095" s="29" t="str">
        <f ca="1">IF(ISERROR(VLOOKUP(I1095,$C$3:$L$6,5,0)),"",IF(OR(VLOOKUP(I1095,$C$3:$L$6,5,0)=Variables!$B$5,B1095&gt;VLOOKUP(I1095,$C$3:$L$6,8,0)),IF(VLOOKUP(I1095,$C$3:$L$6,5,0)=Variables!$B$5,((YEAR(B1095)-YEAR($B$12))*12+MONTH(B1095)-MONTH($B$12)),((YEAR(B1095)-YEAR(VLOOKUP(I1095,$C$3:$L$6,8,0)))*12+MONTH(B1095)-MONTH(VLOOKUP(I1095,$C$3:$L$6,8,0))))*(VLOOKUP(I1095,$C$3:$L$6,10,0)*VLOOKUP(I1095,$C$3:$L$6,6,0)/12),0))</f>
        <v/>
      </c>
      <c r="K1095" s="29" t="str">
        <f ca="1">IF(C1095&lt;&gt;"",IF(I1095&lt;&gt;"",IF(ISERROR(VLOOKUP(I1095,$C$3:$L$6,10,0)),"",VLOOKUP(I1095,$C$3:$L$6,10,0)+J1095+IF(OR(VLOOKUP(I1095,$C$3:$L$6,5,0)=Variables!$B$5,B1095&gt;VLOOKUP(I1095,$C$3:$L$6,8,0)),IF(VLOOKUP(I1095,$C$3:$L$6,5,0)=Variables!$B$5,((YEAR(B1095)-YEAR($B$12))*12+MONTH(B1095)-MONTH($B$12)),((YEAR(B1095)-YEAR(VLOOKUP(I1095,$C$3:$L$6,8,0)))*12+MONTH(B1095)-MONTH(VLOOKUP(I1095,$C$3:$L$6,8,0))))*VLOOKUP(I1095,$C$3:$L$6,7,0),0)),""),"")</f>
        <v/>
      </c>
      <c r="L1095" s="29" t="str">
        <f t="shared" ca="1" si="94"/>
        <v/>
      </c>
      <c r="M1095" s="10"/>
      <c r="N1095" s="10"/>
    </row>
    <row r="1096" spans="1:14" x14ac:dyDescent="0.25">
      <c r="A1096" s="10"/>
      <c r="B1096" s="14" t="str">
        <f t="shared" ca="1" si="95"/>
        <v/>
      </c>
      <c r="C1096" s="14" t="str">
        <f ca="1">IF(I1095&lt;&gt;Variables!$B$1,IF(H1095&lt;&gt;0,C1095,I1095),"")</f>
        <v/>
      </c>
      <c r="D1096" s="29" t="str">
        <f t="shared" ca="1" si="92"/>
        <v/>
      </c>
      <c r="E1096" s="29" t="str">
        <f t="shared" ca="1" si="93"/>
        <v/>
      </c>
      <c r="F1096" s="29" t="str">
        <f ca="1">IF(C1096&lt;&gt;"",IF(OR(VLOOKUP(C1096,$C$3:$L$6,5,0)=Variables!$B$5,B1096&gt;VLOOKUP(C1096,$C$3:$L$6,8,0)),-D1096*VLOOKUP(C1096,$C$3:$L$6,6,0)/12,0),"")</f>
        <v/>
      </c>
      <c r="G1096" s="29" t="str">
        <f ca="1">IF(I1096&lt;&gt;Variables!$B$1,IF(C1096&lt;&gt;"",$I$9-E1096-F1096,""),-D1096)</f>
        <v/>
      </c>
      <c r="H1096" s="29" t="str">
        <f t="shared" ca="1" si="96"/>
        <v/>
      </c>
      <c r="I1096" s="31" t="str">
        <f ca="1">IF(C1096&lt;&gt;"",IF(D1096+$I$9-E1096-F1096&gt;=0,IF(ISERROR(INDEX($C$3:$C$6,MATCH(C1096,$C$3:$C$6,0)+1,0)),Variables!$B$1,INDEX($C$3:$C$6,MATCH(C1096,$C$3:$C$6,0)+1,0)),""),"")</f>
        <v/>
      </c>
      <c r="J1096" s="29" t="str">
        <f ca="1">IF(ISERROR(VLOOKUP(I1096,$C$3:$L$6,5,0)),"",IF(OR(VLOOKUP(I1096,$C$3:$L$6,5,0)=Variables!$B$5,B1096&gt;VLOOKUP(I1096,$C$3:$L$6,8,0)),IF(VLOOKUP(I1096,$C$3:$L$6,5,0)=Variables!$B$5,((YEAR(B1096)-YEAR($B$12))*12+MONTH(B1096)-MONTH($B$12)),((YEAR(B1096)-YEAR(VLOOKUP(I1096,$C$3:$L$6,8,0)))*12+MONTH(B1096)-MONTH(VLOOKUP(I1096,$C$3:$L$6,8,0))))*(VLOOKUP(I1096,$C$3:$L$6,10,0)*VLOOKUP(I1096,$C$3:$L$6,6,0)/12),0))</f>
        <v/>
      </c>
      <c r="K1096" s="29" t="str">
        <f ca="1">IF(C1096&lt;&gt;"",IF(I1096&lt;&gt;"",IF(ISERROR(VLOOKUP(I1096,$C$3:$L$6,10,0)),"",VLOOKUP(I1096,$C$3:$L$6,10,0)+J1096+IF(OR(VLOOKUP(I1096,$C$3:$L$6,5,0)=Variables!$B$5,B1096&gt;VLOOKUP(I1096,$C$3:$L$6,8,0)),IF(VLOOKUP(I1096,$C$3:$L$6,5,0)=Variables!$B$5,((YEAR(B1096)-YEAR($B$12))*12+MONTH(B1096)-MONTH($B$12)),((YEAR(B1096)-YEAR(VLOOKUP(I1096,$C$3:$L$6,8,0)))*12+MONTH(B1096)-MONTH(VLOOKUP(I1096,$C$3:$L$6,8,0))))*VLOOKUP(I1096,$C$3:$L$6,7,0),0)),""),"")</f>
        <v/>
      </c>
      <c r="L1096" s="29" t="str">
        <f t="shared" ca="1" si="94"/>
        <v/>
      </c>
      <c r="M1096" s="10"/>
      <c r="N1096" s="10"/>
    </row>
    <row r="1097" spans="1:14" x14ac:dyDescent="0.25">
      <c r="A1097" s="10"/>
      <c r="B1097" s="14" t="str">
        <f t="shared" ca="1" si="95"/>
        <v/>
      </c>
      <c r="C1097" s="14" t="str">
        <f ca="1">IF(I1096&lt;&gt;Variables!$B$1,IF(H1096&lt;&gt;0,C1096,I1096),"")</f>
        <v/>
      </c>
      <c r="D1097" s="29" t="str">
        <f t="shared" ca="1" si="92"/>
        <v/>
      </c>
      <c r="E1097" s="29" t="str">
        <f t="shared" ca="1" si="93"/>
        <v/>
      </c>
      <c r="F1097" s="29" t="str">
        <f ca="1">IF(C1097&lt;&gt;"",IF(OR(VLOOKUP(C1097,$C$3:$L$6,5,0)=Variables!$B$5,B1097&gt;VLOOKUP(C1097,$C$3:$L$6,8,0)),-D1097*VLOOKUP(C1097,$C$3:$L$6,6,0)/12,0),"")</f>
        <v/>
      </c>
      <c r="G1097" s="29" t="str">
        <f ca="1">IF(I1097&lt;&gt;Variables!$B$1,IF(C1097&lt;&gt;"",$I$9-E1097-F1097,""),-D1097)</f>
        <v/>
      </c>
      <c r="H1097" s="29" t="str">
        <f t="shared" ca="1" si="96"/>
        <v/>
      </c>
      <c r="I1097" s="31" t="str">
        <f ca="1">IF(C1097&lt;&gt;"",IF(D1097+$I$9-E1097-F1097&gt;=0,IF(ISERROR(INDEX($C$3:$C$6,MATCH(C1097,$C$3:$C$6,0)+1,0)),Variables!$B$1,INDEX($C$3:$C$6,MATCH(C1097,$C$3:$C$6,0)+1,0)),""),"")</f>
        <v/>
      </c>
      <c r="J1097" s="29" t="str">
        <f ca="1">IF(ISERROR(VLOOKUP(I1097,$C$3:$L$6,5,0)),"",IF(OR(VLOOKUP(I1097,$C$3:$L$6,5,0)=Variables!$B$5,B1097&gt;VLOOKUP(I1097,$C$3:$L$6,8,0)),IF(VLOOKUP(I1097,$C$3:$L$6,5,0)=Variables!$B$5,((YEAR(B1097)-YEAR($B$12))*12+MONTH(B1097)-MONTH($B$12)),((YEAR(B1097)-YEAR(VLOOKUP(I1097,$C$3:$L$6,8,0)))*12+MONTH(B1097)-MONTH(VLOOKUP(I1097,$C$3:$L$6,8,0))))*(VLOOKUP(I1097,$C$3:$L$6,10,0)*VLOOKUP(I1097,$C$3:$L$6,6,0)/12),0))</f>
        <v/>
      </c>
      <c r="K1097" s="29" t="str">
        <f ca="1">IF(C1097&lt;&gt;"",IF(I1097&lt;&gt;"",IF(ISERROR(VLOOKUP(I1097,$C$3:$L$6,10,0)),"",VLOOKUP(I1097,$C$3:$L$6,10,0)+J1097+IF(OR(VLOOKUP(I1097,$C$3:$L$6,5,0)=Variables!$B$5,B1097&gt;VLOOKUP(I1097,$C$3:$L$6,8,0)),IF(VLOOKUP(I1097,$C$3:$L$6,5,0)=Variables!$B$5,((YEAR(B1097)-YEAR($B$12))*12+MONTH(B1097)-MONTH($B$12)),((YEAR(B1097)-YEAR(VLOOKUP(I1097,$C$3:$L$6,8,0)))*12+MONTH(B1097)-MONTH(VLOOKUP(I1097,$C$3:$L$6,8,0))))*VLOOKUP(I1097,$C$3:$L$6,7,0),0)),""),"")</f>
        <v/>
      </c>
      <c r="L1097" s="29" t="str">
        <f t="shared" ca="1" si="94"/>
        <v/>
      </c>
      <c r="M1097" s="10"/>
      <c r="N1097" s="10"/>
    </row>
    <row r="1098" spans="1:14" x14ac:dyDescent="0.25">
      <c r="A1098" s="10"/>
      <c r="B1098" s="14" t="str">
        <f t="shared" ca="1" si="95"/>
        <v/>
      </c>
      <c r="C1098" s="14" t="str">
        <f ca="1">IF(I1097&lt;&gt;Variables!$B$1,IF(H1097&lt;&gt;0,C1097,I1097),"")</f>
        <v/>
      </c>
      <c r="D1098" s="29" t="str">
        <f t="shared" ca="1" si="92"/>
        <v/>
      </c>
      <c r="E1098" s="29" t="str">
        <f t="shared" ca="1" si="93"/>
        <v/>
      </c>
      <c r="F1098" s="29" t="str">
        <f ca="1">IF(C1098&lt;&gt;"",IF(OR(VLOOKUP(C1098,$C$3:$L$6,5,0)=Variables!$B$5,B1098&gt;VLOOKUP(C1098,$C$3:$L$6,8,0)),-D1098*VLOOKUP(C1098,$C$3:$L$6,6,0)/12,0),"")</f>
        <v/>
      </c>
      <c r="G1098" s="29" t="str">
        <f ca="1">IF(I1098&lt;&gt;Variables!$B$1,IF(C1098&lt;&gt;"",$I$9-E1098-F1098,""),-D1098)</f>
        <v/>
      </c>
      <c r="H1098" s="29" t="str">
        <f t="shared" ca="1" si="96"/>
        <v/>
      </c>
      <c r="I1098" s="31" t="str">
        <f ca="1">IF(C1098&lt;&gt;"",IF(D1098+$I$9-E1098-F1098&gt;=0,IF(ISERROR(INDEX($C$3:$C$6,MATCH(C1098,$C$3:$C$6,0)+1,0)),Variables!$B$1,INDEX($C$3:$C$6,MATCH(C1098,$C$3:$C$6,0)+1,0)),""),"")</f>
        <v/>
      </c>
      <c r="J1098" s="29" t="str">
        <f ca="1">IF(ISERROR(VLOOKUP(I1098,$C$3:$L$6,5,0)),"",IF(OR(VLOOKUP(I1098,$C$3:$L$6,5,0)=Variables!$B$5,B1098&gt;VLOOKUP(I1098,$C$3:$L$6,8,0)),IF(VLOOKUP(I1098,$C$3:$L$6,5,0)=Variables!$B$5,((YEAR(B1098)-YEAR($B$12))*12+MONTH(B1098)-MONTH($B$12)),((YEAR(B1098)-YEAR(VLOOKUP(I1098,$C$3:$L$6,8,0)))*12+MONTH(B1098)-MONTH(VLOOKUP(I1098,$C$3:$L$6,8,0))))*(VLOOKUP(I1098,$C$3:$L$6,10,0)*VLOOKUP(I1098,$C$3:$L$6,6,0)/12),0))</f>
        <v/>
      </c>
      <c r="K1098" s="29" t="str">
        <f ca="1">IF(C1098&lt;&gt;"",IF(I1098&lt;&gt;"",IF(ISERROR(VLOOKUP(I1098,$C$3:$L$6,10,0)),"",VLOOKUP(I1098,$C$3:$L$6,10,0)+J1098+IF(OR(VLOOKUP(I1098,$C$3:$L$6,5,0)=Variables!$B$5,B1098&gt;VLOOKUP(I1098,$C$3:$L$6,8,0)),IF(VLOOKUP(I1098,$C$3:$L$6,5,0)=Variables!$B$5,((YEAR(B1098)-YEAR($B$12))*12+MONTH(B1098)-MONTH($B$12)),((YEAR(B1098)-YEAR(VLOOKUP(I1098,$C$3:$L$6,8,0)))*12+MONTH(B1098)-MONTH(VLOOKUP(I1098,$C$3:$L$6,8,0))))*VLOOKUP(I1098,$C$3:$L$6,7,0),0)),""),"")</f>
        <v/>
      </c>
      <c r="L1098" s="29" t="str">
        <f t="shared" ca="1" si="94"/>
        <v/>
      </c>
      <c r="M1098" s="10"/>
      <c r="N1098" s="10"/>
    </row>
    <row r="1099" spans="1:14" x14ac:dyDescent="0.25">
      <c r="A1099" s="10"/>
      <c r="B1099" s="14" t="str">
        <f t="shared" ca="1" si="95"/>
        <v/>
      </c>
      <c r="C1099" s="14" t="str">
        <f ca="1">IF(I1098&lt;&gt;Variables!$B$1,IF(H1098&lt;&gt;0,C1098,I1098),"")</f>
        <v/>
      </c>
      <c r="D1099" s="29" t="str">
        <f t="shared" ca="1" si="92"/>
        <v/>
      </c>
      <c r="E1099" s="29" t="str">
        <f t="shared" ca="1" si="93"/>
        <v/>
      </c>
      <c r="F1099" s="29" t="str">
        <f ca="1">IF(C1099&lt;&gt;"",IF(OR(VLOOKUP(C1099,$C$3:$L$6,5,0)=Variables!$B$5,B1099&gt;VLOOKUP(C1099,$C$3:$L$6,8,0)),-D1099*VLOOKUP(C1099,$C$3:$L$6,6,0)/12,0),"")</f>
        <v/>
      </c>
      <c r="G1099" s="29" t="str">
        <f ca="1">IF(I1099&lt;&gt;Variables!$B$1,IF(C1099&lt;&gt;"",$I$9-E1099-F1099,""),-D1099)</f>
        <v/>
      </c>
      <c r="H1099" s="29" t="str">
        <f t="shared" ca="1" si="96"/>
        <v/>
      </c>
      <c r="I1099" s="31" t="str">
        <f ca="1">IF(C1099&lt;&gt;"",IF(D1099+$I$9-E1099-F1099&gt;=0,IF(ISERROR(INDEX($C$3:$C$6,MATCH(C1099,$C$3:$C$6,0)+1,0)),Variables!$B$1,INDEX($C$3:$C$6,MATCH(C1099,$C$3:$C$6,0)+1,0)),""),"")</f>
        <v/>
      </c>
      <c r="J1099" s="29" t="str">
        <f ca="1">IF(ISERROR(VLOOKUP(I1099,$C$3:$L$6,5,0)),"",IF(OR(VLOOKUP(I1099,$C$3:$L$6,5,0)=Variables!$B$5,B1099&gt;VLOOKUP(I1099,$C$3:$L$6,8,0)),IF(VLOOKUP(I1099,$C$3:$L$6,5,0)=Variables!$B$5,((YEAR(B1099)-YEAR($B$12))*12+MONTH(B1099)-MONTH($B$12)),((YEAR(B1099)-YEAR(VLOOKUP(I1099,$C$3:$L$6,8,0)))*12+MONTH(B1099)-MONTH(VLOOKUP(I1099,$C$3:$L$6,8,0))))*(VLOOKUP(I1099,$C$3:$L$6,10,0)*VLOOKUP(I1099,$C$3:$L$6,6,0)/12),0))</f>
        <v/>
      </c>
      <c r="K1099" s="29" t="str">
        <f ca="1">IF(C1099&lt;&gt;"",IF(I1099&lt;&gt;"",IF(ISERROR(VLOOKUP(I1099,$C$3:$L$6,10,0)),"",VLOOKUP(I1099,$C$3:$L$6,10,0)+J1099+IF(OR(VLOOKUP(I1099,$C$3:$L$6,5,0)=Variables!$B$5,B1099&gt;VLOOKUP(I1099,$C$3:$L$6,8,0)),IF(VLOOKUP(I1099,$C$3:$L$6,5,0)=Variables!$B$5,((YEAR(B1099)-YEAR($B$12))*12+MONTH(B1099)-MONTH($B$12)),((YEAR(B1099)-YEAR(VLOOKUP(I1099,$C$3:$L$6,8,0)))*12+MONTH(B1099)-MONTH(VLOOKUP(I1099,$C$3:$L$6,8,0))))*VLOOKUP(I1099,$C$3:$L$6,7,0),0)),""),"")</f>
        <v/>
      </c>
      <c r="L1099" s="29" t="str">
        <f t="shared" ca="1" si="94"/>
        <v/>
      </c>
      <c r="M1099" s="10"/>
      <c r="N1099" s="10"/>
    </row>
    <row r="1100" spans="1:14" x14ac:dyDescent="0.25">
      <c r="A1100" s="10"/>
      <c r="B1100" s="14" t="str">
        <f t="shared" ca="1" si="95"/>
        <v/>
      </c>
      <c r="C1100" s="14" t="str">
        <f ca="1">IF(I1099&lt;&gt;Variables!$B$1,IF(H1099&lt;&gt;0,C1099,I1099),"")</f>
        <v/>
      </c>
      <c r="D1100" s="29" t="str">
        <f t="shared" ca="1" si="92"/>
        <v/>
      </c>
      <c r="E1100" s="29" t="str">
        <f t="shared" ca="1" si="93"/>
        <v/>
      </c>
      <c r="F1100" s="29" t="str">
        <f ca="1">IF(C1100&lt;&gt;"",IF(OR(VLOOKUP(C1100,$C$3:$L$6,5,0)=Variables!$B$5,B1100&gt;VLOOKUP(C1100,$C$3:$L$6,8,0)),-D1100*VLOOKUP(C1100,$C$3:$L$6,6,0)/12,0),"")</f>
        <v/>
      </c>
      <c r="G1100" s="29" t="str">
        <f ca="1">IF(I1100&lt;&gt;Variables!$B$1,IF(C1100&lt;&gt;"",$I$9-E1100-F1100,""),-D1100)</f>
        <v/>
      </c>
      <c r="H1100" s="29" t="str">
        <f t="shared" ca="1" si="96"/>
        <v/>
      </c>
      <c r="I1100" s="31" t="str">
        <f ca="1">IF(C1100&lt;&gt;"",IF(D1100+$I$9-E1100-F1100&gt;=0,IF(ISERROR(INDEX($C$3:$C$6,MATCH(C1100,$C$3:$C$6,0)+1,0)),Variables!$B$1,INDEX($C$3:$C$6,MATCH(C1100,$C$3:$C$6,0)+1,0)),""),"")</f>
        <v/>
      </c>
      <c r="J1100" s="29" t="str">
        <f ca="1">IF(ISERROR(VLOOKUP(I1100,$C$3:$L$6,5,0)),"",IF(OR(VLOOKUP(I1100,$C$3:$L$6,5,0)=Variables!$B$5,B1100&gt;VLOOKUP(I1100,$C$3:$L$6,8,0)),IF(VLOOKUP(I1100,$C$3:$L$6,5,0)=Variables!$B$5,((YEAR(B1100)-YEAR($B$12))*12+MONTH(B1100)-MONTH($B$12)),((YEAR(B1100)-YEAR(VLOOKUP(I1100,$C$3:$L$6,8,0)))*12+MONTH(B1100)-MONTH(VLOOKUP(I1100,$C$3:$L$6,8,0))))*(VLOOKUP(I1100,$C$3:$L$6,10,0)*VLOOKUP(I1100,$C$3:$L$6,6,0)/12),0))</f>
        <v/>
      </c>
      <c r="K1100" s="29" t="str">
        <f ca="1">IF(C1100&lt;&gt;"",IF(I1100&lt;&gt;"",IF(ISERROR(VLOOKUP(I1100,$C$3:$L$6,10,0)),"",VLOOKUP(I1100,$C$3:$L$6,10,0)+J1100+IF(OR(VLOOKUP(I1100,$C$3:$L$6,5,0)=Variables!$B$5,B1100&gt;VLOOKUP(I1100,$C$3:$L$6,8,0)),IF(VLOOKUP(I1100,$C$3:$L$6,5,0)=Variables!$B$5,((YEAR(B1100)-YEAR($B$12))*12+MONTH(B1100)-MONTH($B$12)),((YEAR(B1100)-YEAR(VLOOKUP(I1100,$C$3:$L$6,8,0)))*12+MONTH(B1100)-MONTH(VLOOKUP(I1100,$C$3:$L$6,8,0))))*VLOOKUP(I1100,$C$3:$L$6,7,0),0)),""),"")</f>
        <v/>
      </c>
      <c r="L1100" s="29" t="str">
        <f t="shared" ca="1" si="94"/>
        <v/>
      </c>
      <c r="M1100" s="10"/>
      <c r="N1100" s="10"/>
    </row>
    <row r="1101" spans="1:14" x14ac:dyDescent="0.25">
      <c r="A1101" s="10"/>
      <c r="B1101" s="14" t="str">
        <f t="shared" ca="1" si="95"/>
        <v/>
      </c>
      <c r="C1101" s="14" t="str">
        <f ca="1">IF(I1100&lt;&gt;Variables!$B$1,IF(H1100&lt;&gt;0,C1100,I1100),"")</f>
        <v/>
      </c>
      <c r="D1101" s="29" t="str">
        <f t="shared" ca="1" si="92"/>
        <v/>
      </c>
      <c r="E1101" s="29" t="str">
        <f t="shared" ca="1" si="93"/>
        <v/>
      </c>
      <c r="F1101" s="29" t="str">
        <f ca="1">IF(C1101&lt;&gt;"",IF(OR(VLOOKUP(C1101,$C$3:$L$6,5,0)=Variables!$B$5,B1101&gt;VLOOKUP(C1101,$C$3:$L$6,8,0)),-D1101*VLOOKUP(C1101,$C$3:$L$6,6,0)/12,0),"")</f>
        <v/>
      </c>
      <c r="G1101" s="29" t="str">
        <f ca="1">IF(I1101&lt;&gt;Variables!$B$1,IF(C1101&lt;&gt;"",$I$9-E1101-F1101,""),-D1101)</f>
        <v/>
      </c>
      <c r="H1101" s="29" t="str">
        <f t="shared" ca="1" si="96"/>
        <v/>
      </c>
      <c r="I1101" s="31" t="str">
        <f ca="1">IF(C1101&lt;&gt;"",IF(D1101+$I$9-E1101-F1101&gt;=0,IF(ISERROR(INDEX($C$3:$C$6,MATCH(C1101,$C$3:$C$6,0)+1,0)),Variables!$B$1,INDEX($C$3:$C$6,MATCH(C1101,$C$3:$C$6,0)+1,0)),""),"")</f>
        <v/>
      </c>
      <c r="J1101" s="29" t="str">
        <f ca="1">IF(ISERROR(VLOOKUP(I1101,$C$3:$L$6,5,0)),"",IF(OR(VLOOKUP(I1101,$C$3:$L$6,5,0)=Variables!$B$5,B1101&gt;VLOOKUP(I1101,$C$3:$L$6,8,0)),IF(VLOOKUP(I1101,$C$3:$L$6,5,0)=Variables!$B$5,((YEAR(B1101)-YEAR($B$12))*12+MONTH(B1101)-MONTH($B$12)),((YEAR(B1101)-YEAR(VLOOKUP(I1101,$C$3:$L$6,8,0)))*12+MONTH(B1101)-MONTH(VLOOKUP(I1101,$C$3:$L$6,8,0))))*(VLOOKUP(I1101,$C$3:$L$6,10,0)*VLOOKUP(I1101,$C$3:$L$6,6,0)/12),0))</f>
        <v/>
      </c>
      <c r="K1101" s="29" t="str">
        <f ca="1">IF(C1101&lt;&gt;"",IF(I1101&lt;&gt;"",IF(ISERROR(VLOOKUP(I1101,$C$3:$L$6,10,0)),"",VLOOKUP(I1101,$C$3:$L$6,10,0)+J1101+IF(OR(VLOOKUP(I1101,$C$3:$L$6,5,0)=Variables!$B$5,B1101&gt;VLOOKUP(I1101,$C$3:$L$6,8,0)),IF(VLOOKUP(I1101,$C$3:$L$6,5,0)=Variables!$B$5,((YEAR(B1101)-YEAR($B$12))*12+MONTH(B1101)-MONTH($B$12)),((YEAR(B1101)-YEAR(VLOOKUP(I1101,$C$3:$L$6,8,0)))*12+MONTH(B1101)-MONTH(VLOOKUP(I1101,$C$3:$L$6,8,0))))*VLOOKUP(I1101,$C$3:$L$6,7,0),0)),""),"")</f>
        <v/>
      </c>
      <c r="L1101" s="29" t="str">
        <f t="shared" ca="1" si="94"/>
        <v/>
      </c>
      <c r="M1101" s="10"/>
      <c r="N1101" s="10"/>
    </row>
    <row r="1102" spans="1:14" x14ac:dyDescent="0.25">
      <c r="A1102" s="10"/>
      <c r="B1102" s="14" t="str">
        <f t="shared" ca="1" si="95"/>
        <v/>
      </c>
      <c r="C1102" s="14" t="str">
        <f ca="1">IF(I1101&lt;&gt;Variables!$B$1,IF(H1101&lt;&gt;0,C1101,I1101),"")</f>
        <v/>
      </c>
      <c r="D1102" s="29" t="str">
        <f t="shared" ca="1" si="92"/>
        <v/>
      </c>
      <c r="E1102" s="29" t="str">
        <f t="shared" ca="1" si="93"/>
        <v/>
      </c>
      <c r="F1102" s="29" t="str">
        <f ca="1">IF(C1102&lt;&gt;"",IF(OR(VLOOKUP(C1102,$C$3:$L$6,5,0)=Variables!$B$5,B1102&gt;VLOOKUP(C1102,$C$3:$L$6,8,0)),-D1102*VLOOKUP(C1102,$C$3:$L$6,6,0)/12,0),"")</f>
        <v/>
      </c>
      <c r="G1102" s="29" t="str">
        <f ca="1">IF(I1102&lt;&gt;Variables!$B$1,IF(C1102&lt;&gt;"",$I$9-E1102-F1102,""),-D1102)</f>
        <v/>
      </c>
      <c r="H1102" s="29" t="str">
        <f t="shared" ca="1" si="96"/>
        <v/>
      </c>
      <c r="I1102" s="31" t="str">
        <f ca="1">IF(C1102&lt;&gt;"",IF(D1102+$I$9-E1102-F1102&gt;=0,IF(ISERROR(INDEX($C$3:$C$6,MATCH(C1102,$C$3:$C$6,0)+1,0)),Variables!$B$1,INDEX($C$3:$C$6,MATCH(C1102,$C$3:$C$6,0)+1,0)),""),"")</f>
        <v/>
      </c>
      <c r="J1102" s="29" t="str">
        <f ca="1">IF(ISERROR(VLOOKUP(I1102,$C$3:$L$6,5,0)),"",IF(OR(VLOOKUP(I1102,$C$3:$L$6,5,0)=Variables!$B$5,B1102&gt;VLOOKUP(I1102,$C$3:$L$6,8,0)),IF(VLOOKUP(I1102,$C$3:$L$6,5,0)=Variables!$B$5,((YEAR(B1102)-YEAR($B$12))*12+MONTH(B1102)-MONTH($B$12)),((YEAR(B1102)-YEAR(VLOOKUP(I1102,$C$3:$L$6,8,0)))*12+MONTH(B1102)-MONTH(VLOOKUP(I1102,$C$3:$L$6,8,0))))*(VLOOKUP(I1102,$C$3:$L$6,10,0)*VLOOKUP(I1102,$C$3:$L$6,6,0)/12),0))</f>
        <v/>
      </c>
      <c r="K1102" s="29" t="str">
        <f ca="1">IF(C1102&lt;&gt;"",IF(I1102&lt;&gt;"",IF(ISERROR(VLOOKUP(I1102,$C$3:$L$6,10,0)),"",VLOOKUP(I1102,$C$3:$L$6,10,0)+J1102+IF(OR(VLOOKUP(I1102,$C$3:$L$6,5,0)=Variables!$B$5,B1102&gt;VLOOKUP(I1102,$C$3:$L$6,8,0)),IF(VLOOKUP(I1102,$C$3:$L$6,5,0)=Variables!$B$5,((YEAR(B1102)-YEAR($B$12))*12+MONTH(B1102)-MONTH($B$12)),((YEAR(B1102)-YEAR(VLOOKUP(I1102,$C$3:$L$6,8,0)))*12+MONTH(B1102)-MONTH(VLOOKUP(I1102,$C$3:$L$6,8,0))))*VLOOKUP(I1102,$C$3:$L$6,7,0),0)),""),"")</f>
        <v/>
      </c>
      <c r="L1102" s="29" t="str">
        <f t="shared" ca="1" si="94"/>
        <v/>
      </c>
      <c r="M1102" s="10"/>
      <c r="N1102" s="10"/>
    </row>
    <row r="1103" spans="1:14" x14ac:dyDescent="0.25">
      <c r="A1103" s="10"/>
      <c r="B1103" s="14" t="str">
        <f t="shared" ca="1" si="95"/>
        <v/>
      </c>
      <c r="C1103" s="14" t="str">
        <f ca="1">IF(I1102&lt;&gt;Variables!$B$1,IF(H1102&lt;&gt;0,C1102,I1102),"")</f>
        <v/>
      </c>
      <c r="D1103" s="29" t="str">
        <f t="shared" ca="1" si="92"/>
        <v/>
      </c>
      <c r="E1103" s="29" t="str">
        <f t="shared" ca="1" si="93"/>
        <v/>
      </c>
      <c r="F1103" s="29" t="str">
        <f ca="1">IF(C1103&lt;&gt;"",IF(OR(VLOOKUP(C1103,$C$3:$L$6,5,0)=Variables!$B$5,B1103&gt;VLOOKUP(C1103,$C$3:$L$6,8,0)),-D1103*VLOOKUP(C1103,$C$3:$L$6,6,0)/12,0),"")</f>
        <v/>
      </c>
      <c r="G1103" s="29" t="str">
        <f ca="1">IF(I1103&lt;&gt;Variables!$B$1,IF(C1103&lt;&gt;"",$I$9-E1103-F1103,""),-D1103)</f>
        <v/>
      </c>
      <c r="H1103" s="29" t="str">
        <f t="shared" ca="1" si="96"/>
        <v/>
      </c>
      <c r="I1103" s="31" t="str">
        <f ca="1">IF(C1103&lt;&gt;"",IF(D1103+$I$9-E1103-F1103&gt;=0,IF(ISERROR(INDEX($C$3:$C$6,MATCH(C1103,$C$3:$C$6,0)+1,0)),Variables!$B$1,INDEX($C$3:$C$6,MATCH(C1103,$C$3:$C$6,0)+1,0)),""),"")</f>
        <v/>
      </c>
      <c r="J1103" s="29" t="str">
        <f ca="1">IF(ISERROR(VLOOKUP(I1103,$C$3:$L$6,5,0)),"",IF(OR(VLOOKUP(I1103,$C$3:$L$6,5,0)=Variables!$B$5,B1103&gt;VLOOKUP(I1103,$C$3:$L$6,8,0)),IF(VLOOKUP(I1103,$C$3:$L$6,5,0)=Variables!$B$5,((YEAR(B1103)-YEAR($B$12))*12+MONTH(B1103)-MONTH($B$12)),((YEAR(B1103)-YEAR(VLOOKUP(I1103,$C$3:$L$6,8,0)))*12+MONTH(B1103)-MONTH(VLOOKUP(I1103,$C$3:$L$6,8,0))))*(VLOOKUP(I1103,$C$3:$L$6,10,0)*VLOOKUP(I1103,$C$3:$L$6,6,0)/12),0))</f>
        <v/>
      </c>
      <c r="K1103" s="29" t="str">
        <f ca="1">IF(C1103&lt;&gt;"",IF(I1103&lt;&gt;"",IF(ISERROR(VLOOKUP(I1103,$C$3:$L$6,10,0)),"",VLOOKUP(I1103,$C$3:$L$6,10,0)+J1103+IF(OR(VLOOKUP(I1103,$C$3:$L$6,5,0)=Variables!$B$5,B1103&gt;VLOOKUP(I1103,$C$3:$L$6,8,0)),IF(VLOOKUP(I1103,$C$3:$L$6,5,0)=Variables!$B$5,((YEAR(B1103)-YEAR($B$12))*12+MONTH(B1103)-MONTH($B$12)),((YEAR(B1103)-YEAR(VLOOKUP(I1103,$C$3:$L$6,8,0)))*12+MONTH(B1103)-MONTH(VLOOKUP(I1103,$C$3:$L$6,8,0))))*VLOOKUP(I1103,$C$3:$L$6,7,0),0)),""),"")</f>
        <v/>
      </c>
      <c r="L1103" s="29" t="str">
        <f t="shared" ca="1" si="94"/>
        <v/>
      </c>
      <c r="M1103" s="10"/>
      <c r="N1103" s="10"/>
    </row>
    <row r="1104" spans="1:14" x14ac:dyDescent="0.25">
      <c r="A1104" s="10"/>
      <c r="B1104" s="14" t="str">
        <f t="shared" ca="1" si="95"/>
        <v/>
      </c>
      <c r="C1104" s="14" t="str">
        <f ca="1">IF(I1103&lt;&gt;Variables!$B$1,IF(H1103&lt;&gt;0,C1103,I1103),"")</f>
        <v/>
      </c>
      <c r="D1104" s="29" t="str">
        <f t="shared" ca="1" si="92"/>
        <v/>
      </c>
      <c r="E1104" s="29" t="str">
        <f t="shared" ca="1" si="93"/>
        <v/>
      </c>
      <c r="F1104" s="29" t="str">
        <f ca="1">IF(C1104&lt;&gt;"",IF(OR(VLOOKUP(C1104,$C$3:$L$6,5,0)=Variables!$B$5,B1104&gt;VLOOKUP(C1104,$C$3:$L$6,8,0)),-D1104*VLOOKUP(C1104,$C$3:$L$6,6,0)/12,0),"")</f>
        <v/>
      </c>
      <c r="G1104" s="29" t="str">
        <f ca="1">IF(I1104&lt;&gt;Variables!$B$1,IF(C1104&lt;&gt;"",$I$9-E1104-F1104,""),-D1104)</f>
        <v/>
      </c>
      <c r="H1104" s="29" t="str">
        <f t="shared" ca="1" si="96"/>
        <v/>
      </c>
      <c r="I1104" s="31" t="str">
        <f ca="1">IF(C1104&lt;&gt;"",IF(D1104+$I$9-E1104-F1104&gt;=0,IF(ISERROR(INDEX($C$3:$C$6,MATCH(C1104,$C$3:$C$6,0)+1,0)),Variables!$B$1,INDEX($C$3:$C$6,MATCH(C1104,$C$3:$C$6,0)+1,0)),""),"")</f>
        <v/>
      </c>
      <c r="J1104" s="29" t="str">
        <f ca="1">IF(ISERROR(VLOOKUP(I1104,$C$3:$L$6,5,0)),"",IF(OR(VLOOKUP(I1104,$C$3:$L$6,5,0)=Variables!$B$5,B1104&gt;VLOOKUP(I1104,$C$3:$L$6,8,0)),IF(VLOOKUP(I1104,$C$3:$L$6,5,0)=Variables!$B$5,((YEAR(B1104)-YEAR($B$12))*12+MONTH(B1104)-MONTH($B$12)),((YEAR(B1104)-YEAR(VLOOKUP(I1104,$C$3:$L$6,8,0)))*12+MONTH(B1104)-MONTH(VLOOKUP(I1104,$C$3:$L$6,8,0))))*(VLOOKUP(I1104,$C$3:$L$6,10,0)*VLOOKUP(I1104,$C$3:$L$6,6,0)/12),0))</f>
        <v/>
      </c>
      <c r="K1104" s="29" t="str">
        <f ca="1">IF(C1104&lt;&gt;"",IF(I1104&lt;&gt;"",IF(ISERROR(VLOOKUP(I1104,$C$3:$L$6,10,0)),"",VLOOKUP(I1104,$C$3:$L$6,10,0)+J1104+IF(OR(VLOOKUP(I1104,$C$3:$L$6,5,0)=Variables!$B$5,B1104&gt;VLOOKUP(I1104,$C$3:$L$6,8,0)),IF(VLOOKUP(I1104,$C$3:$L$6,5,0)=Variables!$B$5,((YEAR(B1104)-YEAR($B$12))*12+MONTH(B1104)-MONTH($B$12)),((YEAR(B1104)-YEAR(VLOOKUP(I1104,$C$3:$L$6,8,0)))*12+MONTH(B1104)-MONTH(VLOOKUP(I1104,$C$3:$L$6,8,0))))*VLOOKUP(I1104,$C$3:$L$6,7,0),0)),""),"")</f>
        <v/>
      </c>
      <c r="L1104" s="29" t="str">
        <f t="shared" ca="1" si="94"/>
        <v/>
      </c>
      <c r="M1104" s="10"/>
      <c r="N1104" s="10"/>
    </row>
    <row r="1105" spans="1:14" x14ac:dyDescent="0.25">
      <c r="A1105" s="10"/>
      <c r="B1105" s="14" t="str">
        <f t="shared" ca="1" si="95"/>
        <v/>
      </c>
      <c r="C1105" s="14" t="str">
        <f ca="1">IF(I1104&lt;&gt;Variables!$B$1,IF(H1104&lt;&gt;0,C1104,I1104),"")</f>
        <v/>
      </c>
      <c r="D1105" s="29" t="str">
        <f t="shared" ca="1" si="92"/>
        <v/>
      </c>
      <c r="E1105" s="29" t="str">
        <f t="shared" ca="1" si="93"/>
        <v/>
      </c>
      <c r="F1105" s="29" t="str">
        <f ca="1">IF(C1105&lt;&gt;"",IF(OR(VLOOKUP(C1105,$C$3:$L$6,5,0)=Variables!$B$5,B1105&gt;VLOOKUP(C1105,$C$3:$L$6,8,0)),-D1105*VLOOKUP(C1105,$C$3:$L$6,6,0)/12,0),"")</f>
        <v/>
      </c>
      <c r="G1105" s="29" t="str">
        <f ca="1">IF(I1105&lt;&gt;Variables!$B$1,IF(C1105&lt;&gt;"",$I$9-E1105-F1105,""),-D1105)</f>
        <v/>
      </c>
      <c r="H1105" s="29" t="str">
        <f t="shared" ca="1" si="96"/>
        <v/>
      </c>
      <c r="I1105" s="31" t="str">
        <f ca="1">IF(C1105&lt;&gt;"",IF(D1105+$I$9-E1105-F1105&gt;=0,IF(ISERROR(INDEX($C$3:$C$6,MATCH(C1105,$C$3:$C$6,0)+1,0)),Variables!$B$1,INDEX($C$3:$C$6,MATCH(C1105,$C$3:$C$6,0)+1,0)),""),"")</f>
        <v/>
      </c>
      <c r="J1105" s="29" t="str">
        <f ca="1">IF(ISERROR(VLOOKUP(I1105,$C$3:$L$6,5,0)),"",IF(OR(VLOOKUP(I1105,$C$3:$L$6,5,0)=Variables!$B$5,B1105&gt;VLOOKUP(I1105,$C$3:$L$6,8,0)),IF(VLOOKUP(I1105,$C$3:$L$6,5,0)=Variables!$B$5,((YEAR(B1105)-YEAR($B$12))*12+MONTH(B1105)-MONTH($B$12)),((YEAR(B1105)-YEAR(VLOOKUP(I1105,$C$3:$L$6,8,0)))*12+MONTH(B1105)-MONTH(VLOOKUP(I1105,$C$3:$L$6,8,0))))*(VLOOKUP(I1105,$C$3:$L$6,10,0)*VLOOKUP(I1105,$C$3:$L$6,6,0)/12),0))</f>
        <v/>
      </c>
      <c r="K1105" s="29" t="str">
        <f ca="1">IF(C1105&lt;&gt;"",IF(I1105&lt;&gt;"",IF(ISERROR(VLOOKUP(I1105,$C$3:$L$6,10,0)),"",VLOOKUP(I1105,$C$3:$L$6,10,0)+J1105+IF(OR(VLOOKUP(I1105,$C$3:$L$6,5,0)=Variables!$B$5,B1105&gt;VLOOKUP(I1105,$C$3:$L$6,8,0)),IF(VLOOKUP(I1105,$C$3:$L$6,5,0)=Variables!$B$5,((YEAR(B1105)-YEAR($B$12))*12+MONTH(B1105)-MONTH($B$12)),((YEAR(B1105)-YEAR(VLOOKUP(I1105,$C$3:$L$6,8,0)))*12+MONTH(B1105)-MONTH(VLOOKUP(I1105,$C$3:$L$6,8,0))))*VLOOKUP(I1105,$C$3:$L$6,7,0),0)),""),"")</f>
        <v/>
      </c>
      <c r="L1105" s="29" t="str">
        <f t="shared" ca="1" si="94"/>
        <v/>
      </c>
      <c r="M1105" s="10"/>
      <c r="N1105" s="10"/>
    </row>
    <row r="1106" spans="1:14" x14ac:dyDescent="0.25">
      <c r="A1106" s="10"/>
      <c r="B1106" s="14" t="str">
        <f t="shared" ca="1" si="95"/>
        <v/>
      </c>
      <c r="C1106" s="14" t="str">
        <f ca="1">IF(I1105&lt;&gt;Variables!$B$1,IF(H1105&lt;&gt;0,C1105,I1105),"")</f>
        <v/>
      </c>
      <c r="D1106" s="29" t="str">
        <f t="shared" ca="1" si="92"/>
        <v/>
      </c>
      <c r="E1106" s="29" t="str">
        <f t="shared" ca="1" si="93"/>
        <v/>
      </c>
      <c r="F1106" s="29" t="str">
        <f ca="1">IF(C1106&lt;&gt;"",IF(OR(VLOOKUP(C1106,$C$3:$L$6,5,0)=Variables!$B$5,B1106&gt;VLOOKUP(C1106,$C$3:$L$6,8,0)),-D1106*VLOOKUP(C1106,$C$3:$L$6,6,0)/12,0),"")</f>
        <v/>
      </c>
      <c r="G1106" s="29" t="str">
        <f ca="1">IF(I1106&lt;&gt;Variables!$B$1,IF(C1106&lt;&gt;"",$I$9-E1106-F1106,""),-D1106)</f>
        <v/>
      </c>
      <c r="H1106" s="29" t="str">
        <f t="shared" ca="1" si="96"/>
        <v/>
      </c>
      <c r="I1106" s="31" t="str">
        <f ca="1">IF(C1106&lt;&gt;"",IF(D1106+$I$9-E1106-F1106&gt;=0,IF(ISERROR(INDEX($C$3:$C$6,MATCH(C1106,$C$3:$C$6,0)+1,0)),Variables!$B$1,INDEX($C$3:$C$6,MATCH(C1106,$C$3:$C$6,0)+1,0)),""),"")</f>
        <v/>
      </c>
      <c r="J1106" s="29" t="str">
        <f ca="1">IF(ISERROR(VLOOKUP(I1106,$C$3:$L$6,5,0)),"",IF(OR(VLOOKUP(I1106,$C$3:$L$6,5,0)=Variables!$B$5,B1106&gt;VLOOKUP(I1106,$C$3:$L$6,8,0)),IF(VLOOKUP(I1106,$C$3:$L$6,5,0)=Variables!$B$5,((YEAR(B1106)-YEAR($B$12))*12+MONTH(B1106)-MONTH($B$12)),((YEAR(B1106)-YEAR(VLOOKUP(I1106,$C$3:$L$6,8,0)))*12+MONTH(B1106)-MONTH(VLOOKUP(I1106,$C$3:$L$6,8,0))))*(VLOOKUP(I1106,$C$3:$L$6,10,0)*VLOOKUP(I1106,$C$3:$L$6,6,0)/12),0))</f>
        <v/>
      </c>
      <c r="K1106" s="29" t="str">
        <f ca="1">IF(C1106&lt;&gt;"",IF(I1106&lt;&gt;"",IF(ISERROR(VLOOKUP(I1106,$C$3:$L$6,10,0)),"",VLOOKUP(I1106,$C$3:$L$6,10,0)+J1106+IF(OR(VLOOKUP(I1106,$C$3:$L$6,5,0)=Variables!$B$5,B1106&gt;VLOOKUP(I1106,$C$3:$L$6,8,0)),IF(VLOOKUP(I1106,$C$3:$L$6,5,0)=Variables!$B$5,((YEAR(B1106)-YEAR($B$12))*12+MONTH(B1106)-MONTH($B$12)),((YEAR(B1106)-YEAR(VLOOKUP(I1106,$C$3:$L$6,8,0)))*12+MONTH(B1106)-MONTH(VLOOKUP(I1106,$C$3:$L$6,8,0))))*VLOOKUP(I1106,$C$3:$L$6,7,0),0)),""),"")</f>
        <v/>
      </c>
      <c r="L1106" s="29" t="str">
        <f t="shared" ca="1" si="94"/>
        <v/>
      </c>
      <c r="M1106" s="10"/>
      <c r="N1106" s="10"/>
    </row>
    <row r="1107" spans="1:14" x14ac:dyDescent="0.25">
      <c r="A1107" s="10"/>
      <c r="B1107" s="14" t="str">
        <f t="shared" ca="1" si="95"/>
        <v/>
      </c>
      <c r="C1107" s="14" t="str">
        <f ca="1">IF(I1106&lt;&gt;Variables!$B$1,IF(H1106&lt;&gt;0,C1106,I1106),"")</f>
        <v/>
      </c>
      <c r="D1107" s="29" t="str">
        <f t="shared" ca="1" si="92"/>
        <v/>
      </c>
      <c r="E1107" s="29" t="str">
        <f t="shared" ca="1" si="93"/>
        <v/>
      </c>
      <c r="F1107" s="29" t="str">
        <f ca="1">IF(C1107&lt;&gt;"",IF(OR(VLOOKUP(C1107,$C$3:$L$6,5,0)=Variables!$B$5,B1107&gt;VLOOKUP(C1107,$C$3:$L$6,8,0)),-D1107*VLOOKUP(C1107,$C$3:$L$6,6,0)/12,0),"")</f>
        <v/>
      </c>
      <c r="G1107" s="29" t="str">
        <f ca="1">IF(I1107&lt;&gt;Variables!$B$1,IF(C1107&lt;&gt;"",$I$9-E1107-F1107,""),-D1107)</f>
        <v/>
      </c>
      <c r="H1107" s="29" t="str">
        <f t="shared" ca="1" si="96"/>
        <v/>
      </c>
      <c r="I1107" s="31" t="str">
        <f ca="1">IF(C1107&lt;&gt;"",IF(D1107+$I$9-E1107-F1107&gt;=0,IF(ISERROR(INDEX($C$3:$C$6,MATCH(C1107,$C$3:$C$6,0)+1,0)),Variables!$B$1,INDEX($C$3:$C$6,MATCH(C1107,$C$3:$C$6,0)+1,0)),""),"")</f>
        <v/>
      </c>
      <c r="J1107" s="29" t="str">
        <f ca="1">IF(ISERROR(VLOOKUP(I1107,$C$3:$L$6,5,0)),"",IF(OR(VLOOKUP(I1107,$C$3:$L$6,5,0)=Variables!$B$5,B1107&gt;VLOOKUP(I1107,$C$3:$L$6,8,0)),IF(VLOOKUP(I1107,$C$3:$L$6,5,0)=Variables!$B$5,((YEAR(B1107)-YEAR($B$12))*12+MONTH(B1107)-MONTH($B$12)),((YEAR(B1107)-YEAR(VLOOKUP(I1107,$C$3:$L$6,8,0)))*12+MONTH(B1107)-MONTH(VLOOKUP(I1107,$C$3:$L$6,8,0))))*(VLOOKUP(I1107,$C$3:$L$6,10,0)*VLOOKUP(I1107,$C$3:$L$6,6,0)/12),0))</f>
        <v/>
      </c>
      <c r="K1107" s="29" t="str">
        <f ca="1">IF(C1107&lt;&gt;"",IF(I1107&lt;&gt;"",IF(ISERROR(VLOOKUP(I1107,$C$3:$L$6,10,0)),"",VLOOKUP(I1107,$C$3:$L$6,10,0)+J1107+IF(OR(VLOOKUP(I1107,$C$3:$L$6,5,0)=Variables!$B$5,B1107&gt;VLOOKUP(I1107,$C$3:$L$6,8,0)),IF(VLOOKUP(I1107,$C$3:$L$6,5,0)=Variables!$B$5,((YEAR(B1107)-YEAR($B$12))*12+MONTH(B1107)-MONTH($B$12)),((YEAR(B1107)-YEAR(VLOOKUP(I1107,$C$3:$L$6,8,0)))*12+MONTH(B1107)-MONTH(VLOOKUP(I1107,$C$3:$L$6,8,0))))*VLOOKUP(I1107,$C$3:$L$6,7,0),0)),""),"")</f>
        <v/>
      </c>
      <c r="L1107" s="29" t="str">
        <f t="shared" ca="1" si="94"/>
        <v/>
      </c>
      <c r="M1107" s="10"/>
      <c r="N1107" s="10"/>
    </row>
    <row r="1108" spans="1:14" x14ac:dyDescent="0.25">
      <c r="A1108" s="10"/>
      <c r="B1108" s="14" t="str">
        <f t="shared" ca="1" si="95"/>
        <v/>
      </c>
      <c r="C1108" s="14" t="str">
        <f ca="1">IF(I1107&lt;&gt;Variables!$B$1,IF(H1107&lt;&gt;0,C1107,I1107),"")</f>
        <v/>
      </c>
      <c r="D1108" s="29" t="str">
        <f t="shared" ca="1" si="92"/>
        <v/>
      </c>
      <c r="E1108" s="29" t="str">
        <f t="shared" ca="1" si="93"/>
        <v/>
      </c>
      <c r="F1108" s="29" t="str">
        <f ca="1">IF(C1108&lt;&gt;"",IF(OR(VLOOKUP(C1108,$C$3:$L$6,5,0)=Variables!$B$5,B1108&gt;VLOOKUP(C1108,$C$3:$L$6,8,0)),-D1108*VLOOKUP(C1108,$C$3:$L$6,6,0)/12,0),"")</f>
        <v/>
      </c>
      <c r="G1108" s="29" t="str">
        <f ca="1">IF(I1108&lt;&gt;Variables!$B$1,IF(C1108&lt;&gt;"",$I$9-E1108-F1108,""),-D1108)</f>
        <v/>
      </c>
      <c r="H1108" s="29" t="str">
        <f t="shared" ca="1" si="96"/>
        <v/>
      </c>
      <c r="I1108" s="31" t="str">
        <f ca="1">IF(C1108&lt;&gt;"",IF(D1108+$I$9-E1108-F1108&gt;=0,IF(ISERROR(INDEX($C$3:$C$6,MATCH(C1108,$C$3:$C$6,0)+1,0)),Variables!$B$1,INDEX($C$3:$C$6,MATCH(C1108,$C$3:$C$6,0)+1,0)),""),"")</f>
        <v/>
      </c>
      <c r="J1108" s="29" t="str">
        <f ca="1">IF(ISERROR(VLOOKUP(I1108,$C$3:$L$6,5,0)),"",IF(OR(VLOOKUP(I1108,$C$3:$L$6,5,0)=Variables!$B$5,B1108&gt;VLOOKUP(I1108,$C$3:$L$6,8,0)),IF(VLOOKUP(I1108,$C$3:$L$6,5,0)=Variables!$B$5,((YEAR(B1108)-YEAR($B$12))*12+MONTH(B1108)-MONTH($B$12)),((YEAR(B1108)-YEAR(VLOOKUP(I1108,$C$3:$L$6,8,0)))*12+MONTH(B1108)-MONTH(VLOOKUP(I1108,$C$3:$L$6,8,0))))*(VLOOKUP(I1108,$C$3:$L$6,10,0)*VLOOKUP(I1108,$C$3:$L$6,6,0)/12),0))</f>
        <v/>
      </c>
      <c r="K1108" s="29" t="str">
        <f ca="1">IF(C1108&lt;&gt;"",IF(I1108&lt;&gt;"",IF(ISERROR(VLOOKUP(I1108,$C$3:$L$6,10,0)),"",VLOOKUP(I1108,$C$3:$L$6,10,0)+J1108+IF(OR(VLOOKUP(I1108,$C$3:$L$6,5,0)=Variables!$B$5,B1108&gt;VLOOKUP(I1108,$C$3:$L$6,8,0)),IF(VLOOKUP(I1108,$C$3:$L$6,5,0)=Variables!$B$5,((YEAR(B1108)-YEAR($B$12))*12+MONTH(B1108)-MONTH($B$12)),((YEAR(B1108)-YEAR(VLOOKUP(I1108,$C$3:$L$6,8,0)))*12+MONTH(B1108)-MONTH(VLOOKUP(I1108,$C$3:$L$6,8,0))))*VLOOKUP(I1108,$C$3:$L$6,7,0),0)),""),"")</f>
        <v/>
      </c>
      <c r="L1108" s="29" t="str">
        <f t="shared" ca="1" si="94"/>
        <v/>
      </c>
      <c r="M1108" s="10"/>
      <c r="N1108" s="10"/>
    </row>
    <row r="1109" spans="1:14" x14ac:dyDescent="0.25">
      <c r="A1109" s="10"/>
      <c r="B1109" s="14" t="str">
        <f t="shared" ca="1" si="95"/>
        <v/>
      </c>
      <c r="C1109" s="14" t="str">
        <f ca="1">IF(I1108&lt;&gt;Variables!$B$1,IF(H1108&lt;&gt;0,C1108,I1108),"")</f>
        <v/>
      </c>
      <c r="D1109" s="29" t="str">
        <f t="shared" ca="1" si="92"/>
        <v/>
      </c>
      <c r="E1109" s="29" t="str">
        <f t="shared" ca="1" si="93"/>
        <v/>
      </c>
      <c r="F1109" s="29" t="str">
        <f ca="1">IF(C1109&lt;&gt;"",IF(OR(VLOOKUP(C1109,$C$3:$L$6,5,0)=Variables!$B$5,B1109&gt;VLOOKUP(C1109,$C$3:$L$6,8,0)),-D1109*VLOOKUP(C1109,$C$3:$L$6,6,0)/12,0),"")</f>
        <v/>
      </c>
      <c r="G1109" s="29" t="str">
        <f ca="1">IF(I1109&lt;&gt;Variables!$B$1,IF(C1109&lt;&gt;"",$I$9-E1109-F1109,""),-D1109)</f>
        <v/>
      </c>
      <c r="H1109" s="29" t="str">
        <f t="shared" ca="1" si="96"/>
        <v/>
      </c>
      <c r="I1109" s="31" t="str">
        <f ca="1">IF(C1109&lt;&gt;"",IF(D1109+$I$9-E1109-F1109&gt;=0,IF(ISERROR(INDEX($C$3:$C$6,MATCH(C1109,$C$3:$C$6,0)+1,0)),Variables!$B$1,INDEX($C$3:$C$6,MATCH(C1109,$C$3:$C$6,0)+1,0)),""),"")</f>
        <v/>
      </c>
      <c r="J1109" s="29" t="str">
        <f ca="1">IF(ISERROR(VLOOKUP(I1109,$C$3:$L$6,5,0)),"",IF(OR(VLOOKUP(I1109,$C$3:$L$6,5,0)=Variables!$B$5,B1109&gt;VLOOKUP(I1109,$C$3:$L$6,8,0)),IF(VLOOKUP(I1109,$C$3:$L$6,5,0)=Variables!$B$5,((YEAR(B1109)-YEAR($B$12))*12+MONTH(B1109)-MONTH($B$12)),((YEAR(B1109)-YEAR(VLOOKUP(I1109,$C$3:$L$6,8,0)))*12+MONTH(B1109)-MONTH(VLOOKUP(I1109,$C$3:$L$6,8,0))))*(VLOOKUP(I1109,$C$3:$L$6,10,0)*VLOOKUP(I1109,$C$3:$L$6,6,0)/12),0))</f>
        <v/>
      </c>
      <c r="K1109" s="29" t="str">
        <f ca="1">IF(C1109&lt;&gt;"",IF(I1109&lt;&gt;"",IF(ISERROR(VLOOKUP(I1109,$C$3:$L$6,10,0)),"",VLOOKUP(I1109,$C$3:$L$6,10,0)+J1109+IF(OR(VLOOKUP(I1109,$C$3:$L$6,5,0)=Variables!$B$5,B1109&gt;VLOOKUP(I1109,$C$3:$L$6,8,0)),IF(VLOOKUP(I1109,$C$3:$L$6,5,0)=Variables!$B$5,((YEAR(B1109)-YEAR($B$12))*12+MONTH(B1109)-MONTH($B$12)),((YEAR(B1109)-YEAR(VLOOKUP(I1109,$C$3:$L$6,8,0)))*12+MONTH(B1109)-MONTH(VLOOKUP(I1109,$C$3:$L$6,8,0))))*VLOOKUP(I1109,$C$3:$L$6,7,0),0)),""),"")</f>
        <v/>
      </c>
      <c r="L1109" s="29" t="str">
        <f t="shared" ca="1" si="94"/>
        <v/>
      </c>
      <c r="M1109" s="10"/>
      <c r="N1109" s="10"/>
    </row>
    <row r="1110" spans="1:14" x14ac:dyDescent="0.25">
      <c r="A1110" s="10"/>
      <c r="B1110" s="14" t="str">
        <f t="shared" ca="1" si="95"/>
        <v/>
      </c>
      <c r="C1110" s="14" t="str">
        <f ca="1">IF(I1109&lt;&gt;Variables!$B$1,IF(H1109&lt;&gt;0,C1109,I1109),"")</f>
        <v/>
      </c>
      <c r="D1110" s="29" t="str">
        <f t="shared" ca="1" si="92"/>
        <v/>
      </c>
      <c r="E1110" s="29" t="str">
        <f t="shared" ca="1" si="93"/>
        <v/>
      </c>
      <c r="F1110" s="29" t="str">
        <f ca="1">IF(C1110&lt;&gt;"",IF(OR(VLOOKUP(C1110,$C$3:$L$6,5,0)=Variables!$B$5,B1110&gt;VLOOKUP(C1110,$C$3:$L$6,8,0)),-D1110*VLOOKUP(C1110,$C$3:$L$6,6,0)/12,0),"")</f>
        <v/>
      </c>
      <c r="G1110" s="29" t="str">
        <f ca="1">IF(I1110&lt;&gt;Variables!$B$1,IF(C1110&lt;&gt;"",$I$9-E1110-F1110,""),-D1110)</f>
        <v/>
      </c>
      <c r="H1110" s="29" t="str">
        <f t="shared" ca="1" si="96"/>
        <v/>
      </c>
      <c r="I1110" s="31" t="str">
        <f ca="1">IF(C1110&lt;&gt;"",IF(D1110+$I$9-E1110-F1110&gt;=0,IF(ISERROR(INDEX($C$3:$C$6,MATCH(C1110,$C$3:$C$6,0)+1,0)),Variables!$B$1,INDEX($C$3:$C$6,MATCH(C1110,$C$3:$C$6,0)+1,0)),""),"")</f>
        <v/>
      </c>
      <c r="J1110" s="29" t="str">
        <f ca="1">IF(ISERROR(VLOOKUP(I1110,$C$3:$L$6,5,0)),"",IF(OR(VLOOKUP(I1110,$C$3:$L$6,5,0)=Variables!$B$5,B1110&gt;VLOOKUP(I1110,$C$3:$L$6,8,0)),IF(VLOOKUP(I1110,$C$3:$L$6,5,0)=Variables!$B$5,((YEAR(B1110)-YEAR($B$12))*12+MONTH(B1110)-MONTH($B$12)),((YEAR(B1110)-YEAR(VLOOKUP(I1110,$C$3:$L$6,8,0)))*12+MONTH(B1110)-MONTH(VLOOKUP(I1110,$C$3:$L$6,8,0))))*(VLOOKUP(I1110,$C$3:$L$6,10,0)*VLOOKUP(I1110,$C$3:$L$6,6,0)/12),0))</f>
        <v/>
      </c>
      <c r="K1110" s="29" t="str">
        <f ca="1">IF(C1110&lt;&gt;"",IF(I1110&lt;&gt;"",IF(ISERROR(VLOOKUP(I1110,$C$3:$L$6,10,0)),"",VLOOKUP(I1110,$C$3:$L$6,10,0)+J1110+IF(OR(VLOOKUP(I1110,$C$3:$L$6,5,0)=Variables!$B$5,B1110&gt;VLOOKUP(I1110,$C$3:$L$6,8,0)),IF(VLOOKUP(I1110,$C$3:$L$6,5,0)=Variables!$B$5,((YEAR(B1110)-YEAR($B$12))*12+MONTH(B1110)-MONTH($B$12)),((YEAR(B1110)-YEAR(VLOOKUP(I1110,$C$3:$L$6,8,0)))*12+MONTH(B1110)-MONTH(VLOOKUP(I1110,$C$3:$L$6,8,0))))*VLOOKUP(I1110,$C$3:$L$6,7,0),0)),""),"")</f>
        <v/>
      </c>
      <c r="L1110" s="29" t="str">
        <f t="shared" ca="1" si="94"/>
        <v/>
      </c>
      <c r="M1110" s="10"/>
      <c r="N1110" s="10"/>
    </row>
    <row r="1111" spans="1:14" x14ac:dyDescent="0.25">
      <c r="A1111" s="10"/>
      <c r="B1111" s="14" t="str">
        <f t="shared" ca="1" si="95"/>
        <v/>
      </c>
      <c r="C1111" s="14" t="str">
        <f ca="1">IF(I1110&lt;&gt;Variables!$B$1,IF(H1110&lt;&gt;0,C1110,I1110),"")</f>
        <v/>
      </c>
      <c r="D1111" s="29" t="str">
        <f t="shared" ca="1" si="92"/>
        <v/>
      </c>
      <c r="E1111" s="29" t="str">
        <f t="shared" ca="1" si="93"/>
        <v/>
      </c>
      <c r="F1111" s="29" t="str">
        <f ca="1">IF(C1111&lt;&gt;"",IF(OR(VLOOKUP(C1111,$C$3:$L$6,5,0)=Variables!$B$5,B1111&gt;VLOOKUP(C1111,$C$3:$L$6,8,0)),-D1111*VLOOKUP(C1111,$C$3:$L$6,6,0)/12,0),"")</f>
        <v/>
      </c>
      <c r="G1111" s="29" t="str">
        <f ca="1">IF(I1111&lt;&gt;Variables!$B$1,IF(C1111&lt;&gt;"",$I$9-E1111-F1111,""),-D1111)</f>
        <v/>
      </c>
      <c r="H1111" s="29" t="str">
        <f t="shared" ca="1" si="96"/>
        <v/>
      </c>
      <c r="I1111" s="31" t="str">
        <f ca="1">IF(C1111&lt;&gt;"",IF(D1111+$I$9-E1111-F1111&gt;=0,IF(ISERROR(INDEX($C$3:$C$6,MATCH(C1111,$C$3:$C$6,0)+1,0)),Variables!$B$1,INDEX($C$3:$C$6,MATCH(C1111,$C$3:$C$6,0)+1,0)),""),"")</f>
        <v/>
      </c>
      <c r="J1111" s="29" t="str">
        <f ca="1">IF(ISERROR(VLOOKUP(I1111,$C$3:$L$6,5,0)),"",IF(OR(VLOOKUP(I1111,$C$3:$L$6,5,0)=Variables!$B$5,B1111&gt;VLOOKUP(I1111,$C$3:$L$6,8,0)),IF(VLOOKUP(I1111,$C$3:$L$6,5,0)=Variables!$B$5,((YEAR(B1111)-YEAR($B$12))*12+MONTH(B1111)-MONTH($B$12)),((YEAR(B1111)-YEAR(VLOOKUP(I1111,$C$3:$L$6,8,0)))*12+MONTH(B1111)-MONTH(VLOOKUP(I1111,$C$3:$L$6,8,0))))*(VLOOKUP(I1111,$C$3:$L$6,10,0)*VLOOKUP(I1111,$C$3:$L$6,6,0)/12),0))</f>
        <v/>
      </c>
      <c r="K1111" s="29" t="str">
        <f ca="1">IF(C1111&lt;&gt;"",IF(I1111&lt;&gt;"",IF(ISERROR(VLOOKUP(I1111,$C$3:$L$6,10,0)),"",VLOOKUP(I1111,$C$3:$L$6,10,0)+J1111+IF(OR(VLOOKUP(I1111,$C$3:$L$6,5,0)=Variables!$B$5,B1111&gt;VLOOKUP(I1111,$C$3:$L$6,8,0)),IF(VLOOKUP(I1111,$C$3:$L$6,5,0)=Variables!$B$5,((YEAR(B1111)-YEAR($B$12))*12+MONTH(B1111)-MONTH($B$12)),((YEAR(B1111)-YEAR(VLOOKUP(I1111,$C$3:$L$6,8,0)))*12+MONTH(B1111)-MONTH(VLOOKUP(I1111,$C$3:$L$6,8,0))))*VLOOKUP(I1111,$C$3:$L$6,7,0),0)),""),"")</f>
        <v/>
      </c>
      <c r="L1111" s="29" t="str">
        <f t="shared" ca="1" si="94"/>
        <v/>
      </c>
      <c r="M1111" s="10"/>
      <c r="N1111" s="10"/>
    </row>
    <row r="1112" spans="1:14" x14ac:dyDescent="0.25">
      <c r="A1112" s="10"/>
      <c r="B1112" s="14" t="str">
        <f t="shared" ca="1" si="95"/>
        <v/>
      </c>
      <c r="C1112" s="14" t="str">
        <f ca="1">IF(I1111&lt;&gt;Variables!$B$1,IF(H1111&lt;&gt;0,C1111,I1111),"")</f>
        <v/>
      </c>
      <c r="D1112" s="29" t="str">
        <f t="shared" ca="1" si="92"/>
        <v/>
      </c>
      <c r="E1112" s="29" t="str">
        <f t="shared" ca="1" si="93"/>
        <v/>
      </c>
      <c r="F1112" s="29" t="str">
        <f ca="1">IF(C1112&lt;&gt;"",IF(OR(VLOOKUP(C1112,$C$3:$L$6,5,0)=Variables!$B$5,B1112&gt;VLOOKUP(C1112,$C$3:$L$6,8,0)),-D1112*VLOOKUP(C1112,$C$3:$L$6,6,0)/12,0),"")</f>
        <v/>
      </c>
      <c r="G1112" s="29" t="str">
        <f ca="1">IF(I1112&lt;&gt;Variables!$B$1,IF(C1112&lt;&gt;"",$I$9-E1112-F1112,""),-D1112)</f>
        <v/>
      </c>
      <c r="H1112" s="29" t="str">
        <f t="shared" ca="1" si="96"/>
        <v/>
      </c>
      <c r="I1112" s="31" t="str">
        <f ca="1">IF(C1112&lt;&gt;"",IF(D1112+$I$9-E1112-F1112&gt;=0,IF(ISERROR(INDEX($C$3:$C$6,MATCH(C1112,$C$3:$C$6,0)+1,0)),Variables!$B$1,INDEX($C$3:$C$6,MATCH(C1112,$C$3:$C$6,0)+1,0)),""),"")</f>
        <v/>
      </c>
      <c r="J1112" s="29" t="str">
        <f ca="1">IF(ISERROR(VLOOKUP(I1112,$C$3:$L$6,5,0)),"",IF(OR(VLOOKUP(I1112,$C$3:$L$6,5,0)=Variables!$B$5,B1112&gt;VLOOKUP(I1112,$C$3:$L$6,8,0)),IF(VLOOKUP(I1112,$C$3:$L$6,5,0)=Variables!$B$5,((YEAR(B1112)-YEAR($B$12))*12+MONTH(B1112)-MONTH($B$12)),((YEAR(B1112)-YEAR(VLOOKUP(I1112,$C$3:$L$6,8,0)))*12+MONTH(B1112)-MONTH(VLOOKUP(I1112,$C$3:$L$6,8,0))))*(VLOOKUP(I1112,$C$3:$L$6,10,0)*VLOOKUP(I1112,$C$3:$L$6,6,0)/12),0))</f>
        <v/>
      </c>
      <c r="K1112" s="29" t="str">
        <f ca="1">IF(C1112&lt;&gt;"",IF(I1112&lt;&gt;"",IF(ISERROR(VLOOKUP(I1112,$C$3:$L$6,10,0)),"",VLOOKUP(I1112,$C$3:$L$6,10,0)+J1112+IF(OR(VLOOKUP(I1112,$C$3:$L$6,5,0)=Variables!$B$5,B1112&gt;VLOOKUP(I1112,$C$3:$L$6,8,0)),IF(VLOOKUP(I1112,$C$3:$L$6,5,0)=Variables!$B$5,((YEAR(B1112)-YEAR($B$12))*12+MONTH(B1112)-MONTH($B$12)),((YEAR(B1112)-YEAR(VLOOKUP(I1112,$C$3:$L$6,8,0)))*12+MONTH(B1112)-MONTH(VLOOKUP(I1112,$C$3:$L$6,8,0))))*VLOOKUP(I1112,$C$3:$L$6,7,0),0)),""),"")</f>
        <v/>
      </c>
      <c r="L1112" s="29" t="str">
        <f t="shared" ca="1" si="94"/>
        <v/>
      </c>
      <c r="M1112" s="10"/>
      <c r="N1112" s="10"/>
    </row>
    <row r="1113" spans="1:14" x14ac:dyDescent="0.25">
      <c r="A1113" s="10"/>
      <c r="B1113" s="14" t="str">
        <f t="shared" ca="1" si="95"/>
        <v/>
      </c>
      <c r="C1113" s="14" t="str">
        <f ca="1">IF(I1112&lt;&gt;Variables!$B$1,IF(H1112&lt;&gt;0,C1112,I1112),"")</f>
        <v/>
      </c>
      <c r="D1113" s="29" t="str">
        <f t="shared" ca="1" si="92"/>
        <v/>
      </c>
      <c r="E1113" s="29" t="str">
        <f t="shared" ca="1" si="93"/>
        <v/>
      </c>
      <c r="F1113" s="29" t="str">
        <f ca="1">IF(C1113&lt;&gt;"",IF(OR(VLOOKUP(C1113,$C$3:$L$6,5,0)=Variables!$B$5,B1113&gt;VLOOKUP(C1113,$C$3:$L$6,8,0)),-D1113*VLOOKUP(C1113,$C$3:$L$6,6,0)/12,0),"")</f>
        <v/>
      </c>
      <c r="G1113" s="29" t="str">
        <f ca="1">IF(I1113&lt;&gt;Variables!$B$1,IF(C1113&lt;&gt;"",$I$9-E1113-F1113,""),-D1113)</f>
        <v/>
      </c>
      <c r="H1113" s="29" t="str">
        <f t="shared" ca="1" si="96"/>
        <v/>
      </c>
      <c r="I1113" s="31" t="str">
        <f ca="1">IF(C1113&lt;&gt;"",IF(D1113+$I$9-E1113-F1113&gt;=0,IF(ISERROR(INDEX($C$3:$C$6,MATCH(C1113,$C$3:$C$6,0)+1,0)),Variables!$B$1,INDEX($C$3:$C$6,MATCH(C1113,$C$3:$C$6,0)+1,0)),""),"")</f>
        <v/>
      </c>
      <c r="J1113" s="29" t="str">
        <f ca="1">IF(ISERROR(VLOOKUP(I1113,$C$3:$L$6,5,0)),"",IF(OR(VLOOKUP(I1113,$C$3:$L$6,5,0)=Variables!$B$5,B1113&gt;VLOOKUP(I1113,$C$3:$L$6,8,0)),IF(VLOOKUP(I1113,$C$3:$L$6,5,0)=Variables!$B$5,((YEAR(B1113)-YEAR($B$12))*12+MONTH(B1113)-MONTH($B$12)),((YEAR(B1113)-YEAR(VLOOKUP(I1113,$C$3:$L$6,8,0)))*12+MONTH(B1113)-MONTH(VLOOKUP(I1113,$C$3:$L$6,8,0))))*(VLOOKUP(I1113,$C$3:$L$6,10,0)*VLOOKUP(I1113,$C$3:$L$6,6,0)/12),0))</f>
        <v/>
      </c>
      <c r="K1113" s="29" t="str">
        <f ca="1">IF(C1113&lt;&gt;"",IF(I1113&lt;&gt;"",IF(ISERROR(VLOOKUP(I1113,$C$3:$L$6,10,0)),"",VLOOKUP(I1113,$C$3:$L$6,10,0)+J1113+IF(OR(VLOOKUP(I1113,$C$3:$L$6,5,0)=Variables!$B$5,B1113&gt;VLOOKUP(I1113,$C$3:$L$6,8,0)),IF(VLOOKUP(I1113,$C$3:$L$6,5,0)=Variables!$B$5,((YEAR(B1113)-YEAR($B$12))*12+MONTH(B1113)-MONTH($B$12)),((YEAR(B1113)-YEAR(VLOOKUP(I1113,$C$3:$L$6,8,0)))*12+MONTH(B1113)-MONTH(VLOOKUP(I1113,$C$3:$L$6,8,0))))*VLOOKUP(I1113,$C$3:$L$6,7,0),0)),""),"")</f>
        <v/>
      </c>
      <c r="L1113" s="29" t="str">
        <f t="shared" ca="1" si="94"/>
        <v/>
      </c>
      <c r="M1113" s="10"/>
      <c r="N1113" s="10"/>
    </row>
    <row r="1114" spans="1:14" x14ac:dyDescent="0.25">
      <c r="A1114" s="10"/>
      <c r="B1114" s="14" t="str">
        <f t="shared" ca="1" si="95"/>
        <v/>
      </c>
      <c r="C1114" s="14" t="str">
        <f ca="1">IF(I1113&lt;&gt;Variables!$B$1,IF(H1113&lt;&gt;0,C1113,I1113),"")</f>
        <v/>
      </c>
      <c r="D1114" s="29" t="str">
        <f t="shared" ca="1" si="92"/>
        <v/>
      </c>
      <c r="E1114" s="29" t="str">
        <f t="shared" ca="1" si="93"/>
        <v/>
      </c>
      <c r="F1114" s="29" t="str">
        <f ca="1">IF(C1114&lt;&gt;"",IF(OR(VLOOKUP(C1114,$C$3:$L$6,5,0)=Variables!$B$5,B1114&gt;VLOOKUP(C1114,$C$3:$L$6,8,0)),-D1114*VLOOKUP(C1114,$C$3:$L$6,6,0)/12,0),"")</f>
        <v/>
      </c>
      <c r="G1114" s="29" t="str">
        <f ca="1">IF(I1114&lt;&gt;Variables!$B$1,IF(C1114&lt;&gt;"",$I$9-E1114-F1114,""),-D1114)</f>
        <v/>
      </c>
      <c r="H1114" s="29" t="str">
        <f t="shared" ca="1" si="96"/>
        <v/>
      </c>
      <c r="I1114" s="31" t="str">
        <f ca="1">IF(C1114&lt;&gt;"",IF(D1114+$I$9-E1114-F1114&gt;=0,IF(ISERROR(INDEX($C$3:$C$6,MATCH(C1114,$C$3:$C$6,0)+1,0)),Variables!$B$1,INDEX($C$3:$C$6,MATCH(C1114,$C$3:$C$6,0)+1,0)),""),"")</f>
        <v/>
      </c>
      <c r="J1114" s="29" t="str">
        <f ca="1">IF(ISERROR(VLOOKUP(I1114,$C$3:$L$6,5,0)),"",IF(OR(VLOOKUP(I1114,$C$3:$L$6,5,0)=Variables!$B$5,B1114&gt;VLOOKUP(I1114,$C$3:$L$6,8,0)),IF(VLOOKUP(I1114,$C$3:$L$6,5,0)=Variables!$B$5,((YEAR(B1114)-YEAR($B$12))*12+MONTH(B1114)-MONTH($B$12)),((YEAR(B1114)-YEAR(VLOOKUP(I1114,$C$3:$L$6,8,0)))*12+MONTH(B1114)-MONTH(VLOOKUP(I1114,$C$3:$L$6,8,0))))*(VLOOKUP(I1114,$C$3:$L$6,10,0)*VLOOKUP(I1114,$C$3:$L$6,6,0)/12),0))</f>
        <v/>
      </c>
      <c r="K1114" s="29" t="str">
        <f ca="1">IF(C1114&lt;&gt;"",IF(I1114&lt;&gt;"",IF(ISERROR(VLOOKUP(I1114,$C$3:$L$6,10,0)),"",VLOOKUP(I1114,$C$3:$L$6,10,0)+J1114+IF(OR(VLOOKUP(I1114,$C$3:$L$6,5,0)=Variables!$B$5,B1114&gt;VLOOKUP(I1114,$C$3:$L$6,8,0)),IF(VLOOKUP(I1114,$C$3:$L$6,5,0)=Variables!$B$5,((YEAR(B1114)-YEAR($B$12))*12+MONTH(B1114)-MONTH($B$12)),((YEAR(B1114)-YEAR(VLOOKUP(I1114,$C$3:$L$6,8,0)))*12+MONTH(B1114)-MONTH(VLOOKUP(I1114,$C$3:$L$6,8,0))))*VLOOKUP(I1114,$C$3:$L$6,7,0),0)),""),"")</f>
        <v/>
      </c>
      <c r="L1114" s="29" t="str">
        <f t="shared" ca="1" si="94"/>
        <v/>
      </c>
      <c r="M1114" s="10"/>
      <c r="N1114" s="10"/>
    </row>
    <row r="1115" spans="1:14" x14ac:dyDescent="0.25">
      <c r="A1115" s="10"/>
      <c r="B1115" s="14" t="str">
        <f t="shared" ca="1" si="95"/>
        <v/>
      </c>
      <c r="C1115" s="14" t="str">
        <f ca="1">IF(I1114&lt;&gt;Variables!$B$1,IF(H1114&lt;&gt;0,C1114,I1114),"")</f>
        <v/>
      </c>
      <c r="D1115" s="29" t="str">
        <f t="shared" ca="1" si="92"/>
        <v/>
      </c>
      <c r="E1115" s="29" t="str">
        <f t="shared" ca="1" si="93"/>
        <v/>
      </c>
      <c r="F1115" s="29" t="str">
        <f ca="1">IF(C1115&lt;&gt;"",IF(OR(VLOOKUP(C1115,$C$3:$L$6,5,0)=Variables!$B$5,B1115&gt;VLOOKUP(C1115,$C$3:$L$6,8,0)),-D1115*VLOOKUP(C1115,$C$3:$L$6,6,0)/12,0),"")</f>
        <v/>
      </c>
      <c r="G1115" s="29" t="str">
        <f ca="1">IF(I1115&lt;&gt;Variables!$B$1,IF(C1115&lt;&gt;"",$I$9-E1115-F1115,""),-D1115)</f>
        <v/>
      </c>
      <c r="H1115" s="29" t="str">
        <f t="shared" ca="1" si="96"/>
        <v/>
      </c>
      <c r="I1115" s="31" t="str">
        <f ca="1">IF(C1115&lt;&gt;"",IF(D1115+$I$9-E1115-F1115&gt;=0,IF(ISERROR(INDEX($C$3:$C$6,MATCH(C1115,$C$3:$C$6,0)+1,0)),Variables!$B$1,INDEX($C$3:$C$6,MATCH(C1115,$C$3:$C$6,0)+1,0)),""),"")</f>
        <v/>
      </c>
      <c r="J1115" s="29" t="str">
        <f ca="1">IF(ISERROR(VLOOKUP(I1115,$C$3:$L$6,5,0)),"",IF(OR(VLOOKUP(I1115,$C$3:$L$6,5,0)=Variables!$B$5,B1115&gt;VLOOKUP(I1115,$C$3:$L$6,8,0)),IF(VLOOKUP(I1115,$C$3:$L$6,5,0)=Variables!$B$5,((YEAR(B1115)-YEAR($B$12))*12+MONTH(B1115)-MONTH($B$12)),((YEAR(B1115)-YEAR(VLOOKUP(I1115,$C$3:$L$6,8,0)))*12+MONTH(B1115)-MONTH(VLOOKUP(I1115,$C$3:$L$6,8,0))))*(VLOOKUP(I1115,$C$3:$L$6,10,0)*VLOOKUP(I1115,$C$3:$L$6,6,0)/12),0))</f>
        <v/>
      </c>
      <c r="K1115" s="29" t="str">
        <f ca="1">IF(C1115&lt;&gt;"",IF(I1115&lt;&gt;"",IF(ISERROR(VLOOKUP(I1115,$C$3:$L$6,10,0)),"",VLOOKUP(I1115,$C$3:$L$6,10,0)+J1115+IF(OR(VLOOKUP(I1115,$C$3:$L$6,5,0)=Variables!$B$5,B1115&gt;VLOOKUP(I1115,$C$3:$L$6,8,0)),IF(VLOOKUP(I1115,$C$3:$L$6,5,0)=Variables!$B$5,((YEAR(B1115)-YEAR($B$12))*12+MONTH(B1115)-MONTH($B$12)),((YEAR(B1115)-YEAR(VLOOKUP(I1115,$C$3:$L$6,8,0)))*12+MONTH(B1115)-MONTH(VLOOKUP(I1115,$C$3:$L$6,8,0))))*VLOOKUP(I1115,$C$3:$L$6,7,0),0)),""),"")</f>
        <v/>
      </c>
      <c r="L1115" s="29" t="str">
        <f t="shared" ca="1" si="94"/>
        <v/>
      </c>
      <c r="M1115" s="10"/>
      <c r="N1115" s="10"/>
    </row>
    <row r="1116" spans="1:14" x14ac:dyDescent="0.25">
      <c r="A1116" s="10"/>
      <c r="B1116" s="14" t="str">
        <f t="shared" ca="1" si="95"/>
        <v/>
      </c>
      <c r="C1116" s="14" t="str">
        <f ca="1">IF(I1115&lt;&gt;Variables!$B$1,IF(H1115&lt;&gt;0,C1115,I1115),"")</f>
        <v/>
      </c>
      <c r="D1116" s="29" t="str">
        <f t="shared" ref="D1116:D1179" ca="1" si="97">IF(C1116&lt;&gt;"",IF(H1115&lt;&gt;0,H1115,L1115),"")</f>
        <v/>
      </c>
      <c r="E1116" s="29" t="str">
        <f t="shared" ref="E1116:E1179" ca="1" si="98">IF(C1116&lt;&gt;"",MINPAYMENT(C1116,ROW(B1116),COLUMN(B1116)),"")</f>
        <v/>
      </c>
      <c r="F1116" s="29" t="str">
        <f ca="1">IF(C1116&lt;&gt;"",IF(OR(VLOOKUP(C1116,$C$3:$L$6,5,0)=Variables!$B$5,B1116&gt;VLOOKUP(C1116,$C$3:$L$6,8,0)),-D1116*VLOOKUP(C1116,$C$3:$L$6,6,0)/12,0),"")</f>
        <v/>
      </c>
      <c r="G1116" s="29" t="str">
        <f ca="1">IF(I1116&lt;&gt;Variables!$B$1,IF(C1116&lt;&gt;"",$I$9-E1116-F1116,""),-D1116)</f>
        <v/>
      </c>
      <c r="H1116" s="29" t="str">
        <f t="shared" ca="1" si="96"/>
        <v/>
      </c>
      <c r="I1116" s="31" t="str">
        <f ca="1">IF(C1116&lt;&gt;"",IF(D1116+$I$9-E1116-F1116&gt;=0,IF(ISERROR(INDEX($C$3:$C$6,MATCH(C1116,$C$3:$C$6,0)+1,0)),Variables!$B$1,INDEX($C$3:$C$6,MATCH(C1116,$C$3:$C$6,0)+1,0)),""),"")</f>
        <v/>
      </c>
      <c r="J1116" s="29" t="str">
        <f ca="1">IF(ISERROR(VLOOKUP(I1116,$C$3:$L$6,5,0)),"",IF(OR(VLOOKUP(I1116,$C$3:$L$6,5,0)=Variables!$B$5,B1116&gt;VLOOKUP(I1116,$C$3:$L$6,8,0)),IF(VLOOKUP(I1116,$C$3:$L$6,5,0)=Variables!$B$5,((YEAR(B1116)-YEAR($B$12))*12+MONTH(B1116)-MONTH($B$12)),((YEAR(B1116)-YEAR(VLOOKUP(I1116,$C$3:$L$6,8,0)))*12+MONTH(B1116)-MONTH(VLOOKUP(I1116,$C$3:$L$6,8,0))))*(VLOOKUP(I1116,$C$3:$L$6,10,0)*VLOOKUP(I1116,$C$3:$L$6,6,0)/12),0))</f>
        <v/>
      </c>
      <c r="K1116" s="29" t="str">
        <f ca="1">IF(C1116&lt;&gt;"",IF(I1116&lt;&gt;"",IF(ISERROR(VLOOKUP(I1116,$C$3:$L$6,10,0)),"",VLOOKUP(I1116,$C$3:$L$6,10,0)+J1116+IF(OR(VLOOKUP(I1116,$C$3:$L$6,5,0)=Variables!$B$5,B1116&gt;VLOOKUP(I1116,$C$3:$L$6,8,0)),IF(VLOOKUP(I1116,$C$3:$L$6,5,0)=Variables!$B$5,((YEAR(B1116)-YEAR($B$12))*12+MONTH(B1116)-MONTH($B$12)),((YEAR(B1116)-YEAR(VLOOKUP(I1116,$C$3:$L$6,8,0)))*12+MONTH(B1116)-MONTH(VLOOKUP(I1116,$C$3:$L$6,8,0))))*VLOOKUP(I1116,$C$3:$L$6,7,0),0)),""),"")</f>
        <v/>
      </c>
      <c r="L1116" s="29" t="str">
        <f t="shared" ref="L1116:L1179" ca="1" si="99">IF(C1116&lt;&gt;"",IF(ISERROR(IF(D1116+G1116&gt;=0,K1116+D1116+G1116,"")),"",IF(D1116+G1116&gt;=0,K1116+D1116+G1116,"")),"")</f>
        <v/>
      </c>
      <c r="M1116" s="10"/>
      <c r="N1116" s="10"/>
    </row>
    <row r="1117" spans="1:14" x14ac:dyDescent="0.25">
      <c r="A1117" s="10"/>
      <c r="B1117" s="14" t="str">
        <f t="shared" ref="B1117:B1180" ca="1" si="100">IF(C1117&lt;&gt;"",DATE(YEAR(B1116),MONTH(B1116)+1,DAY(B1116)),"")</f>
        <v/>
      </c>
      <c r="C1117" s="14" t="str">
        <f ca="1">IF(I1116&lt;&gt;Variables!$B$1,IF(H1116&lt;&gt;0,C1116,I1116),"")</f>
        <v/>
      </c>
      <c r="D1117" s="29" t="str">
        <f t="shared" ca="1" si="97"/>
        <v/>
      </c>
      <c r="E1117" s="29" t="str">
        <f t="shared" ca="1" si="98"/>
        <v/>
      </c>
      <c r="F1117" s="29" t="str">
        <f ca="1">IF(C1117&lt;&gt;"",IF(OR(VLOOKUP(C1117,$C$3:$L$6,5,0)=Variables!$B$5,B1117&gt;VLOOKUP(C1117,$C$3:$L$6,8,0)),-D1117*VLOOKUP(C1117,$C$3:$L$6,6,0)/12,0),"")</f>
        <v/>
      </c>
      <c r="G1117" s="29" t="str">
        <f ca="1">IF(I1117&lt;&gt;Variables!$B$1,IF(C1117&lt;&gt;"",$I$9-E1117-F1117,""),-D1117)</f>
        <v/>
      </c>
      <c r="H1117" s="29" t="str">
        <f t="shared" ref="H1117:H1180" ca="1" si="101">IF(C1117&lt;&gt;"",IF(D1117+G1117&lt;0,D1117+G1117,0),"")</f>
        <v/>
      </c>
      <c r="I1117" s="31" t="str">
        <f ca="1">IF(C1117&lt;&gt;"",IF(D1117+$I$9-E1117-F1117&gt;=0,IF(ISERROR(INDEX($C$3:$C$6,MATCH(C1117,$C$3:$C$6,0)+1,0)),Variables!$B$1,INDEX($C$3:$C$6,MATCH(C1117,$C$3:$C$6,0)+1,0)),""),"")</f>
        <v/>
      </c>
      <c r="J1117" s="29" t="str">
        <f ca="1">IF(ISERROR(VLOOKUP(I1117,$C$3:$L$6,5,0)),"",IF(OR(VLOOKUP(I1117,$C$3:$L$6,5,0)=Variables!$B$5,B1117&gt;VLOOKUP(I1117,$C$3:$L$6,8,0)),IF(VLOOKUP(I1117,$C$3:$L$6,5,0)=Variables!$B$5,((YEAR(B1117)-YEAR($B$12))*12+MONTH(B1117)-MONTH($B$12)),((YEAR(B1117)-YEAR(VLOOKUP(I1117,$C$3:$L$6,8,0)))*12+MONTH(B1117)-MONTH(VLOOKUP(I1117,$C$3:$L$6,8,0))))*(VLOOKUP(I1117,$C$3:$L$6,10,0)*VLOOKUP(I1117,$C$3:$L$6,6,0)/12),0))</f>
        <v/>
      </c>
      <c r="K1117" s="29" t="str">
        <f ca="1">IF(C1117&lt;&gt;"",IF(I1117&lt;&gt;"",IF(ISERROR(VLOOKUP(I1117,$C$3:$L$6,10,0)),"",VLOOKUP(I1117,$C$3:$L$6,10,0)+J1117+IF(OR(VLOOKUP(I1117,$C$3:$L$6,5,0)=Variables!$B$5,B1117&gt;VLOOKUP(I1117,$C$3:$L$6,8,0)),IF(VLOOKUP(I1117,$C$3:$L$6,5,0)=Variables!$B$5,((YEAR(B1117)-YEAR($B$12))*12+MONTH(B1117)-MONTH($B$12)),((YEAR(B1117)-YEAR(VLOOKUP(I1117,$C$3:$L$6,8,0)))*12+MONTH(B1117)-MONTH(VLOOKUP(I1117,$C$3:$L$6,8,0))))*VLOOKUP(I1117,$C$3:$L$6,7,0),0)),""),"")</f>
        <v/>
      </c>
      <c r="L1117" s="29" t="str">
        <f t="shared" ca="1" si="99"/>
        <v/>
      </c>
      <c r="M1117" s="10"/>
      <c r="N1117" s="10"/>
    </row>
    <row r="1118" spans="1:14" x14ac:dyDescent="0.25">
      <c r="A1118" s="10"/>
      <c r="B1118" s="14" t="str">
        <f t="shared" ca="1" si="100"/>
        <v/>
      </c>
      <c r="C1118" s="14" t="str">
        <f ca="1">IF(I1117&lt;&gt;Variables!$B$1,IF(H1117&lt;&gt;0,C1117,I1117),"")</f>
        <v/>
      </c>
      <c r="D1118" s="29" t="str">
        <f t="shared" ca="1" si="97"/>
        <v/>
      </c>
      <c r="E1118" s="29" t="str">
        <f t="shared" ca="1" si="98"/>
        <v/>
      </c>
      <c r="F1118" s="29" t="str">
        <f ca="1">IF(C1118&lt;&gt;"",IF(OR(VLOOKUP(C1118,$C$3:$L$6,5,0)=Variables!$B$5,B1118&gt;VLOOKUP(C1118,$C$3:$L$6,8,0)),-D1118*VLOOKUP(C1118,$C$3:$L$6,6,0)/12,0),"")</f>
        <v/>
      </c>
      <c r="G1118" s="29" t="str">
        <f ca="1">IF(I1118&lt;&gt;Variables!$B$1,IF(C1118&lt;&gt;"",$I$9-E1118-F1118,""),-D1118)</f>
        <v/>
      </c>
      <c r="H1118" s="29" t="str">
        <f t="shared" ca="1" si="101"/>
        <v/>
      </c>
      <c r="I1118" s="31" t="str">
        <f ca="1">IF(C1118&lt;&gt;"",IF(D1118+$I$9-E1118-F1118&gt;=0,IF(ISERROR(INDEX($C$3:$C$6,MATCH(C1118,$C$3:$C$6,0)+1,0)),Variables!$B$1,INDEX($C$3:$C$6,MATCH(C1118,$C$3:$C$6,0)+1,0)),""),"")</f>
        <v/>
      </c>
      <c r="J1118" s="29" t="str">
        <f ca="1">IF(ISERROR(VLOOKUP(I1118,$C$3:$L$6,5,0)),"",IF(OR(VLOOKUP(I1118,$C$3:$L$6,5,0)=Variables!$B$5,B1118&gt;VLOOKUP(I1118,$C$3:$L$6,8,0)),IF(VLOOKUP(I1118,$C$3:$L$6,5,0)=Variables!$B$5,((YEAR(B1118)-YEAR($B$12))*12+MONTH(B1118)-MONTH($B$12)),((YEAR(B1118)-YEAR(VLOOKUP(I1118,$C$3:$L$6,8,0)))*12+MONTH(B1118)-MONTH(VLOOKUP(I1118,$C$3:$L$6,8,0))))*(VLOOKUP(I1118,$C$3:$L$6,10,0)*VLOOKUP(I1118,$C$3:$L$6,6,0)/12),0))</f>
        <v/>
      </c>
      <c r="K1118" s="29" t="str">
        <f ca="1">IF(C1118&lt;&gt;"",IF(I1118&lt;&gt;"",IF(ISERROR(VLOOKUP(I1118,$C$3:$L$6,10,0)),"",VLOOKUP(I1118,$C$3:$L$6,10,0)+J1118+IF(OR(VLOOKUP(I1118,$C$3:$L$6,5,0)=Variables!$B$5,B1118&gt;VLOOKUP(I1118,$C$3:$L$6,8,0)),IF(VLOOKUP(I1118,$C$3:$L$6,5,0)=Variables!$B$5,((YEAR(B1118)-YEAR($B$12))*12+MONTH(B1118)-MONTH($B$12)),((YEAR(B1118)-YEAR(VLOOKUP(I1118,$C$3:$L$6,8,0)))*12+MONTH(B1118)-MONTH(VLOOKUP(I1118,$C$3:$L$6,8,0))))*VLOOKUP(I1118,$C$3:$L$6,7,0),0)),""),"")</f>
        <v/>
      </c>
      <c r="L1118" s="29" t="str">
        <f t="shared" ca="1" si="99"/>
        <v/>
      </c>
      <c r="M1118" s="10"/>
      <c r="N1118" s="10"/>
    </row>
    <row r="1119" spans="1:14" x14ac:dyDescent="0.25">
      <c r="A1119" s="10"/>
      <c r="B1119" s="14" t="str">
        <f t="shared" ca="1" si="100"/>
        <v/>
      </c>
      <c r="C1119" s="14" t="str">
        <f ca="1">IF(I1118&lt;&gt;Variables!$B$1,IF(H1118&lt;&gt;0,C1118,I1118),"")</f>
        <v/>
      </c>
      <c r="D1119" s="29" t="str">
        <f t="shared" ca="1" si="97"/>
        <v/>
      </c>
      <c r="E1119" s="29" t="str">
        <f t="shared" ca="1" si="98"/>
        <v/>
      </c>
      <c r="F1119" s="29" t="str">
        <f ca="1">IF(C1119&lt;&gt;"",IF(OR(VLOOKUP(C1119,$C$3:$L$6,5,0)=Variables!$B$5,B1119&gt;VLOOKUP(C1119,$C$3:$L$6,8,0)),-D1119*VLOOKUP(C1119,$C$3:$L$6,6,0)/12,0),"")</f>
        <v/>
      </c>
      <c r="G1119" s="29" t="str">
        <f ca="1">IF(I1119&lt;&gt;Variables!$B$1,IF(C1119&lt;&gt;"",$I$9-E1119-F1119,""),-D1119)</f>
        <v/>
      </c>
      <c r="H1119" s="29" t="str">
        <f t="shared" ca="1" si="101"/>
        <v/>
      </c>
      <c r="I1119" s="31" t="str">
        <f ca="1">IF(C1119&lt;&gt;"",IF(D1119+$I$9-E1119-F1119&gt;=0,IF(ISERROR(INDEX($C$3:$C$6,MATCH(C1119,$C$3:$C$6,0)+1,0)),Variables!$B$1,INDEX($C$3:$C$6,MATCH(C1119,$C$3:$C$6,0)+1,0)),""),"")</f>
        <v/>
      </c>
      <c r="J1119" s="29" t="str">
        <f ca="1">IF(ISERROR(VLOOKUP(I1119,$C$3:$L$6,5,0)),"",IF(OR(VLOOKUP(I1119,$C$3:$L$6,5,0)=Variables!$B$5,B1119&gt;VLOOKUP(I1119,$C$3:$L$6,8,0)),IF(VLOOKUP(I1119,$C$3:$L$6,5,0)=Variables!$B$5,((YEAR(B1119)-YEAR($B$12))*12+MONTH(B1119)-MONTH($B$12)),((YEAR(B1119)-YEAR(VLOOKUP(I1119,$C$3:$L$6,8,0)))*12+MONTH(B1119)-MONTH(VLOOKUP(I1119,$C$3:$L$6,8,0))))*(VLOOKUP(I1119,$C$3:$L$6,10,0)*VLOOKUP(I1119,$C$3:$L$6,6,0)/12),0))</f>
        <v/>
      </c>
      <c r="K1119" s="29" t="str">
        <f ca="1">IF(C1119&lt;&gt;"",IF(I1119&lt;&gt;"",IF(ISERROR(VLOOKUP(I1119,$C$3:$L$6,10,0)),"",VLOOKUP(I1119,$C$3:$L$6,10,0)+J1119+IF(OR(VLOOKUP(I1119,$C$3:$L$6,5,0)=Variables!$B$5,B1119&gt;VLOOKUP(I1119,$C$3:$L$6,8,0)),IF(VLOOKUP(I1119,$C$3:$L$6,5,0)=Variables!$B$5,((YEAR(B1119)-YEAR($B$12))*12+MONTH(B1119)-MONTH($B$12)),((YEAR(B1119)-YEAR(VLOOKUP(I1119,$C$3:$L$6,8,0)))*12+MONTH(B1119)-MONTH(VLOOKUP(I1119,$C$3:$L$6,8,0))))*VLOOKUP(I1119,$C$3:$L$6,7,0),0)),""),"")</f>
        <v/>
      </c>
      <c r="L1119" s="29" t="str">
        <f t="shared" ca="1" si="99"/>
        <v/>
      </c>
      <c r="M1119" s="10"/>
      <c r="N1119" s="10"/>
    </row>
    <row r="1120" spans="1:14" x14ac:dyDescent="0.25">
      <c r="A1120" s="10"/>
      <c r="B1120" s="14" t="str">
        <f t="shared" ca="1" si="100"/>
        <v/>
      </c>
      <c r="C1120" s="14" t="str">
        <f ca="1">IF(I1119&lt;&gt;Variables!$B$1,IF(H1119&lt;&gt;0,C1119,I1119),"")</f>
        <v/>
      </c>
      <c r="D1120" s="29" t="str">
        <f t="shared" ca="1" si="97"/>
        <v/>
      </c>
      <c r="E1120" s="29" t="str">
        <f t="shared" ca="1" si="98"/>
        <v/>
      </c>
      <c r="F1120" s="29" t="str">
        <f ca="1">IF(C1120&lt;&gt;"",IF(OR(VLOOKUP(C1120,$C$3:$L$6,5,0)=Variables!$B$5,B1120&gt;VLOOKUP(C1120,$C$3:$L$6,8,0)),-D1120*VLOOKUP(C1120,$C$3:$L$6,6,0)/12,0),"")</f>
        <v/>
      </c>
      <c r="G1120" s="29" t="str">
        <f ca="1">IF(I1120&lt;&gt;Variables!$B$1,IF(C1120&lt;&gt;"",$I$9-E1120-F1120,""),-D1120)</f>
        <v/>
      </c>
      <c r="H1120" s="29" t="str">
        <f t="shared" ca="1" si="101"/>
        <v/>
      </c>
      <c r="I1120" s="31" t="str">
        <f ca="1">IF(C1120&lt;&gt;"",IF(D1120+$I$9-E1120-F1120&gt;=0,IF(ISERROR(INDEX($C$3:$C$6,MATCH(C1120,$C$3:$C$6,0)+1,0)),Variables!$B$1,INDEX($C$3:$C$6,MATCH(C1120,$C$3:$C$6,0)+1,0)),""),"")</f>
        <v/>
      </c>
      <c r="J1120" s="29" t="str">
        <f ca="1">IF(ISERROR(VLOOKUP(I1120,$C$3:$L$6,5,0)),"",IF(OR(VLOOKUP(I1120,$C$3:$L$6,5,0)=Variables!$B$5,B1120&gt;VLOOKUP(I1120,$C$3:$L$6,8,0)),IF(VLOOKUP(I1120,$C$3:$L$6,5,0)=Variables!$B$5,((YEAR(B1120)-YEAR($B$12))*12+MONTH(B1120)-MONTH($B$12)),((YEAR(B1120)-YEAR(VLOOKUP(I1120,$C$3:$L$6,8,0)))*12+MONTH(B1120)-MONTH(VLOOKUP(I1120,$C$3:$L$6,8,0))))*(VLOOKUP(I1120,$C$3:$L$6,10,0)*VLOOKUP(I1120,$C$3:$L$6,6,0)/12),0))</f>
        <v/>
      </c>
      <c r="K1120" s="29" t="str">
        <f ca="1">IF(C1120&lt;&gt;"",IF(I1120&lt;&gt;"",IF(ISERROR(VLOOKUP(I1120,$C$3:$L$6,10,0)),"",VLOOKUP(I1120,$C$3:$L$6,10,0)+J1120+IF(OR(VLOOKUP(I1120,$C$3:$L$6,5,0)=Variables!$B$5,B1120&gt;VLOOKUP(I1120,$C$3:$L$6,8,0)),IF(VLOOKUP(I1120,$C$3:$L$6,5,0)=Variables!$B$5,((YEAR(B1120)-YEAR($B$12))*12+MONTH(B1120)-MONTH($B$12)),((YEAR(B1120)-YEAR(VLOOKUP(I1120,$C$3:$L$6,8,0)))*12+MONTH(B1120)-MONTH(VLOOKUP(I1120,$C$3:$L$6,8,0))))*VLOOKUP(I1120,$C$3:$L$6,7,0),0)),""),"")</f>
        <v/>
      </c>
      <c r="L1120" s="29" t="str">
        <f t="shared" ca="1" si="99"/>
        <v/>
      </c>
      <c r="M1120" s="10"/>
      <c r="N1120" s="10"/>
    </row>
    <row r="1121" spans="1:14" x14ac:dyDescent="0.25">
      <c r="A1121" s="10"/>
      <c r="B1121" s="14" t="str">
        <f t="shared" ca="1" si="100"/>
        <v/>
      </c>
      <c r="C1121" s="14" t="str">
        <f ca="1">IF(I1120&lt;&gt;Variables!$B$1,IF(H1120&lt;&gt;0,C1120,I1120),"")</f>
        <v/>
      </c>
      <c r="D1121" s="29" t="str">
        <f t="shared" ca="1" si="97"/>
        <v/>
      </c>
      <c r="E1121" s="29" t="str">
        <f t="shared" ca="1" si="98"/>
        <v/>
      </c>
      <c r="F1121" s="29" t="str">
        <f ca="1">IF(C1121&lt;&gt;"",IF(OR(VLOOKUP(C1121,$C$3:$L$6,5,0)=Variables!$B$5,B1121&gt;VLOOKUP(C1121,$C$3:$L$6,8,0)),-D1121*VLOOKUP(C1121,$C$3:$L$6,6,0)/12,0),"")</f>
        <v/>
      </c>
      <c r="G1121" s="29" t="str">
        <f ca="1">IF(I1121&lt;&gt;Variables!$B$1,IF(C1121&lt;&gt;"",$I$9-E1121-F1121,""),-D1121)</f>
        <v/>
      </c>
      <c r="H1121" s="29" t="str">
        <f t="shared" ca="1" si="101"/>
        <v/>
      </c>
      <c r="I1121" s="31" t="str">
        <f ca="1">IF(C1121&lt;&gt;"",IF(D1121+$I$9-E1121-F1121&gt;=0,IF(ISERROR(INDEX($C$3:$C$6,MATCH(C1121,$C$3:$C$6,0)+1,0)),Variables!$B$1,INDEX($C$3:$C$6,MATCH(C1121,$C$3:$C$6,0)+1,0)),""),"")</f>
        <v/>
      </c>
      <c r="J1121" s="29" t="str">
        <f ca="1">IF(ISERROR(VLOOKUP(I1121,$C$3:$L$6,5,0)),"",IF(OR(VLOOKUP(I1121,$C$3:$L$6,5,0)=Variables!$B$5,B1121&gt;VLOOKUP(I1121,$C$3:$L$6,8,0)),IF(VLOOKUP(I1121,$C$3:$L$6,5,0)=Variables!$B$5,((YEAR(B1121)-YEAR($B$12))*12+MONTH(B1121)-MONTH($B$12)),((YEAR(B1121)-YEAR(VLOOKUP(I1121,$C$3:$L$6,8,0)))*12+MONTH(B1121)-MONTH(VLOOKUP(I1121,$C$3:$L$6,8,0))))*(VLOOKUP(I1121,$C$3:$L$6,10,0)*VLOOKUP(I1121,$C$3:$L$6,6,0)/12),0))</f>
        <v/>
      </c>
      <c r="K1121" s="29" t="str">
        <f ca="1">IF(C1121&lt;&gt;"",IF(I1121&lt;&gt;"",IF(ISERROR(VLOOKUP(I1121,$C$3:$L$6,10,0)),"",VLOOKUP(I1121,$C$3:$L$6,10,0)+J1121+IF(OR(VLOOKUP(I1121,$C$3:$L$6,5,0)=Variables!$B$5,B1121&gt;VLOOKUP(I1121,$C$3:$L$6,8,0)),IF(VLOOKUP(I1121,$C$3:$L$6,5,0)=Variables!$B$5,((YEAR(B1121)-YEAR($B$12))*12+MONTH(B1121)-MONTH($B$12)),((YEAR(B1121)-YEAR(VLOOKUP(I1121,$C$3:$L$6,8,0)))*12+MONTH(B1121)-MONTH(VLOOKUP(I1121,$C$3:$L$6,8,0))))*VLOOKUP(I1121,$C$3:$L$6,7,0),0)),""),"")</f>
        <v/>
      </c>
      <c r="L1121" s="29" t="str">
        <f t="shared" ca="1" si="99"/>
        <v/>
      </c>
      <c r="M1121" s="10"/>
      <c r="N1121" s="10"/>
    </row>
    <row r="1122" spans="1:14" x14ac:dyDescent="0.25">
      <c r="A1122" s="10"/>
      <c r="B1122" s="14" t="str">
        <f t="shared" ca="1" si="100"/>
        <v/>
      </c>
      <c r="C1122" s="14" t="str">
        <f ca="1">IF(I1121&lt;&gt;Variables!$B$1,IF(H1121&lt;&gt;0,C1121,I1121),"")</f>
        <v/>
      </c>
      <c r="D1122" s="29" t="str">
        <f t="shared" ca="1" si="97"/>
        <v/>
      </c>
      <c r="E1122" s="29" t="str">
        <f t="shared" ca="1" si="98"/>
        <v/>
      </c>
      <c r="F1122" s="29" t="str">
        <f ca="1">IF(C1122&lt;&gt;"",IF(OR(VLOOKUP(C1122,$C$3:$L$6,5,0)=Variables!$B$5,B1122&gt;VLOOKUP(C1122,$C$3:$L$6,8,0)),-D1122*VLOOKUP(C1122,$C$3:$L$6,6,0)/12,0),"")</f>
        <v/>
      </c>
      <c r="G1122" s="29" t="str">
        <f ca="1">IF(I1122&lt;&gt;Variables!$B$1,IF(C1122&lt;&gt;"",$I$9-E1122-F1122,""),-D1122)</f>
        <v/>
      </c>
      <c r="H1122" s="29" t="str">
        <f t="shared" ca="1" si="101"/>
        <v/>
      </c>
      <c r="I1122" s="31" t="str">
        <f ca="1">IF(C1122&lt;&gt;"",IF(D1122+$I$9-E1122-F1122&gt;=0,IF(ISERROR(INDEX($C$3:$C$6,MATCH(C1122,$C$3:$C$6,0)+1,0)),Variables!$B$1,INDEX($C$3:$C$6,MATCH(C1122,$C$3:$C$6,0)+1,0)),""),"")</f>
        <v/>
      </c>
      <c r="J1122" s="29" t="str">
        <f ca="1">IF(ISERROR(VLOOKUP(I1122,$C$3:$L$6,5,0)),"",IF(OR(VLOOKUP(I1122,$C$3:$L$6,5,0)=Variables!$B$5,B1122&gt;VLOOKUP(I1122,$C$3:$L$6,8,0)),IF(VLOOKUP(I1122,$C$3:$L$6,5,0)=Variables!$B$5,((YEAR(B1122)-YEAR($B$12))*12+MONTH(B1122)-MONTH($B$12)),((YEAR(B1122)-YEAR(VLOOKUP(I1122,$C$3:$L$6,8,0)))*12+MONTH(B1122)-MONTH(VLOOKUP(I1122,$C$3:$L$6,8,0))))*(VLOOKUP(I1122,$C$3:$L$6,10,0)*VLOOKUP(I1122,$C$3:$L$6,6,0)/12),0))</f>
        <v/>
      </c>
      <c r="K1122" s="29" t="str">
        <f ca="1">IF(C1122&lt;&gt;"",IF(I1122&lt;&gt;"",IF(ISERROR(VLOOKUP(I1122,$C$3:$L$6,10,0)),"",VLOOKUP(I1122,$C$3:$L$6,10,0)+J1122+IF(OR(VLOOKUP(I1122,$C$3:$L$6,5,0)=Variables!$B$5,B1122&gt;VLOOKUP(I1122,$C$3:$L$6,8,0)),IF(VLOOKUP(I1122,$C$3:$L$6,5,0)=Variables!$B$5,((YEAR(B1122)-YEAR($B$12))*12+MONTH(B1122)-MONTH($B$12)),((YEAR(B1122)-YEAR(VLOOKUP(I1122,$C$3:$L$6,8,0)))*12+MONTH(B1122)-MONTH(VLOOKUP(I1122,$C$3:$L$6,8,0))))*VLOOKUP(I1122,$C$3:$L$6,7,0),0)),""),"")</f>
        <v/>
      </c>
      <c r="L1122" s="29" t="str">
        <f t="shared" ca="1" si="99"/>
        <v/>
      </c>
      <c r="M1122" s="10"/>
      <c r="N1122" s="10"/>
    </row>
    <row r="1123" spans="1:14" x14ac:dyDescent="0.25">
      <c r="A1123" s="10"/>
      <c r="B1123" s="14" t="str">
        <f t="shared" ca="1" si="100"/>
        <v/>
      </c>
      <c r="C1123" s="14" t="str">
        <f ca="1">IF(I1122&lt;&gt;Variables!$B$1,IF(H1122&lt;&gt;0,C1122,I1122),"")</f>
        <v/>
      </c>
      <c r="D1123" s="29" t="str">
        <f t="shared" ca="1" si="97"/>
        <v/>
      </c>
      <c r="E1123" s="29" t="str">
        <f t="shared" ca="1" si="98"/>
        <v/>
      </c>
      <c r="F1123" s="29" t="str">
        <f ca="1">IF(C1123&lt;&gt;"",IF(OR(VLOOKUP(C1123,$C$3:$L$6,5,0)=Variables!$B$5,B1123&gt;VLOOKUP(C1123,$C$3:$L$6,8,0)),-D1123*VLOOKUP(C1123,$C$3:$L$6,6,0)/12,0),"")</f>
        <v/>
      </c>
      <c r="G1123" s="29" t="str">
        <f ca="1">IF(I1123&lt;&gt;Variables!$B$1,IF(C1123&lt;&gt;"",$I$9-E1123-F1123,""),-D1123)</f>
        <v/>
      </c>
      <c r="H1123" s="29" t="str">
        <f t="shared" ca="1" si="101"/>
        <v/>
      </c>
      <c r="I1123" s="31" t="str">
        <f ca="1">IF(C1123&lt;&gt;"",IF(D1123+$I$9-E1123-F1123&gt;=0,IF(ISERROR(INDEX($C$3:$C$6,MATCH(C1123,$C$3:$C$6,0)+1,0)),Variables!$B$1,INDEX($C$3:$C$6,MATCH(C1123,$C$3:$C$6,0)+1,0)),""),"")</f>
        <v/>
      </c>
      <c r="J1123" s="29" t="str">
        <f ca="1">IF(ISERROR(VLOOKUP(I1123,$C$3:$L$6,5,0)),"",IF(OR(VLOOKUP(I1123,$C$3:$L$6,5,0)=Variables!$B$5,B1123&gt;VLOOKUP(I1123,$C$3:$L$6,8,0)),IF(VLOOKUP(I1123,$C$3:$L$6,5,0)=Variables!$B$5,((YEAR(B1123)-YEAR($B$12))*12+MONTH(B1123)-MONTH($B$12)),((YEAR(B1123)-YEAR(VLOOKUP(I1123,$C$3:$L$6,8,0)))*12+MONTH(B1123)-MONTH(VLOOKUP(I1123,$C$3:$L$6,8,0))))*(VLOOKUP(I1123,$C$3:$L$6,10,0)*VLOOKUP(I1123,$C$3:$L$6,6,0)/12),0))</f>
        <v/>
      </c>
      <c r="K1123" s="29" t="str">
        <f ca="1">IF(C1123&lt;&gt;"",IF(I1123&lt;&gt;"",IF(ISERROR(VLOOKUP(I1123,$C$3:$L$6,10,0)),"",VLOOKUP(I1123,$C$3:$L$6,10,0)+J1123+IF(OR(VLOOKUP(I1123,$C$3:$L$6,5,0)=Variables!$B$5,B1123&gt;VLOOKUP(I1123,$C$3:$L$6,8,0)),IF(VLOOKUP(I1123,$C$3:$L$6,5,0)=Variables!$B$5,((YEAR(B1123)-YEAR($B$12))*12+MONTH(B1123)-MONTH($B$12)),((YEAR(B1123)-YEAR(VLOOKUP(I1123,$C$3:$L$6,8,0)))*12+MONTH(B1123)-MONTH(VLOOKUP(I1123,$C$3:$L$6,8,0))))*VLOOKUP(I1123,$C$3:$L$6,7,0),0)),""),"")</f>
        <v/>
      </c>
      <c r="L1123" s="29" t="str">
        <f t="shared" ca="1" si="99"/>
        <v/>
      </c>
      <c r="M1123" s="10"/>
      <c r="N1123" s="10"/>
    </row>
    <row r="1124" spans="1:14" x14ac:dyDescent="0.25">
      <c r="A1124" s="10"/>
      <c r="B1124" s="14" t="str">
        <f t="shared" ca="1" si="100"/>
        <v/>
      </c>
      <c r="C1124" s="14" t="str">
        <f ca="1">IF(I1123&lt;&gt;Variables!$B$1,IF(H1123&lt;&gt;0,C1123,I1123),"")</f>
        <v/>
      </c>
      <c r="D1124" s="29" t="str">
        <f t="shared" ca="1" si="97"/>
        <v/>
      </c>
      <c r="E1124" s="29" t="str">
        <f t="shared" ca="1" si="98"/>
        <v/>
      </c>
      <c r="F1124" s="29" t="str">
        <f ca="1">IF(C1124&lt;&gt;"",IF(OR(VLOOKUP(C1124,$C$3:$L$6,5,0)=Variables!$B$5,B1124&gt;VLOOKUP(C1124,$C$3:$L$6,8,0)),-D1124*VLOOKUP(C1124,$C$3:$L$6,6,0)/12,0),"")</f>
        <v/>
      </c>
      <c r="G1124" s="29" t="str">
        <f ca="1">IF(I1124&lt;&gt;Variables!$B$1,IF(C1124&lt;&gt;"",$I$9-E1124-F1124,""),-D1124)</f>
        <v/>
      </c>
      <c r="H1124" s="29" t="str">
        <f t="shared" ca="1" si="101"/>
        <v/>
      </c>
      <c r="I1124" s="31" t="str">
        <f ca="1">IF(C1124&lt;&gt;"",IF(D1124+$I$9-E1124-F1124&gt;=0,IF(ISERROR(INDEX($C$3:$C$6,MATCH(C1124,$C$3:$C$6,0)+1,0)),Variables!$B$1,INDEX($C$3:$C$6,MATCH(C1124,$C$3:$C$6,0)+1,0)),""),"")</f>
        <v/>
      </c>
      <c r="J1124" s="29" t="str">
        <f ca="1">IF(ISERROR(VLOOKUP(I1124,$C$3:$L$6,5,0)),"",IF(OR(VLOOKUP(I1124,$C$3:$L$6,5,0)=Variables!$B$5,B1124&gt;VLOOKUP(I1124,$C$3:$L$6,8,0)),IF(VLOOKUP(I1124,$C$3:$L$6,5,0)=Variables!$B$5,((YEAR(B1124)-YEAR($B$12))*12+MONTH(B1124)-MONTH($B$12)),((YEAR(B1124)-YEAR(VLOOKUP(I1124,$C$3:$L$6,8,0)))*12+MONTH(B1124)-MONTH(VLOOKUP(I1124,$C$3:$L$6,8,0))))*(VLOOKUP(I1124,$C$3:$L$6,10,0)*VLOOKUP(I1124,$C$3:$L$6,6,0)/12),0))</f>
        <v/>
      </c>
      <c r="K1124" s="29" t="str">
        <f ca="1">IF(C1124&lt;&gt;"",IF(I1124&lt;&gt;"",IF(ISERROR(VLOOKUP(I1124,$C$3:$L$6,10,0)),"",VLOOKUP(I1124,$C$3:$L$6,10,0)+J1124+IF(OR(VLOOKUP(I1124,$C$3:$L$6,5,0)=Variables!$B$5,B1124&gt;VLOOKUP(I1124,$C$3:$L$6,8,0)),IF(VLOOKUP(I1124,$C$3:$L$6,5,0)=Variables!$B$5,((YEAR(B1124)-YEAR($B$12))*12+MONTH(B1124)-MONTH($B$12)),((YEAR(B1124)-YEAR(VLOOKUP(I1124,$C$3:$L$6,8,0)))*12+MONTH(B1124)-MONTH(VLOOKUP(I1124,$C$3:$L$6,8,0))))*VLOOKUP(I1124,$C$3:$L$6,7,0),0)),""),"")</f>
        <v/>
      </c>
      <c r="L1124" s="29" t="str">
        <f t="shared" ca="1" si="99"/>
        <v/>
      </c>
      <c r="M1124" s="10"/>
      <c r="N1124" s="10"/>
    </row>
    <row r="1125" spans="1:14" x14ac:dyDescent="0.25">
      <c r="A1125" s="10"/>
      <c r="B1125" s="14" t="str">
        <f t="shared" ca="1" si="100"/>
        <v/>
      </c>
      <c r="C1125" s="14" t="str">
        <f ca="1">IF(I1124&lt;&gt;Variables!$B$1,IF(H1124&lt;&gt;0,C1124,I1124),"")</f>
        <v/>
      </c>
      <c r="D1125" s="29" t="str">
        <f t="shared" ca="1" si="97"/>
        <v/>
      </c>
      <c r="E1125" s="29" t="str">
        <f t="shared" ca="1" si="98"/>
        <v/>
      </c>
      <c r="F1125" s="29" t="str">
        <f ca="1">IF(C1125&lt;&gt;"",IF(OR(VLOOKUP(C1125,$C$3:$L$6,5,0)=Variables!$B$5,B1125&gt;VLOOKUP(C1125,$C$3:$L$6,8,0)),-D1125*VLOOKUP(C1125,$C$3:$L$6,6,0)/12,0),"")</f>
        <v/>
      </c>
      <c r="G1125" s="29" t="str">
        <f ca="1">IF(I1125&lt;&gt;Variables!$B$1,IF(C1125&lt;&gt;"",$I$9-E1125-F1125,""),-D1125)</f>
        <v/>
      </c>
      <c r="H1125" s="29" t="str">
        <f t="shared" ca="1" si="101"/>
        <v/>
      </c>
      <c r="I1125" s="31" t="str">
        <f ca="1">IF(C1125&lt;&gt;"",IF(D1125+$I$9-E1125-F1125&gt;=0,IF(ISERROR(INDEX($C$3:$C$6,MATCH(C1125,$C$3:$C$6,0)+1,0)),Variables!$B$1,INDEX($C$3:$C$6,MATCH(C1125,$C$3:$C$6,0)+1,0)),""),"")</f>
        <v/>
      </c>
      <c r="J1125" s="29" t="str">
        <f ca="1">IF(ISERROR(VLOOKUP(I1125,$C$3:$L$6,5,0)),"",IF(OR(VLOOKUP(I1125,$C$3:$L$6,5,0)=Variables!$B$5,B1125&gt;VLOOKUP(I1125,$C$3:$L$6,8,0)),IF(VLOOKUP(I1125,$C$3:$L$6,5,0)=Variables!$B$5,((YEAR(B1125)-YEAR($B$12))*12+MONTH(B1125)-MONTH($B$12)),((YEAR(B1125)-YEAR(VLOOKUP(I1125,$C$3:$L$6,8,0)))*12+MONTH(B1125)-MONTH(VLOOKUP(I1125,$C$3:$L$6,8,0))))*(VLOOKUP(I1125,$C$3:$L$6,10,0)*VLOOKUP(I1125,$C$3:$L$6,6,0)/12),0))</f>
        <v/>
      </c>
      <c r="K1125" s="29" t="str">
        <f ca="1">IF(C1125&lt;&gt;"",IF(I1125&lt;&gt;"",IF(ISERROR(VLOOKUP(I1125,$C$3:$L$6,10,0)),"",VLOOKUP(I1125,$C$3:$L$6,10,0)+J1125+IF(OR(VLOOKUP(I1125,$C$3:$L$6,5,0)=Variables!$B$5,B1125&gt;VLOOKUP(I1125,$C$3:$L$6,8,0)),IF(VLOOKUP(I1125,$C$3:$L$6,5,0)=Variables!$B$5,((YEAR(B1125)-YEAR($B$12))*12+MONTH(B1125)-MONTH($B$12)),((YEAR(B1125)-YEAR(VLOOKUP(I1125,$C$3:$L$6,8,0)))*12+MONTH(B1125)-MONTH(VLOOKUP(I1125,$C$3:$L$6,8,0))))*VLOOKUP(I1125,$C$3:$L$6,7,0),0)),""),"")</f>
        <v/>
      </c>
      <c r="L1125" s="29" t="str">
        <f t="shared" ca="1" si="99"/>
        <v/>
      </c>
      <c r="M1125" s="10"/>
      <c r="N1125" s="10"/>
    </row>
    <row r="1126" spans="1:14" x14ac:dyDescent="0.25">
      <c r="A1126" s="10"/>
      <c r="B1126" s="14" t="str">
        <f t="shared" ca="1" si="100"/>
        <v/>
      </c>
      <c r="C1126" s="14" t="str">
        <f ca="1">IF(I1125&lt;&gt;Variables!$B$1,IF(H1125&lt;&gt;0,C1125,I1125),"")</f>
        <v/>
      </c>
      <c r="D1126" s="29" t="str">
        <f t="shared" ca="1" si="97"/>
        <v/>
      </c>
      <c r="E1126" s="29" t="str">
        <f t="shared" ca="1" si="98"/>
        <v/>
      </c>
      <c r="F1126" s="29" t="str">
        <f ca="1">IF(C1126&lt;&gt;"",IF(OR(VLOOKUP(C1126,$C$3:$L$6,5,0)=Variables!$B$5,B1126&gt;VLOOKUP(C1126,$C$3:$L$6,8,0)),-D1126*VLOOKUP(C1126,$C$3:$L$6,6,0)/12,0),"")</f>
        <v/>
      </c>
      <c r="G1126" s="29" t="str">
        <f ca="1">IF(I1126&lt;&gt;Variables!$B$1,IF(C1126&lt;&gt;"",$I$9-E1126-F1126,""),-D1126)</f>
        <v/>
      </c>
      <c r="H1126" s="29" t="str">
        <f t="shared" ca="1" si="101"/>
        <v/>
      </c>
      <c r="I1126" s="31" t="str">
        <f ca="1">IF(C1126&lt;&gt;"",IF(D1126+$I$9-E1126-F1126&gt;=0,IF(ISERROR(INDEX($C$3:$C$6,MATCH(C1126,$C$3:$C$6,0)+1,0)),Variables!$B$1,INDEX($C$3:$C$6,MATCH(C1126,$C$3:$C$6,0)+1,0)),""),"")</f>
        <v/>
      </c>
      <c r="J1126" s="29" t="str">
        <f ca="1">IF(ISERROR(VLOOKUP(I1126,$C$3:$L$6,5,0)),"",IF(OR(VLOOKUP(I1126,$C$3:$L$6,5,0)=Variables!$B$5,B1126&gt;VLOOKUP(I1126,$C$3:$L$6,8,0)),IF(VLOOKUP(I1126,$C$3:$L$6,5,0)=Variables!$B$5,((YEAR(B1126)-YEAR($B$12))*12+MONTH(B1126)-MONTH($B$12)),((YEAR(B1126)-YEAR(VLOOKUP(I1126,$C$3:$L$6,8,0)))*12+MONTH(B1126)-MONTH(VLOOKUP(I1126,$C$3:$L$6,8,0))))*(VLOOKUP(I1126,$C$3:$L$6,10,0)*VLOOKUP(I1126,$C$3:$L$6,6,0)/12),0))</f>
        <v/>
      </c>
      <c r="K1126" s="29" t="str">
        <f ca="1">IF(C1126&lt;&gt;"",IF(I1126&lt;&gt;"",IF(ISERROR(VLOOKUP(I1126,$C$3:$L$6,10,0)),"",VLOOKUP(I1126,$C$3:$L$6,10,0)+J1126+IF(OR(VLOOKUP(I1126,$C$3:$L$6,5,0)=Variables!$B$5,B1126&gt;VLOOKUP(I1126,$C$3:$L$6,8,0)),IF(VLOOKUP(I1126,$C$3:$L$6,5,0)=Variables!$B$5,((YEAR(B1126)-YEAR($B$12))*12+MONTH(B1126)-MONTH($B$12)),((YEAR(B1126)-YEAR(VLOOKUP(I1126,$C$3:$L$6,8,0)))*12+MONTH(B1126)-MONTH(VLOOKUP(I1126,$C$3:$L$6,8,0))))*VLOOKUP(I1126,$C$3:$L$6,7,0),0)),""),"")</f>
        <v/>
      </c>
      <c r="L1126" s="29" t="str">
        <f t="shared" ca="1" si="99"/>
        <v/>
      </c>
      <c r="M1126" s="10"/>
      <c r="N1126" s="10"/>
    </row>
    <row r="1127" spans="1:14" x14ac:dyDescent="0.25">
      <c r="A1127" s="10"/>
      <c r="B1127" s="14" t="str">
        <f t="shared" ca="1" si="100"/>
        <v/>
      </c>
      <c r="C1127" s="14" t="str">
        <f ca="1">IF(I1126&lt;&gt;Variables!$B$1,IF(H1126&lt;&gt;0,C1126,I1126),"")</f>
        <v/>
      </c>
      <c r="D1127" s="29" t="str">
        <f t="shared" ca="1" si="97"/>
        <v/>
      </c>
      <c r="E1127" s="29" t="str">
        <f t="shared" ca="1" si="98"/>
        <v/>
      </c>
      <c r="F1127" s="29" t="str">
        <f ca="1">IF(C1127&lt;&gt;"",IF(OR(VLOOKUP(C1127,$C$3:$L$6,5,0)=Variables!$B$5,B1127&gt;VLOOKUP(C1127,$C$3:$L$6,8,0)),-D1127*VLOOKUP(C1127,$C$3:$L$6,6,0)/12,0),"")</f>
        <v/>
      </c>
      <c r="G1127" s="29" t="str">
        <f ca="1">IF(I1127&lt;&gt;Variables!$B$1,IF(C1127&lt;&gt;"",$I$9-E1127-F1127,""),-D1127)</f>
        <v/>
      </c>
      <c r="H1127" s="29" t="str">
        <f t="shared" ca="1" si="101"/>
        <v/>
      </c>
      <c r="I1127" s="31" t="str">
        <f ca="1">IF(C1127&lt;&gt;"",IF(D1127+$I$9-E1127-F1127&gt;=0,IF(ISERROR(INDEX($C$3:$C$6,MATCH(C1127,$C$3:$C$6,0)+1,0)),Variables!$B$1,INDEX($C$3:$C$6,MATCH(C1127,$C$3:$C$6,0)+1,0)),""),"")</f>
        <v/>
      </c>
      <c r="J1127" s="29" t="str">
        <f ca="1">IF(ISERROR(VLOOKUP(I1127,$C$3:$L$6,5,0)),"",IF(OR(VLOOKUP(I1127,$C$3:$L$6,5,0)=Variables!$B$5,B1127&gt;VLOOKUP(I1127,$C$3:$L$6,8,0)),IF(VLOOKUP(I1127,$C$3:$L$6,5,0)=Variables!$B$5,((YEAR(B1127)-YEAR($B$12))*12+MONTH(B1127)-MONTH($B$12)),((YEAR(B1127)-YEAR(VLOOKUP(I1127,$C$3:$L$6,8,0)))*12+MONTH(B1127)-MONTH(VLOOKUP(I1127,$C$3:$L$6,8,0))))*(VLOOKUP(I1127,$C$3:$L$6,10,0)*VLOOKUP(I1127,$C$3:$L$6,6,0)/12),0))</f>
        <v/>
      </c>
      <c r="K1127" s="29" t="str">
        <f ca="1">IF(C1127&lt;&gt;"",IF(I1127&lt;&gt;"",IF(ISERROR(VLOOKUP(I1127,$C$3:$L$6,10,0)),"",VLOOKUP(I1127,$C$3:$L$6,10,0)+J1127+IF(OR(VLOOKUP(I1127,$C$3:$L$6,5,0)=Variables!$B$5,B1127&gt;VLOOKUP(I1127,$C$3:$L$6,8,0)),IF(VLOOKUP(I1127,$C$3:$L$6,5,0)=Variables!$B$5,((YEAR(B1127)-YEAR($B$12))*12+MONTH(B1127)-MONTH($B$12)),((YEAR(B1127)-YEAR(VLOOKUP(I1127,$C$3:$L$6,8,0)))*12+MONTH(B1127)-MONTH(VLOOKUP(I1127,$C$3:$L$6,8,0))))*VLOOKUP(I1127,$C$3:$L$6,7,0),0)),""),"")</f>
        <v/>
      </c>
      <c r="L1127" s="29" t="str">
        <f t="shared" ca="1" si="99"/>
        <v/>
      </c>
      <c r="M1127" s="10"/>
      <c r="N1127" s="10"/>
    </row>
    <row r="1128" spans="1:14" x14ac:dyDescent="0.25">
      <c r="A1128" s="10"/>
      <c r="B1128" s="14" t="str">
        <f t="shared" ca="1" si="100"/>
        <v/>
      </c>
      <c r="C1128" s="14" t="str">
        <f ca="1">IF(I1127&lt;&gt;Variables!$B$1,IF(H1127&lt;&gt;0,C1127,I1127),"")</f>
        <v/>
      </c>
      <c r="D1128" s="29" t="str">
        <f t="shared" ca="1" si="97"/>
        <v/>
      </c>
      <c r="E1128" s="29" t="str">
        <f t="shared" ca="1" si="98"/>
        <v/>
      </c>
      <c r="F1128" s="29" t="str">
        <f ca="1">IF(C1128&lt;&gt;"",IF(OR(VLOOKUP(C1128,$C$3:$L$6,5,0)=Variables!$B$5,B1128&gt;VLOOKUP(C1128,$C$3:$L$6,8,0)),-D1128*VLOOKUP(C1128,$C$3:$L$6,6,0)/12,0),"")</f>
        <v/>
      </c>
      <c r="G1128" s="29" t="str">
        <f ca="1">IF(I1128&lt;&gt;Variables!$B$1,IF(C1128&lt;&gt;"",$I$9-E1128-F1128,""),-D1128)</f>
        <v/>
      </c>
      <c r="H1128" s="29" t="str">
        <f t="shared" ca="1" si="101"/>
        <v/>
      </c>
      <c r="I1128" s="31" t="str">
        <f ca="1">IF(C1128&lt;&gt;"",IF(D1128+$I$9-E1128-F1128&gt;=0,IF(ISERROR(INDEX($C$3:$C$6,MATCH(C1128,$C$3:$C$6,0)+1,0)),Variables!$B$1,INDEX($C$3:$C$6,MATCH(C1128,$C$3:$C$6,0)+1,0)),""),"")</f>
        <v/>
      </c>
      <c r="J1128" s="29" t="str">
        <f ca="1">IF(ISERROR(VLOOKUP(I1128,$C$3:$L$6,5,0)),"",IF(OR(VLOOKUP(I1128,$C$3:$L$6,5,0)=Variables!$B$5,B1128&gt;VLOOKUP(I1128,$C$3:$L$6,8,0)),IF(VLOOKUP(I1128,$C$3:$L$6,5,0)=Variables!$B$5,((YEAR(B1128)-YEAR($B$12))*12+MONTH(B1128)-MONTH($B$12)),((YEAR(B1128)-YEAR(VLOOKUP(I1128,$C$3:$L$6,8,0)))*12+MONTH(B1128)-MONTH(VLOOKUP(I1128,$C$3:$L$6,8,0))))*(VLOOKUP(I1128,$C$3:$L$6,10,0)*VLOOKUP(I1128,$C$3:$L$6,6,0)/12),0))</f>
        <v/>
      </c>
      <c r="K1128" s="29" t="str">
        <f ca="1">IF(C1128&lt;&gt;"",IF(I1128&lt;&gt;"",IF(ISERROR(VLOOKUP(I1128,$C$3:$L$6,10,0)),"",VLOOKUP(I1128,$C$3:$L$6,10,0)+J1128+IF(OR(VLOOKUP(I1128,$C$3:$L$6,5,0)=Variables!$B$5,B1128&gt;VLOOKUP(I1128,$C$3:$L$6,8,0)),IF(VLOOKUP(I1128,$C$3:$L$6,5,0)=Variables!$B$5,((YEAR(B1128)-YEAR($B$12))*12+MONTH(B1128)-MONTH($B$12)),((YEAR(B1128)-YEAR(VLOOKUP(I1128,$C$3:$L$6,8,0)))*12+MONTH(B1128)-MONTH(VLOOKUP(I1128,$C$3:$L$6,8,0))))*VLOOKUP(I1128,$C$3:$L$6,7,0),0)),""),"")</f>
        <v/>
      </c>
      <c r="L1128" s="29" t="str">
        <f t="shared" ca="1" si="99"/>
        <v/>
      </c>
      <c r="M1128" s="10"/>
      <c r="N1128" s="10"/>
    </row>
    <row r="1129" spans="1:14" x14ac:dyDescent="0.25">
      <c r="A1129" s="10"/>
      <c r="B1129" s="14" t="str">
        <f t="shared" ca="1" si="100"/>
        <v/>
      </c>
      <c r="C1129" s="14" t="str">
        <f ca="1">IF(I1128&lt;&gt;Variables!$B$1,IF(H1128&lt;&gt;0,C1128,I1128),"")</f>
        <v/>
      </c>
      <c r="D1129" s="29" t="str">
        <f t="shared" ca="1" si="97"/>
        <v/>
      </c>
      <c r="E1129" s="29" t="str">
        <f t="shared" ca="1" si="98"/>
        <v/>
      </c>
      <c r="F1129" s="29" t="str">
        <f ca="1">IF(C1129&lt;&gt;"",IF(OR(VLOOKUP(C1129,$C$3:$L$6,5,0)=Variables!$B$5,B1129&gt;VLOOKUP(C1129,$C$3:$L$6,8,0)),-D1129*VLOOKUP(C1129,$C$3:$L$6,6,0)/12,0),"")</f>
        <v/>
      </c>
      <c r="G1129" s="29" t="str">
        <f ca="1">IF(I1129&lt;&gt;Variables!$B$1,IF(C1129&lt;&gt;"",$I$9-E1129-F1129,""),-D1129)</f>
        <v/>
      </c>
      <c r="H1129" s="29" t="str">
        <f t="shared" ca="1" si="101"/>
        <v/>
      </c>
      <c r="I1129" s="31" t="str">
        <f ca="1">IF(C1129&lt;&gt;"",IF(D1129+$I$9-E1129-F1129&gt;=0,IF(ISERROR(INDEX($C$3:$C$6,MATCH(C1129,$C$3:$C$6,0)+1,0)),Variables!$B$1,INDEX($C$3:$C$6,MATCH(C1129,$C$3:$C$6,0)+1,0)),""),"")</f>
        <v/>
      </c>
      <c r="J1129" s="29" t="str">
        <f ca="1">IF(ISERROR(VLOOKUP(I1129,$C$3:$L$6,5,0)),"",IF(OR(VLOOKUP(I1129,$C$3:$L$6,5,0)=Variables!$B$5,B1129&gt;VLOOKUP(I1129,$C$3:$L$6,8,0)),IF(VLOOKUP(I1129,$C$3:$L$6,5,0)=Variables!$B$5,((YEAR(B1129)-YEAR($B$12))*12+MONTH(B1129)-MONTH($B$12)),((YEAR(B1129)-YEAR(VLOOKUP(I1129,$C$3:$L$6,8,0)))*12+MONTH(B1129)-MONTH(VLOOKUP(I1129,$C$3:$L$6,8,0))))*(VLOOKUP(I1129,$C$3:$L$6,10,0)*VLOOKUP(I1129,$C$3:$L$6,6,0)/12),0))</f>
        <v/>
      </c>
      <c r="K1129" s="29" t="str">
        <f ca="1">IF(C1129&lt;&gt;"",IF(I1129&lt;&gt;"",IF(ISERROR(VLOOKUP(I1129,$C$3:$L$6,10,0)),"",VLOOKUP(I1129,$C$3:$L$6,10,0)+J1129+IF(OR(VLOOKUP(I1129,$C$3:$L$6,5,0)=Variables!$B$5,B1129&gt;VLOOKUP(I1129,$C$3:$L$6,8,0)),IF(VLOOKUP(I1129,$C$3:$L$6,5,0)=Variables!$B$5,((YEAR(B1129)-YEAR($B$12))*12+MONTH(B1129)-MONTH($B$12)),((YEAR(B1129)-YEAR(VLOOKUP(I1129,$C$3:$L$6,8,0)))*12+MONTH(B1129)-MONTH(VLOOKUP(I1129,$C$3:$L$6,8,0))))*VLOOKUP(I1129,$C$3:$L$6,7,0),0)),""),"")</f>
        <v/>
      </c>
      <c r="L1129" s="29" t="str">
        <f t="shared" ca="1" si="99"/>
        <v/>
      </c>
      <c r="M1129" s="10"/>
      <c r="N1129" s="10"/>
    </row>
    <row r="1130" spans="1:14" x14ac:dyDescent="0.25">
      <c r="A1130" s="10"/>
      <c r="B1130" s="14" t="str">
        <f t="shared" ca="1" si="100"/>
        <v/>
      </c>
      <c r="C1130" s="14" t="str">
        <f ca="1">IF(I1129&lt;&gt;Variables!$B$1,IF(H1129&lt;&gt;0,C1129,I1129),"")</f>
        <v/>
      </c>
      <c r="D1130" s="29" t="str">
        <f t="shared" ca="1" si="97"/>
        <v/>
      </c>
      <c r="E1130" s="29" t="str">
        <f t="shared" ca="1" si="98"/>
        <v/>
      </c>
      <c r="F1130" s="29" t="str">
        <f ca="1">IF(C1130&lt;&gt;"",IF(OR(VLOOKUP(C1130,$C$3:$L$6,5,0)=Variables!$B$5,B1130&gt;VLOOKUP(C1130,$C$3:$L$6,8,0)),-D1130*VLOOKUP(C1130,$C$3:$L$6,6,0)/12,0),"")</f>
        <v/>
      </c>
      <c r="G1130" s="29" t="str">
        <f ca="1">IF(I1130&lt;&gt;Variables!$B$1,IF(C1130&lt;&gt;"",$I$9-E1130-F1130,""),-D1130)</f>
        <v/>
      </c>
      <c r="H1130" s="29" t="str">
        <f t="shared" ca="1" si="101"/>
        <v/>
      </c>
      <c r="I1130" s="31" t="str">
        <f ca="1">IF(C1130&lt;&gt;"",IF(D1130+$I$9-E1130-F1130&gt;=0,IF(ISERROR(INDEX($C$3:$C$6,MATCH(C1130,$C$3:$C$6,0)+1,0)),Variables!$B$1,INDEX($C$3:$C$6,MATCH(C1130,$C$3:$C$6,0)+1,0)),""),"")</f>
        <v/>
      </c>
      <c r="J1130" s="29" t="str">
        <f ca="1">IF(ISERROR(VLOOKUP(I1130,$C$3:$L$6,5,0)),"",IF(OR(VLOOKUP(I1130,$C$3:$L$6,5,0)=Variables!$B$5,B1130&gt;VLOOKUP(I1130,$C$3:$L$6,8,0)),IF(VLOOKUP(I1130,$C$3:$L$6,5,0)=Variables!$B$5,((YEAR(B1130)-YEAR($B$12))*12+MONTH(B1130)-MONTH($B$12)),((YEAR(B1130)-YEAR(VLOOKUP(I1130,$C$3:$L$6,8,0)))*12+MONTH(B1130)-MONTH(VLOOKUP(I1130,$C$3:$L$6,8,0))))*(VLOOKUP(I1130,$C$3:$L$6,10,0)*VLOOKUP(I1130,$C$3:$L$6,6,0)/12),0))</f>
        <v/>
      </c>
      <c r="K1130" s="29" t="str">
        <f ca="1">IF(C1130&lt;&gt;"",IF(I1130&lt;&gt;"",IF(ISERROR(VLOOKUP(I1130,$C$3:$L$6,10,0)),"",VLOOKUP(I1130,$C$3:$L$6,10,0)+J1130+IF(OR(VLOOKUP(I1130,$C$3:$L$6,5,0)=Variables!$B$5,B1130&gt;VLOOKUP(I1130,$C$3:$L$6,8,0)),IF(VLOOKUP(I1130,$C$3:$L$6,5,0)=Variables!$B$5,((YEAR(B1130)-YEAR($B$12))*12+MONTH(B1130)-MONTH($B$12)),((YEAR(B1130)-YEAR(VLOOKUP(I1130,$C$3:$L$6,8,0)))*12+MONTH(B1130)-MONTH(VLOOKUP(I1130,$C$3:$L$6,8,0))))*VLOOKUP(I1130,$C$3:$L$6,7,0),0)),""),"")</f>
        <v/>
      </c>
      <c r="L1130" s="29" t="str">
        <f t="shared" ca="1" si="99"/>
        <v/>
      </c>
      <c r="M1130" s="10"/>
      <c r="N1130" s="10"/>
    </row>
    <row r="1131" spans="1:14" x14ac:dyDescent="0.25">
      <c r="A1131" s="10"/>
      <c r="B1131" s="14" t="str">
        <f t="shared" ca="1" si="100"/>
        <v/>
      </c>
      <c r="C1131" s="14" t="str">
        <f ca="1">IF(I1130&lt;&gt;Variables!$B$1,IF(H1130&lt;&gt;0,C1130,I1130),"")</f>
        <v/>
      </c>
      <c r="D1131" s="29" t="str">
        <f t="shared" ca="1" si="97"/>
        <v/>
      </c>
      <c r="E1131" s="29" t="str">
        <f t="shared" ca="1" si="98"/>
        <v/>
      </c>
      <c r="F1131" s="29" t="str">
        <f ca="1">IF(C1131&lt;&gt;"",IF(OR(VLOOKUP(C1131,$C$3:$L$6,5,0)=Variables!$B$5,B1131&gt;VLOOKUP(C1131,$C$3:$L$6,8,0)),-D1131*VLOOKUP(C1131,$C$3:$L$6,6,0)/12,0),"")</f>
        <v/>
      </c>
      <c r="G1131" s="29" t="str">
        <f ca="1">IF(I1131&lt;&gt;Variables!$B$1,IF(C1131&lt;&gt;"",$I$9-E1131-F1131,""),-D1131)</f>
        <v/>
      </c>
      <c r="H1131" s="29" t="str">
        <f t="shared" ca="1" si="101"/>
        <v/>
      </c>
      <c r="I1131" s="31" t="str">
        <f ca="1">IF(C1131&lt;&gt;"",IF(D1131+$I$9-E1131-F1131&gt;=0,IF(ISERROR(INDEX($C$3:$C$6,MATCH(C1131,$C$3:$C$6,0)+1,0)),Variables!$B$1,INDEX($C$3:$C$6,MATCH(C1131,$C$3:$C$6,0)+1,0)),""),"")</f>
        <v/>
      </c>
      <c r="J1131" s="29" t="str">
        <f ca="1">IF(ISERROR(VLOOKUP(I1131,$C$3:$L$6,5,0)),"",IF(OR(VLOOKUP(I1131,$C$3:$L$6,5,0)=Variables!$B$5,B1131&gt;VLOOKUP(I1131,$C$3:$L$6,8,0)),IF(VLOOKUP(I1131,$C$3:$L$6,5,0)=Variables!$B$5,((YEAR(B1131)-YEAR($B$12))*12+MONTH(B1131)-MONTH($B$12)),((YEAR(B1131)-YEAR(VLOOKUP(I1131,$C$3:$L$6,8,0)))*12+MONTH(B1131)-MONTH(VLOOKUP(I1131,$C$3:$L$6,8,0))))*(VLOOKUP(I1131,$C$3:$L$6,10,0)*VLOOKUP(I1131,$C$3:$L$6,6,0)/12),0))</f>
        <v/>
      </c>
      <c r="K1131" s="29" t="str">
        <f ca="1">IF(C1131&lt;&gt;"",IF(I1131&lt;&gt;"",IF(ISERROR(VLOOKUP(I1131,$C$3:$L$6,10,0)),"",VLOOKUP(I1131,$C$3:$L$6,10,0)+J1131+IF(OR(VLOOKUP(I1131,$C$3:$L$6,5,0)=Variables!$B$5,B1131&gt;VLOOKUP(I1131,$C$3:$L$6,8,0)),IF(VLOOKUP(I1131,$C$3:$L$6,5,0)=Variables!$B$5,((YEAR(B1131)-YEAR($B$12))*12+MONTH(B1131)-MONTH($B$12)),((YEAR(B1131)-YEAR(VLOOKUP(I1131,$C$3:$L$6,8,0)))*12+MONTH(B1131)-MONTH(VLOOKUP(I1131,$C$3:$L$6,8,0))))*VLOOKUP(I1131,$C$3:$L$6,7,0),0)),""),"")</f>
        <v/>
      </c>
      <c r="L1131" s="29" t="str">
        <f t="shared" ca="1" si="99"/>
        <v/>
      </c>
      <c r="M1131" s="10"/>
      <c r="N1131" s="10"/>
    </row>
    <row r="1132" spans="1:14" x14ac:dyDescent="0.25">
      <c r="A1132" s="10"/>
      <c r="B1132" s="14" t="str">
        <f t="shared" ca="1" si="100"/>
        <v/>
      </c>
      <c r="C1132" s="14" t="str">
        <f ca="1">IF(I1131&lt;&gt;Variables!$B$1,IF(H1131&lt;&gt;0,C1131,I1131),"")</f>
        <v/>
      </c>
      <c r="D1132" s="29" t="str">
        <f t="shared" ca="1" si="97"/>
        <v/>
      </c>
      <c r="E1132" s="29" t="str">
        <f t="shared" ca="1" si="98"/>
        <v/>
      </c>
      <c r="F1132" s="29" t="str">
        <f ca="1">IF(C1132&lt;&gt;"",IF(OR(VLOOKUP(C1132,$C$3:$L$6,5,0)=Variables!$B$5,B1132&gt;VLOOKUP(C1132,$C$3:$L$6,8,0)),-D1132*VLOOKUP(C1132,$C$3:$L$6,6,0)/12,0),"")</f>
        <v/>
      </c>
      <c r="G1132" s="29" t="str">
        <f ca="1">IF(I1132&lt;&gt;Variables!$B$1,IF(C1132&lt;&gt;"",$I$9-E1132-F1132,""),-D1132)</f>
        <v/>
      </c>
      <c r="H1132" s="29" t="str">
        <f t="shared" ca="1" si="101"/>
        <v/>
      </c>
      <c r="I1132" s="31" t="str">
        <f ca="1">IF(C1132&lt;&gt;"",IF(D1132+$I$9-E1132-F1132&gt;=0,IF(ISERROR(INDEX($C$3:$C$6,MATCH(C1132,$C$3:$C$6,0)+1,0)),Variables!$B$1,INDEX($C$3:$C$6,MATCH(C1132,$C$3:$C$6,0)+1,0)),""),"")</f>
        <v/>
      </c>
      <c r="J1132" s="29" t="str">
        <f ca="1">IF(ISERROR(VLOOKUP(I1132,$C$3:$L$6,5,0)),"",IF(OR(VLOOKUP(I1132,$C$3:$L$6,5,0)=Variables!$B$5,B1132&gt;VLOOKUP(I1132,$C$3:$L$6,8,0)),IF(VLOOKUP(I1132,$C$3:$L$6,5,0)=Variables!$B$5,((YEAR(B1132)-YEAR($B$12))*12+MONTH(B1132)-MONTH($B$12)),((YEAR(B1132)-YEAR(VLOOKUP(I1132,$C$3:$L$6,8,0)))*12+MONTH(B1132)-MONTH(VLOOKUP(I1132,$C$3:$L$6,8,0))))*(VLOOKUP(I1132,$C$3:$L$6,10,0)*VLOOKUP(I1132,$C$3:$L$6,6,0)/12),0))</f>
        <v/>
      </c>
      <c r="K1132" s="29" t="str">
        <f ca="1">IF(C1132&lt;&gt;"",IF(I1132&lt;&gt;"",IF(ISERROR(VLOOKUP(I1132,$C$3:$L$6,10,0)),"",VLOOKUP(I1132,$C$3:$L$6,10,0)+J1132+IF(OR(VLOOKUP(I1132,$C$3:$L$6,5,0)=Variables!$B$5,B1132&gt;VLOOKUP(I1132,$C$3:$L$6,8,0)),IF(VLOOKUP(I1132,$C$3:$L$6,5,0)=Variables!$B$5,((YEAR(B1132)-YEAR($B$12))*12+MONTH(B1132)-MONTH($B$12)),((YEAR(B1132)-YEAR(VLOOKUP(I1132,$C$3:$L$6,8,0)))*12+MONTH(B1132)-MONTH(VLOOKUP(I1132,$C$3:$L$6,8,0))))*VLOOKUP(I1132,$C$3:$L$6,7,0),0)),""),"")</f>
        <v/>
      </c>
      <c r="L1132" s="29" t="str">
        <f t="shared" ca="1" si="99"/>
        <v/>
      </c>
      <c r="M1132" s="10"/>
      <c r="N1132" s="10"/>
    </row>
    <row r="1133" spans="1:14" x14ac:dyDescent="0.25">
      <c r="A1133" s="10"/>
      <c r="B1133" s="14" t="str">
        <f t="shared" ca="1" si="100"/>
        <v/>
      </c>
      <c r="C1133" s="14" t="str">
        <f ca="1">IF(I1132&lt;&gt;Variables!$B$1,IF(H1132&lt;&gt;0,C1132,I1132),"")</f>
        <v/>
      </c>
      <c r="D1133" s="29" t="str">
        <f t="shared" ca="1" si="97"/>
        <v/>
      </c>
      <c r="E1133" s="29" t="str">
        <f t="shared" ca="1" si="98"/>
        <v/>
      </c>
      <c r="F1133" s="29" t="str">
        <f ca="1">IF(C1133&lt;&gt;"",IF(OR(VLOOKUP(C1133,$C$3:$L$6,5,0)=Variables!$B$5,B1133&gt;VLOOKUP(C1133,$C$3:$L$6,8,0)),-D1133*VLOOKUP(C1133,$C$3:$L$6,6,0)/12,0),"")</f>
        <v/>
      </c>
      <c r="G1133" s="29" t="str">
        <f ca="1">IF(I1133&lt;&gt;Variables!$B$1,IF(C1133&lt;&gt;"",$I$9-E1133-F1133,""),-D1133)</f>
        <v/>
      </c>
      <c r="H1133" s="29" t="str">
        <f t="shared" ca="1" si="101"/>
        <v/>
      </c>
      <c r="I1133" s="31" t="str">
        <f ca="1">IF(C1133&lt;&gt;"",IF(D1133+$I$9-E1133-F1133&gt;=0,IF(ISERROR(INDEX($C$3:$C$6,MATCH(C1133,$C$3:$C$6,0)+1,0)),Variables!$B$1,INDEX($C$3:$C$6,MATCH(C1133,$C$3:$C$6,0)+1,0)),""),"")</f>
        <v/>
      </c>
      <c r="J1133" s="29" t="str">
        <f ca="1">IF(ISERROR(VLOOKUP(I1133,$C$3:$L$6,5,0)),"",IF(OR(VLOOKUP(I1133,$C$3:$L$6,5,0)=Variables!$B$5,B1133&gt;VLOOKUP(I1133,$C$3:$L$6,8,0)),IF(VLOOKUP(I1133,$C$3:$L$6,5,0)=Variables!$B$5,((YEAR(B1133)-YEAR($B$12))*12+MONTH(B1133)-MONTH($B$12)),((YEAR(B1133)-YEAR(VLOOKUP(I1133,$C$3:$L$6,8,0)))*12+MONTH(B1133)-MONTH(VLOOKUP(I1133,$C$3:$L$6,8,0))))*(VLOOKUP(I1133,$C$3:$L$6,10,0)*VLOOKUP(I1133,$C$3:$L$6,6,0)/12),0))</f>
        <v/>
      </c>
      <c r="K1133" s="29" t="str">
        <f ca="1">IF(C1133&lt;&gt;"",IF(I1133&lt;&gt;"",IF(ISERROR(VLOOKUP(I1133,$C$3:$L$6,10,0)),"",VLOOKUP(I1133,$C$3:$L$6,10,0)+J1133+IF(OR(VLOOKUP(I1133,$C$3:$L$6,5,0)=Variables!$B$5,B1133&gt;VLOOKUP(I1133,$C$3:$L$6,8,0)),IF(VLOOKUP(I1133,$C$3:$L$6,5,0)=Variables!$B$5,((YEAR(B1133)-YEAR($B$12))*12+MONTH(B1133)-MONTH($B$12)),((YEAR(B1133)-YEAR(VLOOKUP(I1133,$C$3:$L$6,8,0)))*12+MONTH(B1133)-MONTH(VLOOKUP(I1133,$C$3:$L$6,8,0))))*VLOOKUP(I1133,$C$3:$L$6,7,0),0)),""),"")</f>
        <v/>
      </c>
      <c r="L1133" s="29" t="str">
        <f t="shared" ca="1" si="99"/>
        <v/>
      </c>
      <c r="M1133" s="10"/>
      <c r="N1133" s="10"/>
    </row>
    <row r="1134" spans="1:14" x14ac:dyDescent="0.25">
      <c r="A1134" s="10"/>
      <c r="B1134" s="14" t="str">
        <f t="shared" ca="1" si="100"/>
        <v/>
      </c>
      <c r="C1134" s="14" t="str">
        <f ca="1">IF(I1133&lt;&gt;Variables!$B$1,IF(H1133&lt;&gt;0,C1133,I1133),"")</f>
        <v/>
      </c>
      <c r="D1134" s="29" t="str">
        <f t="shared" ca="1" si="97"/>
        <v/>
      </c>
      <c r="E1134" s="29" t="str">
        <f t="shared" ca="1" si="98"/>
        <v/>
      </c>
      <c r="F1134" s="29" t="str">
        <f ca="1">IF(C1134&lt;&gt;"",IF(OR(VLOOKUP(C1134,$C$3:$L$6,5,0)=Variables!$B$5,B1134&gt;VLOOKUP(C1134,$C$3:$L$6,8,0)),-D1134*VLOOKUP(C1134,$C$3:$L$6,6,0)/12,0),"")</f>
        <v/>
      </c>
      <c r="G1134" s="29" t="str">
        <f ca="1">IF(I1134&lt;&gt;Variables!$B$1,IF(C1134&lt;&gt;"",$I$9-E1134-F1134,""),-D1134)</f>
        <v/>
      </c>
      <c r="H1134" s="29" t="str">
        <f t="shared" ca="1" si="101"/>
        <v/>
      </c>
      <c r="I1134" s="31" t="str">
        <f ca="1">IF(C1134&lt;&gt;"",IF(D1134+$I$9-E1134-F1134&gt;=0,IF(ISERROR(INDEX($C$3:$C$6,MATCH(C1134,$C$3:$C$6,0)+1,0)),Variables!$B$1,INDEX($C$3:$C$6,MATCH(C1134,$C$3:$C$6,0)+1,0)),""),"")</f>
        <v/>
      </c>
      <c r="J1134" s="29" t="str">
        <f ca="1">IF(ISERROR(VLOOKUP(I1134,$C$3:$L$6,5,0)),"",IF(OR(VLOOKUP(I1134,$C$3:$L$6,5,0)=Variables!$B$5,B1134&gt;VLOOKUP(I1134,$C$3:$L$6,8,0)),IF(VLOOKUP(I1134,$C$3:$L$6,5,0)=Variables!$B$5,((YEAR(B1134)-YEAR($B$12))*12+MONTH(B1134)-MONTH($B$12)),((YEAR(B1134)-YEAR(VLOOKUP(I1134,$C$3:$L$6,8,0)))*12+MONTH(B1134)-MONTH(VLOOKUP(I1134,$C$3:$L$6,8,0))))*(VLOOKUP(I1134,$C$3:$L$6,10,0)*VLOOKUP(I1134,$C$3:$L$6,6,0)/12),0))</f>
        <v/>
      </c>
      <c r="K1134" s="29" t="str">
        <f ca="1">IF(C1134&lt;&gt;"",IF(I1134&lt;&gt;"",IF(ISERROR(VLOOKUP(I1134,$C$3:$L$6,10,0)),"",VLOOKUP(I1134,$C$3:$L$6,10,0)+J1134+IF(OR(VLOOKUP(I1134,$C$3:$L$6,5,0)=Variables!$B$5,B1134&gt;VLOOKUP(I1134,$C$3:$L$6,8,0)),IF(VLOOKUP(I1134,$C$3:$L$6,5,0)=Variables!$B$5,((YEAR(B1134)-YEAR($B$12))*12+MONTH(B1134)-MONTH($B$12)),((YEAR(B1134)-YEAR(VLOOKUP(I1134,$C$3:$L$6,8,0)))*12+MONTH(B1134)-MONTH(VLOOKUP(I1134,$C$3:$L$6,8,0))))*VLOOKUP(I1134,$C$3:$L$6,7,0),0)),""),"")</f>
        <v/>
      </c>
      <c r="L1134" s="29" t="str">
        <f t="shared" ca="1" si="99"/>
        <v/>
      </c>
      <c r="M1134" s="10"/>
      <c r="N1134" s="10"/>
    </row>
    <row r="1135" spans="1:14" x14ac:dyDescent="0.25">
      <c r="A1135" s="10"/>
      <c r="B1135" s="14" t="str">
        <f t="shared" ca="1" si="100"/>
        <v/>
      </c>
      <c r="C1135" s="14" t="str">
        <f ca="1">IF(I1134&lt;&gt;Variables!$B$1,IF(H1134&lt;&gt;0,C1134,I1134),"")</f>
        <v/>
      </c>
      <c r="D1135" s="29" t="str">
        <f t="shared" ca="1" si="97"/>
        <v/>
      </c>
      <c r="E1135" s="29" t="str">
        <f t="shared" ca="1" si="98"/>
        <v/>
      </c>
      <c r="F1135" s="29" t="str">
        <f ca="1">IF(C1135&lt;&gt;"",IF(OR(VLOOKUP(C1135,$C$3:$L$6,5,0)=Variables!$B$5,B1135&gt;VLOOKUP(C1135,$C$3:$L$6,8,0)),-D1135*VLOOKUP(C1135,$C$3:$L$6,6,0)/12,0),"")</f>
        <v/>
      </c>
      <c r="G1135" s="29" t="str">
        <f ca="1">IF(I1135&lt;&gt;Variables!$B$1,IF(C1135&lt;&gt;"",$I$9-E1135-F1135,""),-D1135)</f>
        <v/>
      </c>
      <c r="H1135" s="29" t="str">
        <f t="shared" ca="1" si="101"/>
        <v/>
      </c>
      <c r="I1135" s="31" t="str">
        <f ca="1">IF(C1135&lt;&gt;"",IF(D1135+$I$9-E1135-F1135&gt;=0,IF(ISERROR(INDEX($C$3:$C$6,MATCH(C1135,$C$3:$C$6,0)+1,0)),Variables!$B$1,INDEX($C$3:$C$6,MATCH(C1135,$C$3:$C$6,0)+1,0)),""),"")</f>
        <v/>
      </c>
      <c r="J1135" s="29" t="str">
        <f ca="1">IF(ISERROR(VLOOKUP(I1135,$C$3:$L$6,5,0)),"",IF(OR(VLOOKUP(I1135,$C$3:$L$6,5,0)=Variables!$B$5,B1135&gt;VLOOKUP(I1135,$C$3:$L$6,8,0)),IF(VLOOKUP(I1135,$C$3:$L$6,5,0)=Variables!$B$5,((YEAR(B1135)-YEAR($B$12))*12+MONTH(B1135)-MONTH($B$12)),((YEAR(B1135)-YEAR(VLOOKUP(I1135,$C$3:$L$6,8,0)))*12+MONTH(B1135)-MONTH(VLOOKUP(I1135,$C$3:$L$6,8,0))))*(VLOOKUP(I1135,$C$3:$L$6,10,0)*VLOOKUP(I1135,$C$3:$L$6,6,0)/12),0))</f>
        <v/>
      </c>
      <c r="K1135" s="29" t="str">
        <f ca="1">IF(C1135&lt;&gt;"",IF(I1135&lt;&gt;"",IF(ISERROR(VLOOKUP(I1135,$C$3:$L$6,10,0)),"",VLOOKUP(I1135,$C$3:$L$6,10,0)+J1135+IF(OR(VLOOKUP(I1135,$C$3:$L$6,5,0)=Variables!$B$5,B1135&gt;VLOOKUP(I1135,$C$3:$L$6,8,0)),IF(VLOOKUP(I1135,$C$3:$L$6,5,0)=Variables!$B$5,((YEAR(B1135)-YEAR($B$12))*12+MONTH(B1135)-MONTH($B$12)),((YEAR(B1135)-YEAR(VLOOKUP(I1135,$C$3:$L$6,8,0)))*12+MONTH(B1135)-MONTH(VLOOKUP(I1135,$C$3:$L$6,8,0))))*VLOOKUP(I1135,$C$3:$L$6,7,0),0)),""),"")</f>
        <v/>
      </c>
      <c r="L1135" s="29" t="str">
        <f t="shared" ca="1" si="99"/>
        <v/>
      </c>
      <c r="M1135" s="10"/>
      <c r="N1135" s="10"/>
    </row>
    <row r="1136" spans="1:14" x14ac:dyDescent="0.25">
      <c r="A1136" s="10"/>
      <c r="B1136" s="14" t="str">
        <f t="shared" ca="1" si="100"/>
        <v/>
      </c>
      <c r="C1136" s="14" t="str">
        <f ca="1">IF(I1135&lt;&gt;Variables!$B$1,IF(H1135&lt;&gt;0,C1135,I1135),"")</f>
        <v/>
      </c>
      <c r="D1136" s="29" t="str">
        <f t="shared" ca="1" si="97"/>
        <v/>
      </c>
      <c r="E1136" s="29" t="str">
        <f t="shared" ca="1" si="98"/>
        <v/>
      </c>
      <c r="F1136" s="29" t="str">
        <f ca="1">IF(C1136&lt;&gt;"",IF(OR(VLOOKUP(C1136,$C$3:$L$6,5,0)=Variables!$B$5,B1136&gt;VLOOKUP(C1136,$C$3:$L$6,8,0)),-D1136*VLOOKUP(C1136,$C$3:$L$6,6,0)/12,0),"")</f>
        <v/>
      </c>
      <c r="G1136" s="29" t="str">
        <f ca="1">IF(I1136&lt;&gt;Variables!$B$1,IF(C1136&lt;&gt;"",$I$9-E1136-F1136,""),-D1136)</f>
        <v/>
      </c>
      <c r="H1136" s="29" t="str">
        <f t="shared" ca="1" si="101"/>
        <v/>
      </c>
      <c r="I1136" s="31" t="str">
        <f ca="1">IF(C1136&lt;&gt;"",IF(D1136+$I$9-E1136-F1136&gt;=0,IF(ISERROR(INDEX($C$3:$C$6,MATCH(C1136,$C$3:$C$6,0)+1,0)),Variables!$B$1,INDEX($C$3:$C$6,MATCH(C1136,$C$3:$C$6,0)+1,0)),""),"")</f>
        <v/>
      </c>
      <c r="J1136" s="29" t="str">
        <f ca="1">IF(ISERROR(VLOOKUP(I1136,$C$3:$L$6,5,0)),"",IF(OR(VLOOKUP(I1136,$C$3:$L$6,5,0)=Variables!$B$5,B1136&gt;VLOOKUP(I1136,$C$3:$L$6,8,0)),IF(VLOOKUP(I1136,$C$3:$L$6,5,0)=Variables!$B$5,((YEAR(B1136)-YEAR($B$12))*12+MONTH(B1136)-MONTH($B$12)),((YEAR(B1136)-YEAR(VLOOKUP(I1136,$C$3:$L$6,8,0)))*12+MONTH(B1136)-MONTH(VLOOKUP(I1136,$C$3:$L$6,8,0))))*(VLOOKUP(I1136,$C$3:$L$6,10,0)*VLOOKUP(I1136,$C$3:$L$6,6,0)/12),0))</f>
        <v/>
      </c>
      <c r="K1136" s="29" t="str">
        <f ca="1">IF(C1136&lt;&gt;"",IF(I1136&lt;&gt;"",IF(ISERROR(VLOOKUP(I1136,$C$3:$L$6,10,0)),"",VLOOKUP(I1136,$C$3:$L$6,10,0)+J1136+IF(OR(VLOOKUP(I1136,$C$3:$L$6,5,0)=Variables!$B$5,B1136&gt;VLOOKUP(I1136,$C$3:$L$6,8,0)),IF(VLOOKUP(I1136,$C$3:$L$6,5,0)=Variables!$B$5,((YEAR(B1136)-YEAR($B$12))*12+MONTH(B1136)-MONTH($B$12)),((YEAR(B1136)-YEAR(VLOOKUP(I1136,$C$3:$L$6,8,0)))*12+MONTH(B1136)-MONTH(VLOOKUP(I1136,$C$3:$L$6,8,0))))*VLOOKUP(I1136,$C$3:$L$6,7,0),0)),""),"")</f>
        <v/>
      </c>
      <c r="L1136" s="29" t="str">
        <f t="shared" ca="1" si="99"/>
        <v/>
      </c>
      <c r="M1136" s="10"/>
      <c r="N1136" s="10"/>
    </row>
    <row r="1137" spans="1:14" x14ac:dyDescent="0.25">
      <c r="A1137" s="10"/>
      <c r="B1137" s="14" t="str">
        <f t="shared" ca="1" si="100"/>
        <v/>
      </c>
      <c r="C1137" s="14" t="str">
        <f ca="1">IF(I1136&lt;&gt;Variables!$B$1,IF(H1136&lt;&gt;0,C1136,I1136),"")</f>
        <v/>
      </c>
      <c r="D1137" s="29" t="str">
        <f t="shared" ca="1" si="97"/>
        <v/>
      </c>
      <c r="E1137" s="29" t="str">
        <f t="shared" ca="1" si="98"/>
        <v/>
      </c>
      <c r="F1137" s="29" t="str">
        <f ca="1">IF(C1137&lt;&gt;"",IF(OR(VLOOKUP(C1137,$C$3:$L$6,5,0)=Variables!$B$5,B1137&gt;VLOOKUP(C1137,$C$3:$L$6,8,0)),-D1137*VLOOKUP(C1137,$C$3:$L$6,6,0)/12,0),"")</f>
        <v/>
      </c>
      <c r="G1137" s="29" t="str">
        <f ca="1">IF(I1137&lt;&gt;Variables!$B$1,IF(C1137&lt;&gt;"",$I$9-E1137-F1137,""),-D1137)</f>
        <v/>
      </c>
      <c r="H1137" s="29" t="str">
        <f t="shared" ca="1" si="101"/>
        <v/>
      </c>
      <c r="I1137" s="31" t="str">
        <f ca="1">IF(C1137&lt;&gt;"",IF(D1137+$I$9-E1137-F1137&gt;=0,IF(ISERROR(INDEX($C$3:$C$6,MATCH(C1137,$C$3:$C$6,0)+1,0)),Variables!$B$1,INDEX($C$3:$C$6,MATCH(C1137,$C$3:$C$6,0)+1,0)),""),"")</f>
        <v/>
      </c>
      <c r="J1137" s="29" t="str">
        <f ca="1">IF(ISERROR(VLOOKUP(I1137,$C$3:$L$6,5,0)),"",IF(OR(VLOOKUP(I1137,$C$3:$L$6,5,0)=Variables!$B$5,B1137&gt;VLOOKUP(I1137,$C$3:$L$6,8,0)),IF(VLOOKUP(I1137,$C$3:$L$6,5,0)=Variables!$B$5,((YEAR(B1137)-YEAR($B$12))*12+MONTH(B1137)-MONTH($B$12)),((YEAR(B1137)-YEAR(VLOOKUP(I1137,$C$3:$L$6,8,0)))*12+MONTH(B1137)-MONTH(VLOOKUP(I1137,$C$3:$L$6,8,0))))*(VLOOKUP(I1137,$C$3:$L$6,10,0)*VLOOKUP(I1137,$C$3:$L$6,6,0)/12),0))</f>
        <v/>
      </c>
      <c r="K1137" s="29" t="str">
        <f ca="1">IF(C1137&lt;&gt;"",IF(I1137&lt;&gt;"",IF(ISERROR(VLOOKUP(I1137,$C$3:$L$6,10,0)),"",VLOOKUP(I1137,$C$3:$L$6,10,0)+J1137+IF(OR(VLOOKUP(I1137,$C$3:$L$6,5,0)=Variables!$B$5,B1137&gt;VLOOKUP(I1137,$C$3:$L$6,8,0)),IF(VLOOKUP(I1137,$C$3:$L$6,5,0)=Variables!$B$5,((YEAR(B1137)-YEAR($B$12))*12+MONTH(B1137)-MONTH($B$12)),((YEAR(B1137)-YEAR(VLOOKUP(I1137,$C$3:$L$6,8,0)))*12+MONTH(B1137)-MONTH(VLOOKUP(I1137,$C$3:$L$6,8,0))))*VLOOKUP(I1137,$C$3:$L$6,7,0),0)),""),"")</f>
        <v/>
      </c>
      <c r="L1137" s="29" t="str">
        <f t="shared" ca="1" si="99"/>
        <v/>
      </c>
      <c r="M1137" s="10"/>
      <c r="N1137" s="10"/>
    </row>
    <row r="1138" spans="1:14" x14ac:dyDescent="0.25">
      <c r="A1138" s="10"/>
      <c r="B1138" s="14" t="str">
        <f t="shared" ca="1" si="100"/>
        <v/>
      </c>
      <c r="C1138" s="14" t="str">
        <f ca="1">IF(I1137&lt;&gt;Variables!$B$1,IF(H1137&lt;&gt;0,C1137,I1137),"")</f>
        <v/>
      </c>
      <c r="D1138" s="29" t="str">
        <f t="shared" ca="1" si="97"/>
        <v/>
      </c>
      <c r="E1138" s="29" t="str">
        <f t="shared" ca="1" si="98"/>
        <v/>
      </c>
      <c r="F1138" s="29" t="str">
        <f ca="1">IF(C1138&lt;&gt;"",IF(OR(VLOOKUP(C1138,$C$3:$L$6,5,0)=Variables!$B$5,B1138&gt;VLOOKUP(C1138,$C$3:$L$6,8,0)),-D1138*VLOOKUP(C1138,$C$3:$L$6,6,0)/12,0),"")</f>
        <v/>
      </c>
      <c r="G1138" s="29" t="str">
        <f ca="1">IF(I1138&lt;&gt;Variables!$B$1,IF(C1138&lt;&gt;"",$I$9-E1138-F1138,""),-D1138)</f>
        <v/>
      </c>
      <c r="H1138" s="29" t="str">
        <f t="shared" ca="1" si="101"/>
        <v/>
      </c>
      <c r="I1138" s="31" t="str">
        <f ca="1">IF(C1138&lt;&gt;"",IF(D1138+$I$9-E1138-F1138&gt;=0,IF(ISERROR(INDEX($C$3:$C$6,MATCH(C1138,$C$3:$C$6,0)+1,0)),Variables!$B$1,INDEX($C$3:$C$6,MATCH(C1138,$C$3:$C$6,0)+1,0)),""),"")</f>
        <v/>
      </c>
      <c r="J1138" s="29" t="str">
        <f ca="1">IF(ISERROR(VLOOKUP(I1138,$C$3:$L$6,5,0)),"",IF(OR(VLOOKUP(I1138,$C$3:$L$6,5,0)=Variables!$B$5,B1138&gt;VLOOKUP(I1138,$C$3:$L$6,8,0)),IF(VLOOKUP(I1138,$C$3:$L$6,5,0)=Variables!$B$5,((YEAR(B1138)-YEAR($B$12))*12+MONTH(B1138)-MONTH($B$12)),((YEAR(B1138)-YEAR(VLOOKUP(I1138,$C$3:$L$6,8,0)))*12+MONTH(B1138)-MONTH(VLOOKUP(I1138,$C$3:$L$6,8,0))))*(VLOOKUP(I1138,$C$3:$L$6,10,0)*VLOOKUP(I1138,$C$3:$L$6,6,0)/12),0))</f>
        <v/>
      </c>
      <c r="K1138" s="29" t="str">
        <f ca="1">IF(C1138&lt;&gt;"",IF(I1138&lt;&gt;"",IF(ISERROR(VLOOKUP(I1138,$C$3:$L$6,10,0)),"",VLOOKUP(I1138,$C$3:$L$6,10,0)+J1138+IF(OR(VLOOKUP(I1138,$C$3:$L$6,5,0)=Variables!$B$5,B1138&gt;VLOOKUP(I1138,$C$3:$L$6,8,0)),IF(VLOOKUP(I1138,$C$3:$L$6,5,0)=Variables!$B$5,((YEAR(B1138)-YEAR($B$12))*12+MONTH(B1138)-MONTH($B$12)),((YEAR(B1138)-YEAR(VLOOKUP(I1138,$C$3:$L$6,8,0)))*12+MONTH(B1138)-MONTH(VLOOKUP(I1138,$C$3:$L$6,8,0))))*VLOOKUP(I1138,$C$3:$L$6,7,0),0)),""),"")</f>
        <v/>
      </c>
      <c r="L1138" s="29" t="str">
        <f t="shared" ca="1" si="99"/>
        <v/>
      </c>
      <c r="M1138" s="10"/>
      <c r="N1138" s="10"/>
    </row>
    <row r="1139" spans="1:14" x14ac:dyDescent="0.25">
      <c r="A1139" s="10"/>
      <c r="B1139" s="14" t="str">
        <f t="shared" ca="1" si="100"/>
        <v/>
      </c>
      <c r="C1139" s="14" t="str">
        <f ca="1">IF(I1138&lt;&gt;Variables!$B$1,IF(H1138&lt;&gt;0,C1138,I1138),"")</f>
        <v/>
      </c>
      <c r="D1139" s="29" t="str">
        <f t="shared" ca="1" si="97"/>
        <v/>
      </c>
      <c r="E1139" s="29" t="str">
        <f t="shared" ca="1" si="98"/>
        <v/>
      </c>
      <c r="F1139" s="29" t="str">
        <f ca="1">IF(C1139&lt;&gt;"",IF(OR(VLOOKUP(C1139,$C$3:$L$6,5,0)=Variables!$B$5,B1139&gt;VLOOKUP(C1139,$C$3:$L$6,8,0)),-D1139*VLOOKUP(C1139,$C$3:$L$6,6,0)/12,0),"")</f>
        <v/>
      </c>
      <c r="G1139" s="29" t="str">
        <f ca="1">IF(I1139&lt;&gt;Variables!$B$1,IF(C1139&lt;&gt;"",$I$9-E1139-F1139,""),-D1139)</f>
        <v/>
      </c>
      <c r="H1139" s="29" t="str">
        <f t="shared" ca="1" si="101"/>
        <v/>
      </c>
      <c r="I1139" s="31" t="str">
        <f ca="1">IF(C1139&lt;&gt;"",IF(D1139+$I$9-E1139-F1139&gt;=0,IF(ISERROR(INDEX($C$3:$C$6,MATCH(C1139,$C$3:$C$6,0)+1,0)),Variables!$B$1,INDEX($C$3:$C$6,MATCH(C1139,$C$3:$C$6,0)+1,0)),""),"")</f>
        <v/>
      </c>
      <c r="J1139" s="29" t="str">
        <f ca="1">IF(ISERROR(VLOOKUP(I1139,$C$3:$L$6,5,0)),"",IF(OR(VLOOKUP(I1139,$C$3:$L$6,5,0)=Variables!$B$5,B1139&gt;VLOOKUP(I1139,$C$3:$L$6,8,0)),IF(VLOOKUP(I1139,$C$3:$L$6,5,0)=Variables!$B$5,((YEAR(B1139)-YEAR($B$12))*12+MONTH(B1139)-MONTH($B$12)),((YEAR(B1139)-YEAR(VLOOKUP(I1139,$C$3:$L$6,8,0)))*12+MONTH(B1139)-MONTH(VLOOKUP(I1139,$C$3:$L$6,8,0))))*(VLOOKUP(I1139,$C$3:$L$6,10,0)*VLOOKUP(I1139,$C$3:$L$6,6,0)/12),0))</f>
        <v/>
      </c>
      <c r="K1139" s="29" t="str">
        <f ca="1">IF(C1139&lt;&gt;"",IF(I1139&lt;&gt;"",IF(ISERROR(VLOOKUP(I1139,$C$3:$L$6,10,0)),"",VLOOKUP(I1139,$C$3:$L$6,10,0)+J1139+IF(OR(VLOOKUP(I1139,$C$3:$L$6,5,0)=Variables!$B$5,B1139&gt;VLOOKUP(I1139,$C$3:$L$6,8,0)),IF(VLOOKUP(I1139,$C$3:$L$6,5,0)=Variables!$B$5,((YEAR(B1139)-YEAR($B$12))*12+MONTH(B1139)-MONTH($B$12)),((YEAR(B1139)-YEAR(VLOOKUP(I1139,$C$3:$L$6,8,0)))*12+MONTH(B1139)-MONTH(VLOOKUP(I1139,$C$3:$L$6,8,0))))*VLOOKUP(I1139,$C$3:$L$6,7,0),0)),""),"")</f>
        <v/>
      </c>
      <c r="L1139" s="29" t="str">
        <f t="shared" ca="1" si="99"/>
        <v/>
      </c>
      <c r="M1139" s="10"/>
      <c r="N1139" s="10"/>
    </row>
    <row r="1140" spans="1:14" x14ac:dyDescent="0.25">
      <c r="A1140" s="10"/>
      <c r="B1140" s="14" t="str">
        <f t="shared" ca="1" si="100"/>
        <v/>
      </c>
      <c r="C1140" s="14" t="str">
        <f ca="1">IF(I1139&lt;&gt;Variables!$B$1,IF(H1139&lt;&gt;0,C1139,I1139),"")</f>
        <v/>
      </c>
      <c r="D1140" s="29" t="str">
        <f t="shared" ca="1" si="97"/>
        <v/>
      </c>
      <c r="E1140" s="29" t="str">
        <f t="shared" ca="1" si="98"/>
        <v/>
      </c>
      <c r="F1140" s="29" t="str">
        <f ca="1">IF(C1140&lt;&gt;"",IF(OR(VLOOKUP(C1140,$C$3:$L$6,5,0)=Variables!$B$5,B1140&gt;VLOOKUP(C1140,$C$3:$L$6,8,0)),-D1140*VLOOKUP(C1140,$C$3:$L$6,6,0)/12,0),"")</f>
        <v/>
      </c>
      <c r="G1140" s="29" t="str">
        <f ca="1">IF(I1140&lt;&gt;Variables!$B$1,IF(C1140&lt;&gt;"",$I$9-E1140-F1140,""),-D1140)</f>
        <v/>
      </c>
      <c r="H1140" s="29" t="str">
        <f t="shared" ca="1" si="101"/>
        <v/>
      </c>
      <c r="I1140" s="31" t="str">
        <f ca="1">IF(C1140&lt;&gt;"",IF(D1140+$I$9-E1140-F1140&gt;=0,IF(ISERROR(INDEX($C$3:$C$6,MATCH(C1140,$C$3:$C$6,0)+1,0)),Variables!$B$1,INDEX($C$3:$C$6,MATCH(C1140,$C$3:$C$6,0)+1,0)),""),"")</f>
        <v/>
      </c>
      <c r="J1140" s="29" t="str">
        <f ca="1">IF(ISERROR(VLOOKUP(I1140,$C$3:$L$6,5,0)),"",IF(OR(VLOOKUP(I1140,$C$3:$L$6,5,0)=Variables!$B$5,B1140&gt;VLOOKUP(I1140,$C$3:$L$6,8,0)),IF(VLOOKUP(I1140,$C$3:$L$6,5,0)=Variables!$B$5,((YEAR(B1140)-YEAR($B$12))*12+MONTH(B1140)-MONTH($B$12)),((YEAR(B1140)-YEAR(VLOOKUP(I1140,$C$3:$L$6,8,0)))*12+MONTH(B1140)-MONTH(VLOOKUP(I1140,$C$3:$L$6,8,0))))*(VLOOKUP(I1140,$C$3:$L$6,10,0)*VLOOKUP(I1140,$C$3:$L$6,6,0)/12),0))</f>
        <v/>
      </c>
      <c r="K1140" s="29" t="str">
        <f ca="1">IF(C1140&lt;&gt;"",IF(I1140&lt;&gt;"",IF(ISERROR(VLOOKUP(I1140,$C$3:$L$6,10,0)),"",VLOOKUP(I1140,$C$3:$L$6,10,0)+J1140+IF(OR(VLOOKUP(I1140,$C$3:$L$6,5,0)=Variables!$B$5,B1140&gt;VLOOKUP(I1140,$C$3:$L$6,8,0)),IF(VLOOKUP(I1140,$C$3:$L$6,5,0)=Variables!$B$5,((YEAR(B1140)-YEAR($B$12))*12+MONTH(B1140)-MONTH($B$12)),((YEAR(B1140)-YEAR(VLOOKUP(I1140,$C$3:$L$6,8,0)))*12+MONTH(B1140)-MONTH(VLOOKUP(I1140,$C$3:$L$6,8,0))))*VLOOKUP(I1140,$C$3:$L$6,7,0),0)),""),"")</f>
        <v/>
      </c>
      <c r="L1140" s="29" t="str">
        <f t="shared" ca="1" si="99"/>
        <v/>
      </c>
      <c r="M1140" s="10"/>
      <c r="N1140" s="10"/>
    </row>
    <row r="1141" spans="1:14" x14ac:dyDescent="0.25">
      <c r="A1141" s="10"/>
      <c r="B1141" s="14" t="str">
        <f t="shared" ca="1" si="100"/>
        <v/>
      </c>
      <c r="C1141" s="14" t="str">
        <f ca="1">IF(I1140&lt;&gt;Variables!$B$1,IF(H1140&lt;&gt;0,C1140,I1140),"")</f>
        <v/>
      </c>
      <c r="D1141" s="29" t="str">
        <f t="shared" ca="1" si="97"/>
        <v/>
      </c>
      <c r="E1141" s="29" t="str">
        <f t="shared" ca="1" si="98"/>
        <v/>
      </c>
      <c r="F1141" s="29" t="str">
        <f ca="1">IF(C1141&lt;&gt;"",IF(OR(VLOOKUP(C1141,$C$3:$L$6,5,0)=Variables!$B$5,B1141&gt;VLOOKUP(C1141,$C$3:$L$6,8,0)),-D1141*VLOOKUP(C1141,$C$3:$L$6,6,0)/12,0),"")</f>
        <v/>
      </c>
      <c r="G1141" s="29" t="str">
        <f ca="1">IF(I1141&lt;&gt;Variables!$B$1,IF(C1141&lt;&gt;"",$I$9-E1141-F1141,""),-D1141)</f>
        <v/>
      </c>
      <c r="H1141" s="29" t="str">
        <f t="shared" ca="1" si="101"/>
        <v/>
      </c>
      <c r="I1141" s="31" t="str">
        <f ca="1">IF(C1141&lt;&gt;"",IF(D1141+$I$9-E1141-F1141&gt;=0,IF(ISERROR(INDEX($C$3:$C$6,MATCH(C1141,$C$3:$C$6,0)+1,0)),Variables!$B$1,INDEX($C$3:$C$6,MATCH(C1141,$C$3:$C$6,0)+1,0)),""),"")</f>
        <v/>
      </c>
      <c r="J1141" s="29" t="str">
        <f ca="1">IF(ISERROR(VLOOKUP(I1141,$C$3:$L$6,5,0)),"",IF(OR(VLOOKUP(I1141,$C$3:$L$6,5,0)=Variables!$B$5,B1141&gt;VLOOKUP(I1141,$C$3:$L$6,8,0)),IF(VLOOKUP(I1141,$C$3:$L$6,5,0)=Variables!$B$5,((YEAR(B1141)-YEAR($B$12))*12+MONTH(B1141)-MONTH($B$12)),((YEAR(B1141)-YEAR(VLOOKUP(I1141,$C$3:$L$6,8,0)))*12+MONTH(B1141)-MONTH(VLOOKUP(I1141,$C$3:$L$6,8,0))))*(VLOOKUP(I1141,$C$3:$L$6,10,0)*VLOOKUP(I1141,$C$3:$L$6,6,0)/12),0))</f>
        <v/>
      </c>
      <c r="K1141" s="29" t="str">
        <f ca="1">IF(C1141&lt;&gt;"",IF(I1141&lt;&gt;"",IF(ISERROR(VLOOKUP(I1141,$C$3:$L$6,10,0)),"",VLOOKUP(I1141,$C$3:$L$6,10,0)+J1141+IF(OR(VLOOKUP(I1141,$C$3:$L$6,5,0)=Variables!$B$5,B1141&gt;VLOOKUP(I1141,$C$3:$L$6,8,0)),IF(VLOOKUP(I1141,$C$3:$L$6,5,0)=Variables!$B$5,((YEAR(B1141)-YEAR($B$12))*12+MONTH(B1141)-MONTH($B$12)),((YEAR(B1141)-YEAR(VLOOKUP(I1141,$C$3:$L$6,8,0)))*12+MONTH(B1141)-MONTH(VLOOKUP(I1141,$C$3:$L$6,8,0))))*VLOOKUP(I1141,$C$3:$L$6,7,0),0)),""),"")</f>
        <v/>
      </c>
      <c r="L1141" s="29" t="str">
        <f t="shared" ca="1" si="99"/>
        <v/>
      </c>
      <c r="M1141" s="10"/>
      <c r="N1141" s="10"/>
    </row>
    <row r="1142" spans="1:14" x14ac:dyDescent="0.25">
      <c r="A1142" s="10"/>
      <c r="B1142" s="14" t="str">
        <f t="shared" ca="1" si="100"/>
        <v/>
      </c>
      <c r="C1142" s="14" t="str">
        <f ca="1">IF(I1141&lt;&gt;Variables!$B$1,IF(H1141&lt;&gt;0,C1141,I1141),"")</f>
        <v/>
      </c>
      <c r="D1142" s="29" t="str">
        <f t="shared" ca="1" si="97"/>
        <v/>
      </c>
      <c r="E1142" s="29" t="str">
        <f t="shared" ca="1" si="98"/>
        <v/>
      </c>
      <c r="F1142" s="29" t="str">
        <f ca="1">IF(C1142&lt;&gt;"",IF(OR(VLOOKUP(C1142,$C$3:$L$6,5,0)=Variables!$B$5,B1142&gt;VLOOKUP(C1142,$C$3:$L$6,8,0)),-D1142*VLOOKUP(C1142,$C$3:$L$6,6,0)/12,0),"")</f>
        <v/>
      </c>
      <c r="G1142" s="29" t="str">
        <f ca="1">IF(I1142&lt;&gt;Variables!$B$1,IF(C1142&lt;&gt;"",$I$9-E1142-F1142,""),-D1142)</f>
        <v/>
      </c>
      <c r="H1142" s="29" t="str">
        <f t="shared" ca="1" si="101"/>
        <v/>
      </c>
      <c r="I1142" s="31" t="str">
        <f ca="1">IF(C1142&lt;&gt;"",IF(D1142+$I$9-E1142-F1142&gt;=0,IF(ISERROR(INDEX($C$3:$C$6,MATCH(C1142,$C$3:$C$6,0)+1,0)),Variables!$B$1,INDEX($C$3:$C$6,MATCH(C1142,$C$3:$C$6,0)+1,0)),""),"")</f>
        <v/>
      </c>
      <c r="J1142" s="29" t="str">
        <f ca="1">IF(ISERROR(VLOOKUP(I1142,$C$3:$L$6,5,0)),"",IF(OR(VLOOKUP(I1142,$C$3:$L$6,5,0)=Variables!$B$5,B1142&gt;VLOOKUP(I1142,$C$3:$L$6,8,0)),IF(VLOOKUP(I1142,$C$3:$L$6,5,0)=Variables!$B$5,((YEAR(B1142)-YEAR($B$12))*12+MONTH(B1142)-MONTH($B$12)),((YEAR(B1142)-YEAR(VLOOKUP(I1142,$C$3:$L$6,8,0)))*12+MONTH(B1142)-MONTH(VLOOKUP(I1142,$C$3:$L$6,8,0))))*(VLOOKUP(I1142,$C$3:$L$6,10,0)*VLOOKUP(I1142,$C$3:$L$6,6,0)/12),0))</f>
        <v/>
      </c>
      <c r="K1142" s="29" t="str">
        <f ca="1">IF(C1142&lt;&gt;"",IF(I1142&lt;&gt;"",IF(ISERROR(VLOOKUP(I1142,$C$3:$L$6,10,0)),"",VLOOKUP(I1142,$C$3:$L$6,10,0)+J1142+IF(OR(VLOOKUP(I1142,$C$3:$L$6,5,0)=Variables!$B$5,B1142&gt;VLOOKUP(I1142,$C$3:$L$6,8,0)),IF(VLOOKUP(I1142,$C$3:$L$6,5,0)=Variables!$B$5,((YEAR(B1142)-YEAR($B$12))*12+MONTH(B1142)-MONTH($B$12)),((YEAR(B1142)-YEAR(VLOOKUP(I1142,$C$3:$L$6,8,0)))*12+MONTH(B1142)-MONTH(VLOOKUP(I1142,$C$3:$L$6,8,0))))*VLOOKUP(I1142,$C$3:$L$6,7,0),0)),""),"")</f>
        <v/>
      </c>
      <c r="L1142" s="29" t="str">
        <f t="shared" ca="1" si="99"/>
        <v/>
      </c>
      <c r="M1142" s="10"/>
      <c r="N1142" s="10"/>
    </row>
    <row r="1143" spans="1:14" x14ac:dyDescent="0.25">
      <c r="A1143" s="10"/>
      <c r="B1143" s="14" t="str">
        <f t="shared" ca="1" si="100"/>
        <v/>
      </c>
      <c r="C1143" s="14" t="str">
        <f ca="1">IF(I1142&lt;&gt;Variables!$B$1,IF(H1142&lt;&gt;0,C1142,I1142),"")</f>
        <v/>
      </c>
      <c r="D1143" s="29" t="str">
        <f t="shared" ca="1" si="97"/>
        <v/>
      </c>
      <c r="E1143" s="29" t="str">
        <f t="shared" ca="1" si="98"/>
        <v/>
      </c>
      <c r="F1143" s="29" t="str">
        <f ca="1">IF(C1143&lt;&gt;"",IF(OR(VLOOKUP(C1143,$C$3:$L$6,5,0)=Variables!$B$5,B1143&gt;VLOOKUP(C1143,$C$3:$L$6,8,0)),-D1143*VLOOKUP(C1143,$C$3:$L$6,6,0)/12,0),"")</f>
        <v/>
      </c>
      <c r="G1143" s="29" t="str">
        <f ca="1">IF(I1143&lt;&gt;Variables!$B$1,IF(C1143&lt;&gt;"",$I$9-E1143-F1143,""),-D1143)</f>
        <v/>
      </c>
      <c r="H1143" s="29" t="str">
        <f t="shared" ca="1" si="101"/>
        <v/>
      </c>
      <c r="I1143" s="31" t="str">
        <f ca="1">IF(C1143&lt;&gt;"",IF(D1143+$I$9-E1143-F1143&gt;=0,IF(ISERROR(INDEX($C$3:$C$6,MATCH(C1143,$C$3:$C$6,0)+1,0)),Variables!$B$1,INDEX($C$3:$C$6,MATCH(C1143,$C$3:$C$6,0)+1,0)),""),"")</f>
        <v/>
      </c>
      <c r="J1143" s="29" t="str">
        <f ca="1">IF(ISERROR(VLOOKUP(I1143,$C$3:$L$6,5,0)),"",IF(OR(VLOOKUP(I1143,$C$3:$L$6,5,0)=Variables!$B$5,B1143&gt;VLOOKUP(I1143,$C$3:$L$6,8,0)),IF(VLOOKUP(I1143,$C$3:$L$6,5,0)=Variables!$B$5,((YEAR(B1143)-YEAR($B$12))*12+MONTH(B1143)-MONTH($B$12)),((YEAR(B1143)-YEAR(VLOOKUP(I1143,$C$3:$L$6,8,0)))*12+MONTH(B1143)-MONTH(VLOOKUP(I1143,$C$3:$L$6,8,0))))*(VLOOKUP(I1143,$C$3:$L$6,10,0)*VLOOKUP(I1143,$C$3:$L$6,6,0)/12),0))</f>
        <v/>
      </c>
      <c r="K1143" s="29" t="str">
        <f ca="1">IF(C1143&lt;&gt;"",IF(I1143&lt;&gt;"",IF(ISERROR(VLOOKUP(I1143,$C$3:$L$6,10,0)),"",VLOOKUP(I1143,$C$3:$L$6,10,0)+J1143+IF(OR(VLOOKUP(I1143,$C$3:$L$6,5,0)=Variables!$B$5,B1143&gt;VLOOKUP(I1143,$C$3:$L$6,8,0)),IF(VLOOKUP(I1143,$C$3:$L$6,5,0)=Variables!$B$5,((YEAR(B1143)-YEAR($B$12))*12+MONTH(B1143)-MONTH($B$12)),((YEAR(B1143)-YEAR(VLOOKUP(I1143,$C$3:$L$6,8,0)))*12+MONTH(B1143)-MONTH(VLOOKUP(I1143,$C$3:$L$6,8,0))))*VLOOKUP(I1143,$C$3:$L$6,7,0),0)),""),"")</f>
        <v/>
      </c>
      <c r="L1143" s="29" t="str">
        <f t="shared" ca="1" si="99"/>
        <v/>
      </c>
      <c r="M1143" s="10"/>
      <c r="N1143" s="10"/>
    </row>
    <row r="1144" spans="1:14" x14ac:dyDescent="0.25">
      <c r="A1144" s="10"/>
      <c r="B1144" s="14" t="str">
        <f t="shared" ca="1" si="100"/>
        <v/>
      </c>
      <c r="C1144" s="14" t="str">
        <f ca="1">IF(I1143&lt;&gt;Variables!$B$1,IF(H1143&lt;&gt;0,C1143,I1143),"")</f>
        <v/>
      </c>
      <c r="D1144" s="29" t="str">
        <f t="shared" ca="1" si="97"/>
        <v/>
      </c>
      <c r="E1144" s="29" t="str">
        <f t="shared" ca="1" si="98"/>
        <v/>
      </c>
      <c r="F1144" s="29" t="str">
        <f ca="1">IF(C1144&lt;&gt;"",IF(OR(VLOOKUP(C1144,$C$3:$L$6,5,0)=Variables!$B$5,B1144&gt;VLOOKUP(C1144,$C$3:$L$6,8,0)),-D1144*VLOOKUP(C1144,$C$3:$L$6,6,0)/12,0),"")</f>
        <v/>
      </c>
      <c r="G1144" s="29" t="str">
        <f ca="1">IF(I1144&lt;&gt;Variables!$B$1,IF(C1144&lt;&gt;"",$I$9-E1144-F1144,""),-D1144)</f>
        <v/>
      </c>
      <c r="H1144" s="29" t="str">
        <f t="shared" ca="1" si="101"/>
        <v/>
      </c>
      <c r="I1144" s="31" t="str">
        <f ca="1">IF(C1144&lt;&gt;"",IF(D1144+$I$9-E1144-F1144&gt;=0,IF(ISERROR(INDEX($C$3:$C$6,MATCH(C1144,$C$3:$C$6,0)+1,0)),Variables!$B$1,INDEX($C$3:$C$6,MATCH(C1144,$C$3:$C$6,0)+1,0)),""),"")</f>
        <v/>
      </c>
      <c r="J1144" s="29" t="str">
        <f ca="1">IF(ISERROR(VLOOKUP(I1144,$C$3:$L$6,5,0)),"",IF(OR(VLOOKUP(I1144,$C$3:$L$6,5,0)=Variables!$B$5,B1144&gt;VLOOKUP(I1144,$C$3:$L$6,8,0)),IF(VLOOKUP(I1144,$C$3:$L$6,5,0)=Variables!$B$5,((YEAR(B1144)-YEAR($B$12))*12+MONTH(B1144)-MONTH($B$12)),((YEAR(B1144)-YEAR(VLOOKUP(I1144,$C$3:$L$6,8,0)))*12+MONTH(B1144)-MONTH(VLOOKUP(I1144,$C$3:$L$6,8,0))))*(VLOOKUP(I1144,$C$3:$L$6,10,0)*VLOOKUP(I1144,$C$3:$L$6,6,0)/12),0))</f>
        <v/>
      </c>
      <c r="K1144" s="29" t="str">
        <f ca="1">IF(C1144&lt;&gt;"",IF(I1144&lt;&gt;"",IF(ISERROR(VLOOKUP(I1144,$C$3:$L$6,10,0)),"",VLOOKUP(I1144,$C$3:$L$6,10,0)+J1144+IF(OR(VLOOKUP(I1144,$C$3:$L$6,5,0)=Variables!$B$5,B1144&gt;VLOOKUP(I1144,$C$3:$L$6,8,0)),IF(VLOOKUP(I1144,$C$3:$L$6,5,0)=Variables!$B$5,((YEAR(B1144)-YEAR($B$12))*12+MONTH(B1144)-MONTH($B$12)),((YEAR(B1144)-YEAR(VLOOKUP(I1144,$C$3:$L$6,8,0)))*12+MONTH(B1144)-MONTH(VLOOKUP(I1144,$C$3:$L$6,8,0))))*VLOOKUP(I1144,$C$3:$L$6,7,0),0)),""),"")</f>
        <v/>
      </c>
      <c r="L1144" s="29" t="str">
        <f t="shared" ca="1" si="99"/>
        <v/>
      </c>
      <c r="M1144" s="10"/>
      <c r="N1144" s="10"/>
    </row>
    <row r="1145" spans="1:14" x14ac:dyDescent="0.25">
      <c r="A1145" s="10"/>
      <c r="B1145" s="14" t="str">
        <f t="shared" ca="1" si="100"/>
        <v/>
      </c>
      <c r="C1145" s="14" t="str">
        <f ca="1">IF(I1144&lt;&gt;Variables!$B$1,IF(H1144&lt;&gt;0,C1144,I1144),"")</f>
        <v/>
      </c>
      <c r="D1145" s="29" t="str">
        <f t="shared" ca="1" si="97"/>
        <v/>
      </c>
      <c r="E1145" s="29" t="str">
        <f t="shared" ca="1" si="98"/>
        <v/>
      </c>
      <c r="F1145" s="29" t="str">
        <f ca="1">IF(C1145&lt;&gt;"",IF(OR(VLOOKUP(C1145,$C$3:$L$6,5,0)=Variables!$B$5,B1145&gt;VLOOKUP(C1145,$C$3:$L$6,8,0)),-D1145*VLOOKUP(C1145,$C$3:$L$6,6,0)/12,0),"")</f>
        <v/>
      </c>
      <c r="G1145" s="29" t="str">
        <f ca="1">IF(I1145&lt;&gt;Variables!$B$1,IF(C1145&lt;&gt;"",$I$9-E1145-F1145,""),-D1145)</f>
        <v/>
      </c>
      <c r="H1145" s="29" t="str">
        <f t="shared" ca="1" si="101"/>
        <v/>
      </c>
      <c r="I1145" s="31" t="str">
        <f ca="1">IF(C1145&lt;&gt;"",IF(D1145+$I$9-E1145-F1145&gt;=0,IF(ISERROR(INDEX($C$3:$C$6,MATCH(C1145,$C$3:$C$6,0)+1,0)),Variables!$B$1,INDEX($C$3:$C$6,MATCH(C1145,$C$3:$C$6,0)+1,0)),""),"")</f>
        <v/>
      </c>
      <c r="J1145" s="29" t="str">
        <f ca="1">IF(ISERROR(VLOOKUP(I1145,$C$3:$L$6,5,0)),"",IF(OR(VLOOKUP(I1145,$C$3:$L$6,5,0)=Variables!$B$5,B1145&gt;VLOOKUP(I1145,$C$3:$L$6,8,0)),IF(VLOOKUP(I1145,$C$3:$L$6,5,0)=Variables!$B$5,((YEAR(B1145)-YEAR($B$12))*12+MONTH(B1145)-MONTH($B$12)),((YEAR(B1145)-YEAR(VLOOKUP(I1145,$C$3:$L$6,8,0)))*12+MONTH(B1145)-MONTH(VLOOKUP(I1145,$C$3:$L$6,8,0))))*(VLOOKUP(I1145,$C$3:$L$6,10,0)*VLOOKUP(I1145,$C$3:$L$6,6,0)/12),0))</f>
        <v/>
      </c>
      <c r="K1145" s="29" t="str">
        <f ca="1">IF(C1145&lt;&gt;"",IF(I1145&lt;&gt;"",IF(ISERROR(VLOOKUP(I1145,$C$3:$L$6,10,0)),"",VLOOKUP(I1145,$C$3:$L$6,10,0)+J1145+IF(OR(VLOOKUP(I1145,$C$3:$L$6,5,0)=Variables!$B$5,B1145&gt;VLOOKUP(I1145,$C$3:$L$6,8,0)),IF(VLOOKUP(I1145,$C$3:$L$6,5,0)=Variables!$B$5,((YEAR(B1145)-YEAR($B$12))*12+MONTH(B1145)-MONTH($B$12)),((YEAR(B1145)-YEAR(VLOOKUP(I1145,$C$3:$L$6,8,0)))*12+MONTH(B1145)-MONTH(VLOOKUP(I1145,$C$3:$L$6,8,0))))*VLOOKUP(I1145,$C$3:$L$6,7,0),0)),""),"")</f>
        <v/>
      </c>
      <c r="L1145" s="29" t="str">
        <f t="shared" ca="1" si="99"/>
        <v/>
      </c>
      <c r="M1145" s="10"/>
      <c r="N1145" s="10"/>
    </row>
    <row r="1146" spans="1:14" x14ac:dyDescent="0.25">
      <c r="A1146" s="10"/>
      <c r="B1146" s="14" t="str">
        <f t="shared" ca="1" si="100"/>
        <v/>
      </c>
      <c r="C1146" s="14" t="str">
        <f ca="1">IF(I1145&lt;&gt;Variables!$B$1,IF(H1145&lt;&gt;0,C1145,I1145),"")</f>
        <v/>
      </c>
      <c r="D1146" s="29" t="str">
        <f t="shared" ca="1" si="97"/>
        <v/>
      </c>
      <c r="E1146" s="29" t="str">
        <f t="shared" ca="1" si="98"/>
        <v/>
      </c>
      <c r="F1146" s="29" t="str">
        <f ca="1">IF(C1146&lt;&gt;"",IF(OR(VLOOKUP(C1146,$C$3:$L$6,5,0)=Variables!$B$5,B1146&gt;VLOOKUP(C1146,$C$3:$L$6,8,0)),-D1146*VLOOKUP(C1146,$C$3:$L$6,6,0)/12,0),"")</f>
        <v/>
      </c>
      <c r="G1146" s="29" t="str">
        <f ca="1">IF(I1146&lt;&gt;Variables!$B$1,IF(C1146&lt;&gt;"",$I$9-E1146-F1146,""),-D1146)</f>
        <v/>
      </c>
      <c r="H1146" s="29" t="str">
        <f t="shared" ca="1" si="101"/>
        <v/>
      </c>
      <c r="I1146" s="31" t="str">
        <f ca="1">IF(C1146&lt;&gt;"",IF(D1146+$I$9-E1146-F1146&gt;=0,IF(ISERROR(INDEX($C$3:$C$6,MATCH(C1146,$C$3:$C$6,0)+1,0)),Variables!$B$1,INDEX($C$3:$C$6,MATCH(C1146,$C$3:$C$6,0)+1,0)),""),"")</f>
        <v/>
      </c>
      <c r="J1146" s="29" t="str">
        <f ca="1">IF(ISERROR(VLOOKUP(I1146,$C$3:$L$6,5,0)),"",IF(OR(VLOOKUP(I1146,$C$3:$L$6,5,0)=Variables!$B$5,B1146&gt;VLOOKUP(I1146,$C$3:$L$6,8,0)),IF(VLOOKUP(I1146,$C$3:$L$6,5,0)=Variables!$B$5,((YEAR(B1146)-YEAR($B$12))*12+MONTH(B1146)-MONTH($B$12)),((YEAR(B1146)-YEAR(VLOOKUP(I1146,$C$3:$L$6,8,0)))*12+MONTH(B1146)-MONTH(VLOOKUP(I1146,$C$3:$L$6,8,0))))*(VLOOKUP(I1146,$C$3:$L$6,10,0)*VLOOKUP(I1146,$C$3:$L$6,6,0)/12),0))</f>
        <v/>
      </c>
      <c r="K1146" s="29" t="str">
        <f ca="1">IF(C1146&lt;&gt;"",IF(I1146&lt;&gt;"",IF(ISERROR(VLOOKUP(I1146,$C$3:$L$6,10,0)),"",VLOOKUP(I1146,$C$3:$L$6,10,0)+J1146+IF(OR(VLOOKUP(I1146,$C$3:$L$6,5,0)=Variables!$B$5,B1146&gt;VLOOKUP(I1146,$C$3:$L$6,8,0)),IF(VLOOKUP(I1146,$C$3:$L$6,5,0)=Variables!$B$5,((YEAR(B1146)-YEAR($B$12))*12+MONTH(B1146)-MONTH($B$12)),((YEAR(B1146)-YEAR(VLOOKUP(I1146,$C$3:$L$6,8,0)))*12+MONTH(B1146)-MONTH(VLOOKUP(I1146,$C$3:$L$6,8,0))))*VLOOKUP(I1146,$C$3:$L$6,7,0),0)),""),"")</f>
        <v/>
      </c>
      <c r="L1146" s="29" t="str">
        <f t="shared" ca="1" si="99"/>
        <v/>
      </c>
      <c r="M1146" s="10"/>
      <c r="N1146" s="10"/>
    </row>
    <row r="1147" spans="1:14" x14ac:dyDescent="0.25">
      <c r="A1147" s="10"/>
      <c r="B1147" s="14" t="str">
        <f t="shared" ca="1" si="100"/>
        <v/>
      </c>
      <c r="C1147" s="14" t="str">
        <f ca="1">IF(I1146&lt;&gt;Variables!$B$1,IF(H1146&lt;&gt;0,C1146,I1146),"")</f>
        <v/>
      </c>
      <c r="D1147" s="29" t="str">
        <f t="shared" ca="1" si="97"/>
        <v/>
      </c>
      <c r="E1147" s="29" t="str">
        <f t="shared" ca="1" si="98"/>
        <v/>
      </c>
      <c r="F1147" s="29" t="str">
        <f ca="1">IF(C1147&lt;&gt;"",IF(OR(VLOOKUP(C1147,$C$3:$L$6,5,0)=Variables!$B$5,B1147&gt;VLOOKUP(C1147,$C$3:$L$6,8,0)),-D1147*VLOOKUP(C1147,$C$3:$L$6,6,0)/12,0),"")</f>
        <v/>
      </c>
      <c r="G1147" s="29" t="str">
        <f ca="1">IF(I1147&lt;&gt;Variables!$B$1,IF(C1147&lt;&gt;"",$I$9-E1147-F1147,""),-D1147)</f>
        <v/>
      </c>
      <c r="H1147" s="29" t="str">
        <f t="shared" ca="1" si="101"/>
        <v/>
      </c>
      <c r="I1147" s="31" t="str">
        <f ca="1">IF(C1147&lt;&gt;"",IF(D1147+$I$9-E1147-F1147&gt;=0,IF(ISERROR(INDEX($C$3:$C$6,MATCH(C1147,$C$3:$C$6,0)+1,0)),Variables!$B$1,INDEX($C$3:$C$6,MATCH(C1147,$C$3:$C$6,0)+1,0)),""),"")</f>
        <v/>
      </c>
      <c r="J1147" s="29" t="str">
        <f ca="1">IF(ISERROR(VLOOKUP(I1147,$C$3:$L$6,5,0)),"",IF(OR(VLOOKUP(I1147,$C$3:$L$6,5,0)=Variables!$B$5,B1147&gt;VLOOKUP(I1147,$C$3:$L$6,8,0)),IF(VLOOKUP(I1147,$C$3:$L$6,5,0)=Variables!$B$5,((YEAR(B1147)-YEAR($B$12))*12+MONTH(B1147)-MONTH($B$12)),((YEAR(B1147)-YEAR(VLOOKUP(I1147,$C$3:$L$6,8,0)))*12+MONTH(B1147)-MONTH(VLOOKUP(I1147,$C$3:$L$6,8,0))))*(VLOOKUP(I1147,$C$3:$L$6,10,0)*VLOOKUP(I1147,$C$3:$L$6,6,0)/12),0))</f>
        <v/>
      </c>
      <c r="K1147" s="29" t="str">
        <f ca="1">IF(C1147&lt;&gt;"",IF(I1147&lt;&gt;"",IF(ISERROR(VLOOKUP(I1147,$C$3:$L$6,10,0)),"",VLOOKUP(I1147,$C$3:$L$6,10,0)+J1147+IF(OR(VLOOKUP(I1147,$C$3:$L$6,5,0)=Variables!$B$5,B1147&gt;VLOOKUP(I1147,$C$3:$L$6,8,0)),IF(VLOOKUP(I1147,$C$3:$L$6,5,0)=Variables!$B$5,((YEAR(B1147)-YEAR($B$12))*12+MONTH(B1147)-MONTH($B$12)),((YEAR(B1147)-YEAR(VLOOKUP(I1147,$C$3:$L$6,8,0)))*12+MONTH(B1147)-MONTH(VLOOKUP(I1147,$C$3:$L$6,8,0))))*VLOOKUP(I1147,$C$3:$L$6,7,0),0)),""),"")</f>
        <v/>
      </c>
      <c r="L1147" s="29" t="str">
        <f t="shared" ca="1" si="99"/>
        <v/>
      </c>
      <c r="M1147" s="10"/>
      <c r="N1147" s="10"/>
    </row>
    <row r="1148" spans="1:14" x14ac:dyDescent="0.25">
      <c r="A1148" s="10"/>
      <c r="B1148" s="14" t="str">
        <f t="shared" ca="1" si="100"/>
        <v/>
      </c>
      <c r="C1148" s="14" t="str">
        <f ca="1">IF(I1147&lt;&gt;Variables!$B$1,IF(H1147&lt;&gt;0,C1147,I1147),"")</f>
        <v/>
      </c>
      <c r="D1148" s="29" t="str">
        <f t="shared" ca="1" si="97"/>
        <v/>
      </c>
      <c r="E1148" s="29" t="str">
        <f t="shared" ca="1" si="98"/>
        <v/>
      </c>
      <c r="F1148" s="29" t="str">
        <f ca="1">IF(C1148&lt;&gt;"",IF(OR(VLOOKUP(C1148,$C$3:$L$6,5,0)=Variables!$B$5,B1148&gt;VLOOKUP(C1148,$C$3:$L$6,8,0)),-D1148*VLOOKUP(C1148,$C$3:$L$6,6,0)/12,0),"")</f>
        <v/>
      </c>
      <c r="G1148" s="29" t="str">
        <f ca="1">IF(I1148&lt;&gt;Variables!$B$1,IF(C1148&lt;&gt;"",$I$9-E1148-F1148,""),-D1148)</f>
        <v/>
      </c>
      <c r="H1148" s="29" t="str">
        <f t="shared" ca="1" si="101"/>
        <v/>
      </c>
      <c r="I1148" s="31" t="str">
        <f ca="1">IF(C1148&lt;&gt;"",IF(D1148+$I$9-E1148-F1148&gt;=0,IF(ISERROR(INDEX($C$3:$C$6,MATCH(C1148,$C$3:$C$6,0)+1,0)),Variables!$B$1,INDEX($C$3:$C$6,MATCH(C1148,$C$3:$C$6,0)+1,0)),""),"")</f>
        <v/>
      </c>
      <c r="J1148" s="29" t="str">
        <f ca="1">IF(ISERROR(VLOOKUP(I1148,$C$3:$L$6,5,0)),"",IF(OR(VLOOKUP(I1148,$C$3:$L$6,5,0)=Variables!$B$5,B1148&gt;VLOOKUP(I1148,$C$3:$L$6,8,0)),IF(VLOOKUP(I1148,$C$3:$L$6,5,0)=Variables!$B$5,((YEAR(B1148)-YEAR($B$12))*12+MONTH(B1148)-MONTH($B$12)),((YEAR(B1148)-YEAR(VLOOKUP(I1148,$C$3:$L$6,8,0)))*12+MONTH(B1148)-MONTH(VLOOKUP(I1148,$C$3:$L$6,8,0))))*(VLOOKUP(I1148,$C$3:$L$6,10,0)*VLOOKUP(I1148,$C$3:$L$6,6,0)/12),0))</f>
        <v/>
      </c>
      <c r="K1148" s="29" t="str">
        <f ca="1">IF(C1148&lt;&gt;"",IF(I1148&lt;&gt;"",IF(ISERROR(VLOOKUP(I1148,$C$3:$L$6,10,0)),"",VLOOKUP(I1148,$C$3:$L$6,10,0)+J1148+IF(OR(VLOOKUP(I1148,$C$3:$L$6,5,0)=Variables!$B$5,B1148&gt;VLOOKUP(I1148,$C$3:$L$6,8,0)),IF(VLOOKUP(I1148,$C$3:$L$6,5,0)=Variables!$B$5,((YEAR(B1148)-YEAR($B$12))*12+MONTH(B1148)-MONTH($B$12)),((YEAR(B1148)-YEAR(VLOOKUP(I1148,$C$3:$L$6,8,0)))*12+MONTH(B1148)-MONTH(VLOOKUP(I1148,$C$3:$L$6,8,0))))*VLOOKUP(I1148,$C$3:$L$6,7,0),0)),""),"")</f>
        <v/>
      </c>
      <c r="L1148" s="29" t="str">
        <f t="shared" ca="1" si="99"/>
        <v/>
      </c>
      <c r="M1148" s="10"/>
      <c r="N1148" s="10"/>
    </row>
    <row r="1149" spans="1:14" x14ac:dyDescent="0.25">
      <c r="A1149" s="10"/>
      <c r="B1149" s="14" t="str">
        <f t="shared" ca="1" si="100"/>
        <v/>
      </c>
      <c r="C1149" s="14" t="str">
        <f ca="1">IF(I1148&lt;&gt;Variables!$B$1,IF(H1148&lt;&gt;0,C1148,I1148),"")</f>
        <v/>
      </c>
      <c r="D1149" s="29" t="str">
        <f t="shared" ca="1" si="97"/>
        <v/>
      </c>
      <c r="E1149" s="29" t="str">
        <f t="shared" ca="1" si="98"/>
        <v/>
      </c>
      <c r="F1149" s="29" t="str">
        <f ca="1">IF(C1149&lt;&gt;"",IF(OR(VLOOKUP(C1149,$C$3:$L$6,5,0)=Variables!$B$5,B1149&gt;VLOOKUP(C1149,$C$3:$L$6,8,0)),-D1149*VLOOKUP(C1149,$C$3:$L$6,6,0)/12,0),"")</f>
        <v/>
      </c>
      <c r="G1149" s="29" t="str">
        <f ca="1">IF(I1149&lt;&gt;Variables!$B$1,IF(C1149&lt;&gt;"",$I$9-E1149-F1149,""),-D1149)</f>
        <v/>
      </c>
      <c r="H1149" s="29" t="str">
        <f t="shared" ca="1" si="101"/>
        <v/>
      </c>
      <c r="I1149" s="31" t="str">
        <f ca="1">IF(C1149&lt;&gt;"",IF(D1149+$I$9-E1149-F1149&gt;=0,IF(ISERROR(INDEX($C$3:$C$6,MATCH(C1149,$C$3:$C$6,0)+1,0)),Variables!$B$1,INDEX($C$3:$C$6,MATCH(C1149,$C$3:$C$6,0)+1,0)),""),"")</f>
        <v/>
      </c>
      <c r="J1149" s="29" t="str">
        <f ca="1">IF(ISERROR(VLOOKUP(I1149,$C$3:$L$6,5,0)),"",IF(OR(VLOOKUP(I1149,$C$3:$L$6,5,0)=Variables!$B$5,B1149&gt;VLOOKUP(I1149,$C$3:$L$6,8,0)),IF(VLOOKUP(I1149,$C$3:$L$6,5,0)=Variables!$B$5,((YEAR(B1149)-YEAR($B$12))*12+MONTH(B1149)-MONTH($B$12)),((YEAR(B1149)-YEAR(VLOOKUP(I1149,$C$3:$L$6,8,0)))*12+MONTH(B1149)-MONTH(VLOOKUP(I1149,$C$3:$L$6,8,0))))*(VLOOKUP(I1149,$C$3:$L$6,10,0)*VLOOKUP(I1149,$C$3:$L$6,6,0)/12),0))</f>
        <v/>
      </c>
      <c r="K1149" s="29" t="str">
        <f ca="1">IF(C1149&lt;&gt;"",IF(I1149&lt;&gt;"",IF(ISERROR(VLOOKUP(I1149,$C$3:$L$6,10,0)),"",VLOOKUP(I1149,$C$3:$L$6,10,0)+J1149+IF(OR(VLOOKUP(I1149,$C$3:$L$6,5,0)=Variables!$B$5,B1149&gt;VLOOKUP(I1149,$C$3:$L$6,8,0)),IF(VLOOKUP(I1149,$C$3:$L$6,5,0)=Variables!$B$5,((YEAR(B1149)-YEAR($B$12))*12+MONTH(B1149)-MONTH($B$12)),((YEAR(B1149)-YEAR(VLOOKUP(I1149,$C$3:$L$6,8,0)))*12+MONTH(B1149)-MONTH(VLOOKUP(I1149,$C$3:$L$6,8,0))))*VLOOKUP(I1149,$C$3:$L$6,7,0),0)),""),"")</f>
        <v/>
      </c>
      <c r="L1149" s="29" t="str">
        <f t="shared" ca="1" si="99"/>
        <v/>
      </c>
      <c r="M1149" s="10"/>
      <c r="N1149" s="10"/>
    </row>
    <row r="1150" spans="1:14" x14ac:dyDescent="0.25">
      <c r="A1150" s="10"/>
      <c r="B1150" s="14" t="str">
        <f t="shared" ca="1" si="100"/>
        <v/>
      </c>
      <c r="C1150" s="14" t="str">
        <f ca="1">IF(I1149&lt;&gt;Variables!$B$1,IF(H1149&lt;&gt;0,C1149,I1149),"")</f>
        <v/>
      </c>
      <c r="D1150" s="29" t="str">
        <f t="shared" ca="1" si="97"/>
        <v/>
      </c>
      <c r="E1150" s="29" t="str">
        <f t="shared" ca="1" si="98"/>
        <v/>
      </c>
      <c r="F1150" s="29" t="str">
        <f ca="1">IF(C1150&lt;&gt;"",IF(OR(VLOOKUP(C1150,$C$3:$L$6,5,0)=Variables!$B$5,B1150&gt;VLOOKUP(C1150,$C$3:$L$6,8,0)),-D1150*VLOOKUP(C1150,$C$3:$L$6,6,0)/12,0),"")</f>
        <v/>
      </c>
      <c r="G1150" s="29" t="str">
        <f ca="1">IF(I1150&lt;&gt;Variables!$B$1,IF(C1150&lt;&gt;"",$I$9-E1150-F1150,""),-D1150)</f>
        <v/>
      </c>
      <c r="H1150" s="29" t="str">
        <f t="shared" ca="1" si="101"/>
        <v/>
      </c>
      <c r="I1150" s="31" t="str">
        <f ca="1">IF(C1150&lt;&gt;"",IF(D1150+$I$9-E1150-F1150&gt;=0,IF(ISERROR(INDEX($C$3:$C$6,MATCH(C1150,$C$3:$C$6,0)+1,0)),Variables!$B$1,INDEX($C$3:$C$6,MATCH(C1150,$C$3:$C$6,0)+1,0)),""),"")</f>
        <v/>
      </c>
      <c r="J1150" s="29" t="str">
        <f ca="1">IF(ISERROR(VLOOKUP(I1150,$C$3:$L$6,5,0)),"",IF(OR(VLOOKUP(I1150,$C$3:$L$6,5,0)=Variables!$B$5,B1150&gt;VLOOKUP(I1150,$C$3:$L$6,8,0)),IF(VLOOKUP(I1150,$C$3:$L$6,5,0)=Variables!$B$5,((YEAR(B1150)-YEAR($B$12))*12+MONTH(B1150)-MONTH($B$12)),((YEAR(B1150)-YEAR(VLOOKUP(I1150,$C$3:$L$6,8,0)))*12+MONTH(B1150)-MONTH(VLOOKUP(I1150,$C$3:$L$6,8,0))))*(VLOOKUP(I1150,$C$3:$L$6,10,0)*VLOOKUP(I1150,$C$3:$L$6,6,0)/12),0))</f>
        <v/>
      </c>
      <c r="K1150" s="29" t="str">
        <f ca="1">IF(C1150&lt;&gt;"",IF(I1150&lt;&gt;"",IF(ISERROR(VLOOKUP(I1150,$C$3:$L$6,10,0)),"",VLOOKUP(I1150,$C$3:$L$6,10,0)+J1150+IF(OR(VLOOKUP(I1150,$C$3:$L$6,5,0)=Variables!$B$5,B1150&gt;VLOOKUP(I1150,$C$3:$L$6,8,0)),IF(VLOOKUP(I1150,$C$3:$L$6,5,0)=Variables!$B$5,((YEAR(B1150)-YEAR($B$12))*12+MONTH(B1150)-MONTH($B$12)),((YEAR(B1150)-YEAR(VLOOKUP(I1150,$C$3:$L$6,8,0)))*12+MONTH(B1150)-MONTH(VLOOKUP(I1150,$C$3:$L$6,8,0))))*VLOOKUP(I1150,$C$3:$L$6,7,0),0)),""),"")</f>
        <v/>
      </c>
      <c r="L1150" s="29" t="str">
        <f t="shared" ca="1" si="99"/>
        <v/>
      </c>
      <c r="M1150" s="10"/>
      <c r="N1150" s="10"/>
    </row>
    <row r="1151" spans="1:14" x14ac:dyDescent="0.25">
      <c r="A1151" s="10"/>
      <c r="B1151" s="14" t="str">
        <f t="shared" ca="1" si="100"/>
        <v/>
      </c>
      <c r="C1151" s="14" t="str">
        <f ca="1">IF(I1150&lt;&gt;Variables!$B$1,IF(H1150&lt;&gt;0,C1150,I1150),"")</f>
        <v/>
      </c>
      <c r="D1151" s="29" t="str">
        <f t="shared" ca="1" si="97"/>
        <v/>
      </c>
      <c r="E1151" s="29" t="str">
        <f t="shared" ca="1" si="98"/>
        <v/>
      </c>
      <c r="F1151" s="29" t="str">
        <f ca="1">IF(C1151&lt;&gt;"",IF(OR(VLOOKUP(C1151,$C$3:$L$6,5,0)=Variables!$B$5,B1151&gt;VLOOKUP(C1151,$C$3:$L$6,8,0)),-D1151*VLOOKUP(C1151,$C$3:$L$6,6,0)/12,0),"")</f>
        <v/>
      </c>
      <c r="G1151" s="29" t="str">
        <f ca="1">IF(I1151&lt;&gt;Variables!$B$1,IF(C1151&lt;&gt;"",$I$9-E1151-F1151,""),-D1151)</f>
        <v/>
      </c>
      <c r="H1151" s="29" t="str">
        <f t="shared" ca="1" si="101"/>
        <v/>
      </c>
      <c r="I1151" s="31" t="str">
        <f ca="1">IF(C1151&lt;&gt;"",IF(D1151+$I$9-E1151-F1151&gt;=0,IF(ISERROR(INDEX($C$3:$C$6,MATCH(C1151,$C$3:$C$6,0)+1,0)),Variables!$B$1,INDEX($C$3:$C$6,MATCH(C1151,$C$3:$C$6,0)+1,0)),""),"")</f>
        <v/>
      </c>
      <c r="J1151" s="29" t="str">
        <f ca="1">IF(ISERROR(VLOOKUP(I1151,$C$3:$L$6,5,0)),"",IF(OR(VLOOKUP(I1151,$C$3:$L$6,5,0)=Variables!$B$5,B1151&gt;VLOOKUP(I1151,$C$3:$L$6,8,0)),IF(VLOOKUP(I1151,$C$3:$L$6,5,0)=Variables!$B$5,((YEAR(B1151)-YEAR($B$12))*12+MONTH(B1151)-MONTH($B$12)),((YEAR(B1151)-YEAR(VLOOKUP(I1151,$C$3:$L$6,8,0)))*12+MONTH(B1151)-MONTH(VLOOKUP(I1151,$C$3:$L$6,8,0))))*(VLOOKUP(I1151,$C$3:$L$6,10,0)*VLOOKUP(I1151,$C$3:$L$6,6,0)/12),0))</f>
        <v/>
      </c>
      <c r="K1151" s="29" t="str">
        <f ca="1">IF(C1151&lt;&gt;"",IF(I1151&lt;&gt;"",IF(ISERROR(VLOOKUP(I1151,$C$3:$L$6,10,0)),"",VLOOKUP(I1151,$C$3:$L$6,10,0)+J1151+IF(OR(VLOOKUP(I1151,$C$3:$L$6,5,0)=Variables!$B$5,B1151&gt;VLOOKUP(I1151,$C$3:$L$6,8,0)),IF(VLOOKUP(I1151,$C$3:$L$6,5,0)=Variables!$B$5,((YEAR(B1151)-YEAR($B$12))*12+MONTH(B1151)-MONTH($B$12)),((YEAR(B1151)-YEAR(VLOOKUP(I1151,$C$3:$L$6,8,0)))*12+MONTH(B1151)-MONTH(VLOOKUP(I1151,$C$3:$L$6,8,0))))*VLOOKUP(I1151,$C$3:$L$6,7,0),0)),""),"")</f>
        <v/>
      </c>
      <c r="L1151" s="29" t="str">
        <f t="shared" ca="1" si="99"/>
        <v/>
      </c>
      <c r="M1151" s="10"/>
      <c r="N1151" s="10"/>
    </row>
    <row r="1152" spans="1:14" x14ac:dyDescent="0.25">
      <c r="A1152" s="10"/>
      <c r="B1152" s="14" t="str">
        <f t="shared" ca="1" si="100"/>
        <v/>
      </c>
      <c r="C1152" s="14" t="str">
        <f ca="1">IF(I1151&lt;&gt;Variables!$B$1,IF(H1151&lt;&gt;0,C1151,I1151),"")</f>
        <v/>
      </c>
      <c r="D1152" s="29" t="str">
        <f t="shared" ca="1" si="97"/>
        <v/>
      </c>
      <c r="E1152" s="29" t="str">
        <f t="shared" ca="1" si="98"/>
        <v/>
      </c>
      <c r="F1152" s="29" t="str">
        <f ca="1">IF(C1152&lt;&gt;"",IF(OR(VLOOKUP(C1152,$C$3:$L$6,5,0)=Variables!$B$5,B1152&gt;VLOOKUP(C1152,$C$3:$L$6,8,0)),-D1152*VLOOKUP(C1152,$C$3:$L$6,6,0)/12,0),"")</f>
        <v/>
      </c>
      <c r="G1152" s="29" t="str">
        <f ca="1">IF(I1152&lt;&gt;Variables!$B$1,IF(C1152&lt;&gt;"",$I$9-E1152-F1152,""),-D1152)</f>
        <v/>
      </c>
      <c r="H1152" s="29" t="str">
        <f t="shared" ca="1" si="101"/>
        <v/>
      </c>
      <c r="I1152" s="31" t="str">
        <f ca="1">IF(C1152&lt;&gt;"",IF(D1152+$I$9-E1152-F1152&gt;=0,IF(ISERROR(INDEX($C$3:$C$6,MATCH(C1152,$C$3:$C$6,0)+1,0)),Variables!$B$1,INDEX($C$3:$C$6,MATCH(C1152,$C$3:$C$6,0)+1,0)),""),"")</f>
        <v/>
      </c>
      <c r="J1152" s="29" t="str">
        <f ca="1">IF(ISERROR(VLOOKUP(I1152,$C$3:$L$6,5,0)),"",IF(OR(VLOOKUP(I1152,$C$3:$L$6,5,0)=Variables!$B$5,B1152&gt;VLOOKUP(I1152,$C$3:$L$6,8,0)),IF(VLOOKUP(I1152,$C$3:$L$6,5,0)=Variables!$B$5,((YEAR(B1152)-YEAR($B$12))*12+MONTH(B1152)-MONTH($B$12)),((YEAR(B1152)-YEAR(VLOOKUP(I1152,$C$3:$L$6,8,0)))*12+MONTH(B1152)-MONTH(VLOOKUP(I1152,$C$3:$L$6,8,0))))*(VLOOKUP(I1152,$C$3:$L$6,10,0)*VLOOKUP(I1152,$C$3:$L$6,6,0)/12),0))</f>
        <v/>
      </c>
      <c r="K1152" s="29" t="str">
        <f ca="1">IF(C1152&lt;&gt;"",IF(I1152&lt;&gt;"",IF(ISERROR(VLOOKUP(I1152,$C$3:$L$6,10,0)),"",VLOOKUP(I1152,$C$3:$L$6,10,0)+J1152+IF(OR(VLOOKUP(I1152,$C$3:$L$6,5,0)=Variables!$B$5,B1152&gt;VLOOKUP(I1152,$C$3:$L$6,8,0)),IF(VLOOKUP(I1152,$C$3:$L$6,5,0)=Variables!$B$5,((YEAR(B1152)-YEAR($B$12))*12+MONTH(B1152)-MONTH($B$12)),((YEAR(B1152)-YEAR(VLOOKUP(I1152,$C$3:$L$6,8,0)))*12+MONTH(B1152)-MONTH(VLOOKUP(I1152,$C$3:$L$6,8,0))))*VLOOKUP(I1152,$C$3:$L$6,7,0),0)),""),"")</f>
        <v/>
      </c>
      <c r="L1152" s="29" t="str">
        <f t="shared" ca="1" si="99"/>
        <v/>
      </c>
      <c r="M1152" s="10"/>
      <c r="N1152" s="10"/>
    </row>
    <row r="1153" spans="1:14" x14ac:dyDescent="0.25">
      <c r="A1153" s="10"/>
      <c r="B1153" s="14" t="str">
        <f t="shared" ca="1" si="100"/>
        <v/>
      </c>
      <c r="C1153" s="14" t="str">
        <f ca="1">IF(I1152&lt;&gt;Variables!$B$1,IF(H1152&lt;&gt;0,C1152,I1152),"")</f>
        <v/>
      </c>
      <c r="D1153" s="29" t="str">
        <f t="shared" ca="1" si="97"/>
        <v/>
      </c>
      <c r="E1153" s="29" t="str">
        <f t="shared" ca="1" si="98"/>
        <v/>
      </c>
      <c r="F1153" s="29" t="str">
        <f ca="1">IF(C1153&lt;&gt;"",IF(OR(VLOOKUP(C1153,$C$3:$L$6,5,0)=Variables!$B$5,B1153&gt;VLOOKUP(C1153,$C$3:$L$6,8,0)),-D1153*VLOOKUP(C1153,$C$3:$L$6,6,0)/12,0),"")</f>
        <v/>
      </c>
      <c r="G1153" s="29" t="str">
        <f ca="1">IF(I1153&lt;&gt;Variables!$B$1,IF(C1153&lt;&gt;"",$I$9-E1153-F1153,""),-D1153)</f>
        <v/>
      </c>
      <c r="H1153" s="29" t="str">
        <f t="shared" ca="1" si="101"/>
        <v/>
      </c>
      <c r="I1153" s="31" t="str">
        <f ca="1">IF(C1153&lt;&gt;"",IF(D1153+$I$9-E1153-F1153&gt;=0,IF(ISERROR(INDEX($C$3:$C$6,MATCH(C1153,$C$3:$C$6,0)+1,0)),Variables!$B$1,INDEX($C$3:$C$6,MATCH(C1153,$C$3:$C$6,0)+1,0)),""),"")</f>
        <v/>
      </c>
      <c r="J1153" s="29" t="str">
        <f ca="1">IF(ISERROR(VLOOKUP(I1153,$C$3:$L$6,5,0)),"",IF(OR(VLOOKUP(I1153,$C$3:$L$6,5,0)=Variables!$B$5,B1153&gt;VLOOKUP(I1153,$C$3:$L$6,8,0)),IF(VLOOKUP(I1153,$C$3:$L$6,5,0)=Variables!$B$5,((YEAR(B1153)-YEAR($B$12))*12+MONTH(B1153)-MONTH($B$12)),((YEAR(B1153)-YEAR(VLOOKUP(I1153,$C$3:$L$6,8,0)))*12+MONTH(B1153)-MONTH(VLOOKUP(I1153,$C$3:$L$6,8,0))))*(VLOOKUP(I1153,$C$3:$L$6,10,0)*VLOOKUP(I1153,$C$3:$L$6,6,0)/12),0))</f>
        <v/>
      </c>
      <c r="K1153" s="29" t="str">
        <f ca="1">IF(C1153&lt;&gt;"",IF(I1153&lt;&gt;"",IF(ISERROR(VLOOKUP(I1153,$C$3:$L$6,10,0)),"",VLOOKUP(I1153,$C$3:$L$6,10,0)+J1153+IF(OR(VLOOKUP(I1153,$C$3:$L$6,5,0)=Variables!$B$5,B1153&gt;VLOOKUP(I1153,$C$3:$L$6,8,0)),IF(VLOOKUP(I1153,$C$3:$L$6,5,0)=Variables!$B$5,((YEAR(B1153)-YEAR($B$12))*12+MONTH(B1153)-MONTH($B$12)),((YEAR(B1153)-YEAR(VLOOKUP(I1153,$C$3:$L$6,8,0)))*12+MONTH(B1153)-MONTH(VLOOKUP(I1153,$C$3:$L$6,8,0))))*VLOOKUP(I1153,$C$3:$L$6,7,0),0)),""),"")</f>
        <v/>
      </c>
      <c r="L1153" s="29" t="str">
        <f t="shared" ca="1" si="99"/>
        <v/>
      </c>
      <c r="M1153" s="10"/>
      <c r="N1153" s="10"/>
    </row>
    <row r="1154" spans="1:14" x14ac:dyDescent="0.25">
      <c r="A1154" s="10"/>
      <c r="B1154" s="14" t="str">
        <f t="shared" ca="1" si="100"/>
        <v/>
      </c>
      <c r="C1154" s="14" t="str">
        <f ca="1">IF(I1153&lt;&gt;Variables!$B$1,IF(H1153&lt;&gt;0,C1153,I1153),"")</f>
        <v/>
      </c>
      <c r="D1154" s="29" t="str">
        <f t="shared" ca="1" si="97"/>
        <v/>
      </c>
      <c r="E1154" s="29" t="str">
        <f t="shared" ca="1" si="98"/>
        <v/>
      </c>
      <c r="F1154" s="29" t="str">
        <f ca="1">IF(C1154&lt;&gt;"",IF(OR(VLOOKUP(C1154,$C$3:$L$6,5,0)=Variables!$B$5,B1154&gt;VLOOKUP(C1154,$C$3:$L$6,8,0)),-D1154*VLOOKUP(C1154,$C$3:$L$6,6,0)/12,0),"")</f>
        <v/>
      </c>
      <c r="G1154" s="29" t="str">
        <f ca="1">IF(I1154&lt;&gt;Variables!$B$1,IF(C1154&lt;&gt;"",$I$9-E1154-F1154,""),-D1154)</f>
        <v/>
      </c>
      <c r="H1154" s="29" t="str">
        <f t="shared" ca="1" si="101"/>
        <v/>
      </c>
      <c r="I1154" s="31" t="str">
        <f ca="1">IF(C1154&lt;&gt;"",IF(D1154+$I$9-E1154-F1154&gt;=0,IF(ISERROR(INDEX($C$3:$C$6,MATCH(C1154,$C$3:$C$6,0)+1,0)),Variables!$B$1,INDEX($C$3:$C$6,MATCH(C1154,$C$3:$C$6,0)+1,0)),""),"")</f>
        <v/>
      </c>
      <c r="J1154" s="29" t="str">
        <f ca="1">IF(ISERROR(VLOOKUP(I1154,$C$3:$L$6,5,0)),"",IF(OR(VLOOKUP(I1154,$C$3:$L$6,5,0)=Variables!$B$5,B1154&gt;VLOOKUP(I1154,$C$3:$L$6,8,0)),IF(VLOOKUP(I1154,$C$3:$L$6,5,0)=Variables!$B$5,((YEAR(B1154)-YEAR($B$12))*12+MONTH(B1154)-MONTH($B$12)),((YEAR(B1154)-YEAR(VLOOKUP(I1154,$C$3:$L$6,8,0)))*12+MONTH(B1154)-MONTH(VLOOKUP(I1154,$C$3:$L$6,8,0))))*(VLOOKUP(I1154,$C$3:$L$6,10,0)*VLOOKUP(I1154,$C$3:$L$6,6,0)/12),0))</f>
        <v/>
      </c>
      <c r="K1154" s="29" t="str">
        <f ca="1">IF(C1154&lt;&gt;"",IF(I1154&lt;&gt;"",IF(ISERROR(VLOOKUP(I1154,$C$3:$L$6,10,0)),"",VLOOKUP(I1154,$C$3:$L$6,10,0)+J1154+IF(OR(VLOOKUP(I1154,$C$3:$L$6,5,0)=Variables!$B$5,B1154&gt;VLOOKUP(I1154,$C$3:$L$6,8,0)),IF(VLOOKUP(I1154,$C$3:$L$6,5,0)=Variables!$B$5,((YEAR(B1154)-YEAR($B$12))*12+MONTH(B1154)-MONTH($B$12)),((YEAR(B1154)-YEAR(VLOOKUP(I1154,$C$3:$L$6,8,0)))*12+MONTH(B1154)-MONTH(VLOOKUP(I1154,$C$3:$L$6,8,0))))*VLOOKUP(I1154,$C$3:$L$6,7,0),0)),""),"")</f>
        <v/>
      </c>
      <c r="L1154" s="29" t="str">
        <f t="shared" ca="1" si="99"/>
        <v/>
      </c>
      <c r="M1154" s="10"/>
      <c r="N1154" s="10"/>
    </row>
    <row r="1155" spans="1:14" x14ac:dyDescent="0.25">
      <c r="A1155" s="10"/>
      <c r="B1155" s="14" t="str">
        <f t="shared" ca="1" si="100"/>
        <v/>
      </c>
      <c r="C1155" s="14" t="str">
        <f ca="1">IF(I1154&lt;&gt;Variables!$B$1,IF(H1154&lt;&gt;0,C1154,I1154),"")</f>
        <v/>
      </c>
      <c r="D1155" s="29" t="str">
        <f t="shared" ca="1" si="97"/>
        <v/>
      </c>
      <c r="E1155" s="29" t="str">
        <f t="shared" ca="1" si="98"/>
        <v/>
      </c>
      <c r="F1155" s="29" t="str">
        <f ca="1">IF(C1155&lt;&gt;"",IF(OR(VLOOKUP(C1155,$C$3:$L$6,5,0)=Variables!$B$5,B1155&gt;VLOOKUP(C1155,$C$3:$L$6,8,0)),-D1155*VLOOKUP(C1155,$C$3:$L$6,6,0)/12,0),"")</f>
        <v/>
      </c>
      <c r="G1155" s="29" t="str">
        <f ca="1">IF(I1155&lt;&gt;Variables!$B$1,IF(C1155&lt;&gt;"",$I$9-E1155-F1155,""),-D1155)</f>
        <v/>
      </c>
      <c r="H1155" s="29" t="str">
        <f t="shared" ca="1" si="101"/>
        <v/>
      </c>
      <c r="I1155" s="31" t="str">
        <f ca="1">IF(C1155&lt;&gt;"",IF(D1155+$I$9-E1155-F1155&gt;=0,IF(ISERROR(INDEX($C$3:$C$6,MATCH(C1155,$C$3:$C$6,0)+1,0)),Variables!$B$1,INDEX($C$3:$C$6,MATCH(C1155,$C$3:$C$6,0)+1,0)),""),"")</f>
        <v/>
      </c>
      <c r="J1155" s="29" t="str">
        <f ca="1">IF(ISERROR(VLOOKUP(I1155,$C$3:$L$6,5,0)),"",IF(OR(VLOOKUP(I1155,$C$3:$L$6,5,0)=Variables!$B$5,B1155&gt;VLOOKUP(I1155,$C$3:$L$6,8,0)),IF(VLOOKUP(I1155,$C$3:$L$6,5,0)=Variables!$B$5,((YEAR(B1155)-YEAR($B$12))*12+MONTH(B1155)-MONTH($B$12)),((YEAR(B1155)-YEAR(VLOOKUP(I1155,$C$3:$L$6,8,0)))*12+MONTH(B1155)-MONTH(VLOOKUP(I1155,$C$3:$L$6,8,0))))*(VLOOKUP(I1155,$C$3:$L$6,10,0)*VLOOKUP(I1155,$C$3:$L$6,6,0)/12),0))</f>
        <v/>
      </c>
      <c r="K1155" s="29" t="str">
        <f ca="1">IF(C1155&lt;&gt;"",IF(I1155&lt;&gt;"",IF(ISERROR(VLOOKUP(I1155,$C$3:$L$6,10,0)),"",VLOOKUP(I1155,$C$3:$L$6,10,0)+J1155+IF(OR(VLOOKUP(I1155,$C$3:$L$6,5,0)=Variables!$B$5,B1155&gt;VLOOKUP(I1155,$C$3:$L$6,8,0)),IF(VLOOKUP(I1155,$C$3:$L$6,5,0)=Variables!$B$5,((YEAR(B1155)-YEAR($B$12))*12+MONTH(B1155)-MONTH($B$12)),((YEAR(B1155)-YEAR(VLOOKUP(I1155,$C$3:$L$6,8,0)))*12+MONTH(B1155)-MONTH(VLOOKUP(I1155,$C$3:$L$6,8,0))))*VLOOKUP(I1155,$C$3:$L$6,7,0),0)),""),"")</f>
        <v/>
      </c>
      <c r="L1155" s="29" t="str">
        <f t="shared" ca="1" si="99"/>
        <v/>
      </c>
      <c r="M1155" s="10"/>
      <c r="N1155" s="10"/>
    </row>
    <row r="1156" spans="1:14" x14ac:dyDescent="0.25">
      <c r="A1156" s="10"/>
      <c r="B1156" s="14" t="str">
        <f t="shared" ca="1" si="100"/>
        <v/>
      </c>
      <c r="C1156" s="14" t="str">
        <f ca="1">IF(I1155&lt;&gt;Variables!$B$1,IF(H1155&lt;&gt;0,C1155,I1155),"")</f>
        <v/>
      </c>
      <c r="D1156" s="29" t="str">
        <f t="shared" ca="1" si="97"/>
        <v/>
      </c>
      <c r="E1156" s="29" t="str">
        <f t="shared" ca="1" si="98"/>
        <v/>
      </c>
      <c r="F1156" s="29" t="str">
        <f ca="1">IF(C1156&lt;&gt;"",IF(OR(VLOOKUP(C1156,$C$3:$L$6,5,0)=Variables!$B$5,B1156&gt;VLOOKUP(C1156,$C$3:$L$6,8,0)),-D1156*VLOOKUP(C1156,$C$3:$L$6,6,0)/12,0),"")</f>
        <v/>
      </c>
      <c r="G1156" s="29" t="str">
        <f ca="1">IF(I1156&lt;&gt;Variables!$B$1,IF(C1156&lt;&gt;"",$I$9-E1156-F1156,""),-D1156)</f>
        <v/>
      </c>
      <c r="H1156" s="29" t="str">
        <f t="shared" ca="1" si="101"/>
        <v/>
      </c>
      <c r="I1156" s="31" t="str">
        <f ca="1">IF(C1156&lt;&gt;"",IF(D1156+$I$9-E1156-F1156&gt;=0,IF(ISERROR(INDEX($C$3:$C$6,MATCH(C1156,$C$3:$C$6,0)+1,0)),Variables!$B$1,INDEX($C$3:$C$6,MATCH(C1156,$C$3:$C$6,0)+1,0)),""),"")</f>
        <v/>
      </c>
      <c r="J1156" s="29" t="str">
        <f ca="1">IF(ISERROR(VLOOKUP(I1156,$C$3:$L$6,5,0)),"",IF(OR(VLOOKUP(I1156,$C$3:$L$6,5,0)=Variables!$B$5,B1156&gt;VLOOKUP(I1156,$C$3:$L$6,8,0)),IF(VLOOKUP(I1156,$C$3:$L$6,5,0)=Variables!$B$5,((YEAR(B1156)-YEAR($B$12))*12+MONTH(B1156)-MONTH($B$12)),((YEAR(B1156)-YEAR(VLOOKUP(I1156,$C$3:$L$6,8,0)))*12+MONTH(B1156)-MONTH(VLOOKUP(I1156,$C$3:$L$6,8,0))))*(VLOOKUP(I1156,$C$3:$L$6,10,0)*VLOOKUP(I1156,$C$3:$L$6,6,0)/12),0))</f>
        <v/>
      </c>
      <c r="K1156" s="29" t="str">
        <f ca="1">IF(C1156&lt;&gt;"",IF(I1156&lt;&gt;"",IF(ISERROR(VLOOKUP(I1156,$C$3:$L$6,10,0)),"",VLOOKUP(I1156,$C$3:$L$6,10,0)+J1156+IF(OR(VLOOKUP(I1156,$C$3:$L$6,5,0)=Variables!$B$5,B1156&gt;VLOOKUP(I1156,$C$3:$L$6,8,0)),IF(VLOOKUP(I1156,$C$3:$L$6,5,0)=Variables!$B$5,((YEAR(B1156)-YEAR($B$12))*12+MONTH(B1156)-MONTH($B$12)),((YEAR(B1156)-YEAR(VLOOKUP(I1156,$C$3:$L$6,8,0)))*12+MONTH(B1156)-MONTH(VLOOKUP(I1156,$C$3:$L$6,8,0))))*VLOOKUP(I1156,$C$3:$L$6,7,0),0)),""),"")</f>
        <v/>
      </c>
      <c r="L1156" s="29" t="str">
        <f t="shared" ca="1" si="99"/>
        <v/>
      </c>
      <c r="M1156" s="10"/>
      <c r="N1156" s="10"/>
    </row>
    <row r="1157" spans="1:14" x14ac:dyDescent="0.25">
      <c r="A1157" s="10"/>
      <c r="B1157" s="14" t="str">
        <f t="shared" ca="1" si="100"/>
        <v/>
      </c>
      <c r="C1157" s="14" t="str">
        <f ca="1">IF(I1156&lt;&gt;Variables!$B$1,IF(H1156&lt;&gt;0,C1156,I1156),"")</f>
        <v/>
      </c>
      <c r="D1157" s="29" t="str">
        <f t="shared" ca="1" si="97"/>
        <v/>
      </c>
      <c r="E1157" s="29" t="str">
        <f t="shared" ca="1" si="98"/>
        <v/>
      </c>
      <c r="F1157" s="29" t="str">
        <f ca="1">IF(C1157&lt;&gt;"",IF(OR(VLOOKUP(C1157,$C$3:$L$6,5,0)=Variables!$B$5,B1157&gt;VLOOKUP(C1157,$C$3:$L$6,8,0)),-D1157*VLOOKUP(C1157,$C$3:$L$6,6,0)/12,0),"")</f>
        <v/>
      </c>
      <c r="G1157" s="29" t="str">
        <f ca="1">IF(I1157&lt;&gt;Variables!$B$1,IF(C1157&lt;&gt;"",$I$9-E1157-F1157,""),-D1157)</f>
        <v/>
      </c>
      <c r="H1157" s="29" t="str">
        <f t="shared" ca="1" si="101"/>
        <v/>
      </c>
      <c r="I1157" s="31" t="str">
        <f ca="1">IF(C1157&lt;&gt;"",IF(D1157+$I$9-E1157-F1157&gt;=0,IF(ISERROR(INDEX($C$3:$C$6,MATCH(C1157,$C$3:$C$6,0)+1,0)),Variables!$B$1,INDEX($C$3:$C$6,MATCH(C1157,$C$3:$C$6,0)+1,0)),""),"")</f>
        <v/>
      </c>
      <c r="J1157" s="29" t="str">
        <f ca="1">IF(ISERROR(VLOOKUP(I1157,$C$3:$L$6,5,0)),"",IF(OR(VLOOKUP(I1157,$C$3:$L$6,5,0)=Variables!$B$5,B1157&gt;VLOOKUP(I1157,$C$3:$L$6,8,0)),IF(VLOOKUP(I1157,$C$3:$L$6,5,0)=Variables!$B$5,((YEAR(B1157)-YEAR($B$12))*12+MONTH(B1157)-MONTH($B$12)),((YEAR(B1157)-YEAR(VLOOKUP(I1157,$C$3:$L$6,8,0)))*12+MONTH(B1157)-MONTH(VLOOKUP(I1157,$C$3:$L$6,8,0))))*(VLOOKUP(I1157,$C$3:$L$6,10,0)*VLOOKUP(I1157,$C$3:$L$6,6,0)/12),0))</f>
        <v/>
      </c>
      <c r="K1157" s="29" t="str">
        <f ca="1">IF(C1157&lt;&gt;"",IF(I1157&lt;&gt;"",IF(ISERROR(VLOOKUP(I1157,$C$3:$L$6,10,0)),"",VLOOKUP(I1157,$C$3:$L$6,10,0)+J1157+IF(OR(VLOOKUP(I1157,$C$3:$L$6,5,0)=Variables!$B$5,B1157&gt;VLOOKUP(I1157,$C$3:$L$6,8,0)),IF(VLOOKUP(I1157,$C$3:$L$6,5,0)=Variables!$B$5,((YEAR(B1157)-YEAR($B$12))*12+MONTH(B1157)-MONTH($B$12)),((YEAR(B1157)-YEAR(VLOOKUP(I1157,$C$3:$L$6,8,0)))*12+MONTH(B1157)-MONTH(VLOOKUP(I1157,$C$3:$L$6,8,0))))*VLOOKUP(I1157,$C$3:$L$6,7,0),0)),""),"")</f>
        <v/>
      </c>
      <c r="L1157" s="29" t="str">
        <f t="shared" ca="1" si="99"/>
        <v/>
      </c>
      <c r="M1157" s="10"/>
      <c r="N1157" s="10"/>
    </row>
    <row r="1158" spans="1:14" x14ac:dyDescent="0.25">
      <c r="A1158" s="10"/>
      <c r="B1158" s="14" t="str">
        <f t="shared" ca="1" si="100"/>
        <v/>
      </c>
      <c r="C1158" s="14" t="str">
        <f ca="1">IF(I1157&lt;&gt;Variables!$B$1,IF(H1157&lt;&gt;0,C1157,I1157),"")</f>
        <v/>
      </c>
      <c r="D1158" s="29" t="str">
        <f t="shared" ca="1" si="97"/>
        <v/>
      </c>
      <c r="E1158" s="29" t="str">
        <f t="shared" ca="1" si="98"/>
        <v/>
      </c>
      <c r="F1158" s="29" t="str">
        <f ca="1">IF(C1158&lt;&gt;"",IF(OR(VLOOKUP(C1158,$C$3:$L$6,5,0)=Variables!$B$5,B1158&gt;VLOOKUP(C1158,$C$3:$L$6,8,0)),-D1158*VLOOKUP(C1158,$C$3:$L$6,6,0)/12,0),"")</f>
        <v/>
      </c>
      <c r="G1158" s="29" t="str">
        <f ca="1">IF(I1158&lt;&gt;Variables!$B$1,IF(C1158&lt;&gt;"",$I$9-E1158-F1158,""),-D1158)</f>
        <v/>
      </c>
      <c r="H1158" s="29" t="str">
        <f t="shared" ca="1" si="101"/>
        <v/>
      </c>
      <c r="I1158" s="31" t="str">
        <f ca="1">IF(C1158&lt;&gt;"",IF(D1158+$I$9-E1158-F1158&gt;=0,IF(ISERROR(INDEX($C$3:$C$6,MATCH(C1158,$C$3:$C$6,0)+1,0)),Variables!$B$1,INDEX($C$3:$C$6,MATCH(C1158,$C$3:$C$6,0)+1,0)),""),"")</f>
        <v/>
      </c>
      <c r="J1158" s="29" t="str">
        <f ca="1">IF(ISERROR(VLOOKUP(I1158,$C$3:$L$6,5,0)),"",IF(OR(VLOOKUP(I1158,$C$3:$L$6,5,0)=Variables!$B$5,B1158&gt;VLOOKUP(I1158,$C$3:$L$6,8,0)),IF(VLOOKUP(I1158,$C$3:$L$6,5,0)=Variables!$B$5,((YEAR(B1158)-YEAR($B$12))*12+MONTH(B1158)-MONTH($B$12)),((YEAR(B1158)-YEAR(VLOOKUP(I1158,$C$3:$L$6,8,0)))*12+MONTH(B1158)-MONTH(VLOOKUP(I1158,$C$3:$L$6,8,0))))*(VLOOKUP(I1158,$C$3:$L$6,10,0)*VLOOKUP(I1158,$C$3:$L$6,6,0)/12),0))</f>
        <v/>
      </c>
      <c r="K1158" s="29" t="str">
        <f ca="1">IF(C1158&lt;&gt;"",IF(I1158&lt;&gt;"",IF(ISERROR(VLOOKUP(I1158,$C$3:$L$6,10,0)),"",VLOOKUP(I1158,$C$3:$L$6,10,0)+J1158+IF(OR(VLOOKUP(I1158,$C$3:$L$6,5,0)=Variables!$B$5,B1158&gt;VLOOKUP(I1158,$C$3:$L$6,8,0)),IF(VLOOKUP(I1158,$C$3:$L$6,5,0)=Variables!$B$5,((YEAR(B1158)-YEAR($B$12))*12+MONTH(B1158)-MONTH($B$12)),((YEAR(B1158)-YEAR(VLOOKUP(I1158,$C$3:$L$6,8,0)))*12+MONTH(B1158)-MONTH(VLOOKUP(I1158,$C$3:$L$6,8,0))))*VLOOKUP(I1158,$C$3:$L$6,7,0),0)),""),"")</f>
        <v/>
      </c>
      <c r="L1158" s="29" t="str">
        <f t="shared" ca="1" si="99"/>
        <v/>
      </c>
      <c r="M1158" s="10"/>
      <c r="N1158" s="10"/>
    </row>
    <row r="1159" spans="1:14" x14ac:dyDescent="0.25">
      <c r="A1159" s="10"/>
      <c r="B1159" s="14" t="str">
        <f t="shared" ca="1" si="100"/>
        <v/>
      </c>
      <c r="C1159" s="14" t="str">
        <f ca="1">IF(I1158&lt;&gt;Variables!$B$1,IF(H1158&lt;&gt;0,C1158,I1158),"")</f>
        <v/>
      </c>
      <c r="D1159" s="29" t="str">
        <f t="shared" ca="1" si="97"/>
        <v/>
      </c>
      <c r="E1159" s="29" t="str">
        <f t="shared" ca="1" si="98"/>
        <v/>
      </c>
      <c r="F1159" s="29" t="str">
        <f ca="1">IF(C1159&lt;&gt;"",IF(OR(VLOOKUP(C1159,$C$3:$L$6,5,0)=Variables!$B$5,B1159&gt;VLOOKUP(C1159,$C$3:$L$6,8,0)),-D1159*VLOOKUP(C1159,$C$3:$L$6,6,0)/12,0),"")</f>
        <v/>
      </c>
      <c r="G1159" s="29" t="str">
        <f ca="1">IF(I1159&lt;&gt;Variables!$B$1,IF(C1159&lt;&gt;"",$I$9-E1159-F1159,""),-D1159)</f>
        <v/>
      </c>
      <c r="H1159" s="29" t="str">
        <f t="shared" ca="1" si="101"/>
        <v/>
      </c>
      <c r="I1159" s="31" t="str">
        <f ca="1">IF(C1159&lt;&gt;"",IF(D1159+$I$9-E1159-F1159&gt;=0,IF(ISERROR(INDEX($C$3:$C$6,MATCH(C1159,$C$3:$C$6,0)+1,0)),Variables!$B$1,INDEX($C$3:$C$6,MATCH(C1159,$C$3:$C$6,0)+1,0)),""),"")</f>
        <v/>
      </c>
      <c r="J1159" s="29" t="str">
        <f ca="1">IF(ISERROR(VLOOKUP(I1159,$C$3:$L$6,5,0)),"",IF(OR(VLOOKUP(I1159,$C$3:$L$6,5,0)=Variables!$B$5,B1159&gt;VLOOKUP(I1159,$C$3:$L$6,8,0)),IF(VLOOKUP(I1159,$C$3:$L$6,5,0)=Variables!$B$5,((YEAR(B1159)-YEAR($B$12))*12+MONTH(B1159)-MONTH($B$12)),((YEAR(B1159)-YEAR(VLOOKUP(I1159,$C$3:$L$6,8,0)))*12+MONTH(B1159)-MONTH(VLOOKUP(I1159,$C$3:$L$6,8,0))))*(VLOOKUP(I1159,$C$3:$L$6,10,0)*VLOOKUP(I1159,$C$3:$L$6,6,0)/12),0))</f>
        <v/>
      </c>
      <c r="K1159" s="29" t="str">
        <f ca="1">IF(C1159&lt;&gt;"",IF(I1159&lt;&gt;"",IF(ISERROR(VLOOKUP(I1159,$C$3:$L$6,10,0)),"",VLOOKUP(I1159,$C$3:$L$6,10,0)+J1159+IF(OR(VLOOKUP(I1159,$C$3:$L$6,5,0)=Variables!$B$5,B1159&gt;VLOOKUP(I1159,$C$3:$L$6,8,0)),IF(VLOOKUP(I1159,$C$3:$L$6,5,0)=Variables!$B$5,((YEAR(B1159)-YEAR($B$12))*12+MONTH(B1159)-MONTH($B$12)),((YEAR(B1159)-YEAR(VLOOKUP(I1159,$C$3:$L$6,8,0)))*12+MONTH(B1159)-MONTH(VLOOKUP(I1159,$C$3:$L$6,8,0))))*VLOOKUP(I1159,$C$3:$L$6,7,0),0)),""),"")</f>
        <v/>
      </c>
      <c r="L1159" s="29" t="str">
        <f t="shared" ca="1" si="99"/>
        <v/>
      </c>
      <c r="M1159" s="10"/>
      <c r="N1159" s="10"/>
    </row>
    <row r="1160" spans="1:14" x14ac:dyDescent="0.25">
      <c r="A1160" s="10"/>
      <c r="B1160" s="14" t="str">
        <f t="shared" ca="1" si="100"/>
        <v/>
      </c>
      <c r="C1160" s="14" t="str">
        <f ca="1">IF(I1159&lt;&gt;Variables!$B$1,IF(H1159&lt;&gt;0,C1159,I1159),"")</f>
        <v/>
      </c>
      <c r="D1160" s="29" t="str">
        <f t="shared" ca="1" si="97"/>
        <v/>
      </c>
      <c r="E1160" s="29" t="str">
        <f t="shared" ca="1" si="98"/>
        <v/>
      </c>
      <c r="F1160" s="29" t="str">
        <f ca="1">IF(C1160&lt;&gt;"",IF(OR(VLOOKUP(C1160,$C$3:$L$6,5,0)=Variables!$B$5,B1160&gt;VLOOKUP(C1160,$C$3:$L$6,8,0)),-D1160*VLOOKUP(C1160,$C$3:$L$6,6,0)/12,0),"")</f>
        <v/>
      </c>
      <c r="G1160" s="29" t="str">
        <f ca="1">IF(I1160&lt;&gt;Variables!$B$1,IF(C1160&lt;&gt;"",$I$9-E1160-F1160,""),-D1160)</f>
        <v/>
      </c>
      <c r="H1160" s="29" t="str">
        <f t="shared" ca="1" si="101"/>
        <v/>
      </c>
      <c r="I1160" s="31" t="str">
        <f ca="1">IF(C1160&lt;&gt;"",IF(D1160+$I$9-E1160-F1160&gt;=0,IF(ISERROR(INDEX($C$3:$C$6,MATCH(C1160,$C$3:$C$6,0)+1,0)),Variables!$B$1,INDEX($C$3:$C$6,MATCH(C1160,$C$3:$C$6,0)+1,0)),""),"")</f>
        <v/>
      </c>
      <c r="J1160" s="29" t="str">
        <f ca="1">IF(ISERROR(VLOOKUP(I1160,$C$3:$L$6,5,0)),"",IF(OR(VLOOKUP(I1160,$C$3:$L$6,5,0)=Variables!$B$5,B1160&gt;VLOOKUP(I1160,$C$3:$L$6,8,0)),IF(VLOOKUP(I1160,$C$3:$L$6,5,0)=Variables!$B$5,((YEAR(B1160)-YEAR($B$12))*12+MONTH(B1160)-MONTH($B$12)),((YEAR(B1160)-YEAR(VLOOKUP(I1160,$C$3:$L$6,8,0)))*12+MONTH(B1160)-MONTH(VLOOKUP(I1160,$C$3:$L$6,8,0))))*(VLOOKUP(I1160,$C$3:$L$6,10,0)*VLOOKUP(I1160,$C$3:$L$6,6,0)/12),0))</f>
        <v/>
      </c>
      <c r="K1160" s="29" t="str">
        <f ca="1">IF(C1160&lt;&gt;"",IF(I1160&lt;&gt;"",IF(ISERROR(VLOOKUP(I1160,$C$3:$L$6,10,0)),"",VLOOKUP(I1160,$C$3:$L$6,10,0)+J1160+IF(OR(VLOOKUP(I1160,$C$3:$L$6,5,0)=Variables!$B$5,B1160&gt;VLOOKUP(I1160,$C$3:$L$6,8,0)),IF(VLOOKUP(I1160,$C$3:$L$6,5,0)=Variables!$B$5,((YEAR(B1160)-YEAR($B$12))*12+MONTH(B1160)-MONTH($B$12)),((YEAR(B1160)-YEAR(VLOOKUP(I1160,$C$3:$L$6,8,0)))*12+MONTH(B1160)-MONTH(VLOOKUP(I1160,$C$3:$L$6,8,0))))*VLOOKUP(I1160,$C$3:$L$6,7,0),0)),""),"")</f>
        <v/>
      </c>
      <c r="L1160" s="29" t="str">
        <f t="shared" ca="1" si="99"/>
        <v/>
      </c>
      <c r="M1160" s="10"/>
      <c r="N1160" s="10"/>
    </row>
    <row r="1161" spans="1:14" x14ac:dyDescent="0.25">
      <c r="A1161" s="10"/>
      <c r="B1161" s="14" t="str">
        <f t="shared" ca="1" si="100"/>
        <v/>
      </c>
      <c r="C1161" s="14" t="str">
        <f ca="1">IF(I1160&lt;&gt;Variables!$B$1,IF(H1160&lt;&gt;0,C1160,I1160),"")</f>
        <v/>
      </c>
      <c r="D1161" s="29" t="str">
        <f t="shared" ca="1" si="97"/>
        <v/>
      </c>
      <c r="E1161" s="29" t="str">
        <f t="shared" ca="1" si="98"/>
        <v/>
      </c>
      <c r="F1161" s="29" t="str">
        <f ca="1">IF(C1161&lt;&gt;"",IF(OR(VLOOKUP(C1161,$C$3:$L$6,5,0)=Variables!$B$5,B1161&gt;VLOOKUP(C1161,$C$3:$L$6,8,0)),-D1161*VLOOKUP(C1161,$C$3:$L$6,6,0)/12,0),"")</f>
        <v/>
      </c>
      <c r="G1161" s="29" t="str">
        <f ca="1">IF(I1161&lt;&gt;Variables!$B$1,IF(C1161&lt;&gt;"",$I$9-E1161-F1161,""),-D1161)</f>
        <v/>
      </c>
      <c r="H1161" s="29" t="str">
        <f t="shared" ca="1" si="101"/>
        <v/>
      </c>
      <c r="I1161" s="31" t="str">
        <f ca="1">IF(C1161&lt;&gt;"",IF(D1161+$I$9-E1161-F1161&gt;=0,IF(ISERROR(INDEX($C$3:$C$6,MATCH(C1161,$C$3:$C$6,0)+1,0)),Variables!$B$1,INDEX($C$3:$C$6,MATCH(C1161,$C$3:$C$6,0)+1,0)),""),"")</f>
        <v/>
      </c>
      <c r="J1161" s="29" t="str">
        <f ca="1">IF(ISERROR(VLOOKUP(I1161,$C$3:$L$6,5,0)),"",IF(OR(VLOOKUP(I1161,$C$3:$L$6,5,0)=Variables!$B$5,B1161&gt;VLOOKUP(I1161,$C$3:$L$6,8,0)),IF(VLOOKUP(I1161,$C$3:$L$6,5,0)=Variables!$B$5,((YEAR(B1161)-YEAR($B$12))*12+MONTH(B1161)-MONTH($B$12)),((YEAR(B1161)-YEAR(VLOOKUP(I1161,$C$3:$L$6,8,0)))*12+MONTH(B1161)-MONTH(VLOOKUP(I1161,$C$3:$L$6,8,0))))*(VLOOKUP(I1161,$C$3:$L$6,10,0)*VLOOKUP(I1161,$C$3:$L$6,6,0)/12),0))</f>
        <v/>
      </c>
      <c r="K1161" s="29" t="str">
        <f ca="1">IF(C1161&lt;&gt;"",IF(I1161&lt;&gt;"",IF(ISERROR(VLOOKUP(I1161,$C$3:$L$6,10,0)),"",VLOOKUP(I1161,$C$3:$L$6,10,0)+J1161+IF(OR(VLOOKUP(I1161,$C$3:$L$6,5,0)=Variables!$B$5,B1161&gt;VLOOKUP(I1161,$C$3:$L$6,8,0)),IF(VLOOKUP(I1161,$C$3:$L$6,5,0)=Variables!$B$5,((YEAR(B1161)-YEAR($B$12))*12+MONTH(B1161)-MONTH($B$12)),((YEAR(B1161)-YEAR(VLOOKUP(I1161,$C$3:$L$6,8,0)))*12+MONTH(B1161)-MONTH(VLOOKUP(I1161,$C$3:$L$6,8,0))))*VLOOKUP(I1161,$C$3:$L$6,7,0),0)),""),"")</f>
        <v/>
      </c>
      <c r="L1161" s="29" t="str">
        <f t="shared" ca="1" si="99"/>
        <v/>
      </c>
      <c r="M1161" s="10"/>
      <c r="N1161" s="10"/>
    </row>
    <row r="1162" spans="1:14" x14ac:dyDescent="0.25">
      <c r="A1162" s="10"/>
      <c r="B1162" s="14" t="str">
        <f t="shared" ca="1" si="100"/>
        <v/>
      </c>
      <c r="C1162" s="14" t="str">
        <f ca="1">IF(I1161&lt;&gt;Variables!$B$1,IF(H1161&lt;&gt;0,C1161,I1161),"")</f>
        <v/>
      </c>
      <c r="D1162" s="29" t="str">
        <f t="shared" ca="1" si="97"/>
        <v/>
      </c>
      <c r="E1162" s="29" t="str">
        <f t="shared" ca="1" si="98"/>
        <v/>
      </c>
      <c r="F1162" s="29" t="str">
        <f ca="1">IF(C1162&lt;&gt;"",IF(OR(VLOOKUP(C1162,$C$3:$L$6,5,0)=Variables!$B$5,B1162&gt;VLOOKUP(C1162,$C$3:$L$6,8,0)),-D1162*VLOOKUP(C1162,$C$3:$L$6,6,0)/12,0),"")</f>
        <v/>
      </c>
      <c r="G1162" s="29" t="str">
        <f ca="1">IF(I1162&lt;&gt;Variables!$B$1,IF(C1162&lt;&gt;"",$I$9-E1162-F1162,""),-D1162)</f>
        <v/>
      </c>
      <c r="H1162" s="29" t="str">
        <f t="shared" ca="1" si="101"/>
        <v/>
      </c>
      <c r="I1162" s="31" t="str">
        <f ca="1">IF(C1162&lt;&gt;"",IF(D1162+$I$9-E1162-F1162&gt;=0,IF(ISERROR(INDEX($C$3:$C$6,MATCH(C1162,$C$3:$C$6,0)+1,0)),Variables!$B$1,INDEX($C$3:$C$6,MATCH(C1162,$C$3:$C$6,0)+1,0)),""),"")</f>
        <v/>
      </c>
      <c r="J1162" s="29" t="str">
        <f ca="1">IF(ISERROR(VLOOKUP(I1162,$C$3:$L$6,5,0)),"",IF(OR(VLOOKUP(I1162,$C$3:$L$6,5,0)=Variables!$B$5,B1162&gt;VLOOKUP(I1162,$C$3:$L$6,8,0)),IF(VLOOKUP(I1162,$C$3:$L$6,5,0)=Variables!$B$5,((YEAR(B1162)-YEAR($B$12))*12+MONTH(B1162)-MONTH($B$12)),((YEAR(B1162)-YEAR(VLOOKUP(I1162,$C$3:$L$6,8,0)))*12+MONTH(B1162)-MONTH(VLOOKUP(I1162,$C$3:$L$6,8,0))))*(VLOOKUP(I1162,$C$3:$L$6,10,0)*VLOOKUP(I1162,$C$3:$L$6,6,0)/12),0))</f>
        <v/>
      </c>
      <c r="K1162" s="29" t="str">
        <f ca="1">IF(C1162&lt;&gt;"",IF(I1162&lt;&gt;"",IF(ISERROR(VLOOKUP(I1162,$C$3:$L$6,10,0)),"",VLOOKUP(I1162,$C$3:$L$6,10,0)+J1162+IF(OR(VLOOKUP(I1162,$C$3:$L$6,5,0)=Variables!$B$5,B1162&gt;VLOOKUP(I1162,$C$3:$L$6,8,0)),IF(VLOOKUP(I1162,$C$3:$L$6,5,0)=Variables!$B$5,((YEAR(B1162)-YEAR($B$12))*12+MONTH(B1162)-MONTH($B$12)),((YEAR(B1162)-YEAR(VLOOKUP(I1162,$C$3:$L$6,8,0)))*12+MONTH(B1162)-MONTH(VLOOKUP(I1162,$C$3:$L$6,8,0))))*VLOOKUP(I1162,$C$3:$L$6,7,0),0)),""),"")</f>
        <v/>
      </c>
      <c r="L1162" s="29" t="str">
        <f t="shared" ca="1" si="99"/>
        <v/>
      </c>
      <c r="M1162" s="10"/>
      <c r="N1162" s="10"/>
    </row>
    <row r="1163" spans="1:14" x14ac:dyDescent="0.25">
      <c r="A1163" s="10"/>
      <c r="B1163" s="14" t="str">
        <f t="shared" ca="1" si="100"/>
        <v/>
      </c>
      <c r="C1163" s="14" t="str">
        <f ca="1">IF(I1162&lt;&gt;Variables!$B$1,IF(H1162&lt;&gt;0,C1162,I1162),"")</f>
        <v/>
      </c>
      <c r="D1163" s="29" t="str">
        <f t="shared" ca="1" si="97"/>
        <v/>
      </c>
      <c r="E1163" s="29" t="str">
        <f t="shared" ca="1" si="98"/>
        <v/>
      </c>
      <c r="F1163" s="29" t="str">
        <f ca="1">IF(C1163&lt;&gt;"",IF(OR(VLOOKUP(C1163,$C$3:$L$6,5,0)=Variables!$B$5,B1163&gt;VLOOKUP(C1163,$C$3:$L$6,8,0)),-D1163*VLOOKUP(C1163,$C$3:$L$6,6,0)/12,0),"")</f>
        <v/>
      </c>
      <c r="G1163" s="29" t="str">
        <f ca="1">IF(I1163&lt;&gt;Variables!$B$1,IF(C1163&lt;&gt;"",$I$9-E1163-F1163,""),-D1163)</f>
        <v/>
      </c>
      <c r="H1163" s="29" t="str">
        <f t="shared" ca="1" si="101"/>
        <v/>
      </c>
      <c r="I1163" s="31" t="str">
        <f ca="1">IF(C1163&lt;&gt;"",IF(D1163+$I$9-E1163-F1163&gt;=0,IF(ISERROR(INDEX($C$3:$C$6,MATCH(C1163,$C$3:$C$6,0)+1,0)),Variables!$B$1,INDEX($C$3:$C$6,MATCH(C1163,$C$3:$C$6,0)+1,0)),""),"")</f>
        <v/>
      </c>
      <c r="J1163" s="29" t="str">
        <f ca="1">IF(ISERROR(VLOOKUP(I1163,$C$3:$L$6,5,0)),"",IF(OR(VLOOKUP(I1163,$C$3:$L$6,5,0)=Variables!$B$5,B1163&gt;VLOOKUP(I1163,$C$3:$L$6,8,0)),IF(VLOOKUP(I1163,$C$3:$L$6,5,0)=Variables!$B$5,((YEAR(B1163)-YEAR($B$12))*12+MONTH(B1163)-MONTH($B$12)),((YEAR(B1163)-YEAR(VLOOKUP(I1163,$C$3:$L$6,8,0)))*12+MONTH(B1163)-MONTH(VLOOKUP(I1163,$C$3:$L$6,8,0))))*(VLOOKUP(I1163,$C$3:$L$6,10,0)*VLOOKUP(I1163,$C$3:$L$6,6,0)/12),0))</f>
        <v/>
      </c>
      <c r="K1163" s="29" t="str">
        <f ca="1">IF(C1163&lt;&gt;"",IF(I1163&lt;&gt;"",IF(ISERROR(VLOOKUP(I1163,$C$3:$L$6,10,0)),"",VLOOKUP(I1163,$C$3:$L$6,10,0)+J1163+IF(OR(VLOOKUP(I1163,$C$3:$L$6,5,0)=Variables!$B$5,B1163&gt;VLOOKUP(I1163,$C$3:$L$6,8,0)),IF(VLOOKUP(I1163,$C$3:$L$6,5,0)=Variables!$B$5,((YEAR(B1163)-YEAR($B$12))*12+MONTH(B1163)-MONTH($B$12)),((YEAR(B1163)-YEAR(VLOOKUP(I1163,$C$3:$L$6,8,0)))*12+MONTH(B1163)-MONTH(VLOOKUP(I1163,$C$3:$L$6,8,0))))*VLOOKUP(I1163,$C$3:$L$6,7,0),0)),""),"")</f>
        <v/>
      </c>
      <c r="L1163" s="29" t="str">
        <f t="shared" ca="1" si="99"/>
        <v/>
      </c>
      <c r="M1163" s="10"/>
      <c r="N1163" s="10"/>
    </row>
    <row r="1164" spans="1:14" x14ac:dyDescent="0.25">
      <c r="A1164" s="10"/>
      <c r="B1164" s="14" t="str">
        <f t="shared" ca="1" si="100"/>
        <v/>
      </c>
      <c r="C1164" s="14" t="str">
        <f ca="1">IF(I1163&lt;&gt;Variables!$B$1,IF(H1163&lt;&gt;0,C1163,I1163),"")</f>
        <v/>
      </c>
      <c r="D1164" s="29" t="str">
        <f t="shared" ca="1" si="97"/>
        <v/>
      </c>
      <c r="E1164" s="29" t="str">
        <f t="shared" ca="1" si="98"/>
        <v/>
      </c>
      <c r="F1164" s="29" t="str">
        <f ca="1">IF(C1164&lt;&gt;"",IF(OR(VLOOKUP(C1164,$C$3:$L$6,5,0)=Variables!$B$5,B1164&gt;VLOOKUP(C1164,$C$3:$L$6,8,0)),-D1164*VLOOKUP(C1164,$C$3:$L$6,6,0)/12,0),"")</f>
        <v/>
      </c>
      <c r="G1164" s="29" t="str">
        <f ca="1">IF(I1164&lt;&gt;Variables!$B$1,IF(C1164&lt;&gt;"",$I$9-E1164-F1164,""),-D1164)</f>
        <v/>
      </c>
      <c r="H1164" s="29" t="str">
        <f t="shared" ca="1" si="101"/>
        <v/>
      </c>
      <c r="I1164" s="31" t="str">
        <f ca="1">IF(C1164&lt;&gt;"",IF(D1164+$I$9-E1164-F1164&gt;=0,IF(ISERROR(INDEX($C$3:$C$6,MATCH(C1164,$C$3:$C$6,0)+1,0)),Variables!$B$1,INDEX($C$3:$C$6,MATCH(C1164,$C$3:$C$6,0)+1,0)),""),"")</f>
        <v/>
      </c>
      <c r="J1164" s="29" t="str">
        <f ca="1">IF(ISERROR(VLOOKUP(I1164,$C$3:$L$6,5,0)),"",IF(OR(VLOOKUP(I1164,$C$3:$L$6,5,0)=Variables!$B$5,B1164&gt;VLOOKUP(I1164,$C$3:$L$6,8,0)),IF(VLOOKUP(I1164,$C$3:$L$6,5,0)=Variables!$B$5,((YEAR(B1164)-YEAR($B$12))*12+MONTH(B1164)-MONTH($B$12)),((YEAR(B1164)-YEAR(VLOOKUP(I1164,$C$3:$L$6,8,0)))*12+MONTH(B1164)-MONTH(VLOOKUP(I1164,$C$3:$L$6,8,0))))*(VLOOKUP(I1164,$C$3:$L$6,10,0)*VLOOKUP(I1164,$C$3:$L$6,6,0)/12),0))</f>
        <v/>
      </c>
      <c r="K1164" s="29" t="str">
        <f ca="1">IF(C1164&lt;&gt;"",IF(I1164&lt;&gt;"",IF(ISERROR(VLOOKUP(I1164,$C$3:$L$6,10,0)),"",VLOOKUP(I1164,$C$3:$L$6,10,0)+J1164+IF(OR(VLOOKUP(I1164,$C$3:$L$6,5,0)=Variables!$B$5,B1164&gt;VLOOKUP(I1164,$C$3:$L$6,8,0)),IF(VLOOKUP(I1164,$C$3:$L$6,5,0)=Variables!$B$5,((YEAR(B1164)-YEAR($B$12))*12+MONTH(B1164)-MONTH($B$12)),((YEAR(B1164)-YEAR(VLOOKUP(I1164,$C$3:$L$6,8,0)))*12+MONTH(B1164)-MONTH(VLOOKUP(I1164,$C$3:$L$6,8,0))))*VLOOKUP(I1164,$C$3:$L$6,7,0),0)),""),"")</f>
        <v/>
      </c>
      <c r="L1164" s="29" t="str">
        <f t="shared" ca="1" si="99"/>
        <v/>
      </c>
      <c r="M1164" s="10"/>
      <c r="N1164" s="10"/>
    </row>
    <row r="1165" spans="1:14" x14ac:dyDescent="0.25">
      <c r="A1165" s="10"/>
      <c r="B1165" s="14" t="str">
        <f t="shared" ca="1" si="100"/>
        <v/>
      </c>
      <c r="C1165" s="14" t="str">
        <f ca="1">IF(I1164&lt;&gt;Variables!$B$1,IF(H1164&lt;&gt;0,C1164,I1164),"")</f>
        <v/>
      </c>
      <c r="D1165" s="29" t="str">
        <f t="shared" ca="1" si="97"/>
        <v/>
      </c>
      <c r="E1165" s="29" t="str">
        <f t="shared" ca="1" si="98"/>
        <v/>
      </c>
      <c r="F1165" s="29" t="str">
        <f ca="1">IF(C1165&lt;&gt;"",IF(OR(VLOOKUP(C1165,$C$3:$L$6,5,0)=Variables!$B$5,B1165&gt;VLOOKUP(C1165,$C$3:$L$6,8,0)),-D1165*VLOOKUP(C1165,$C$3:$L$6,6,0)/12,0),"")</f>
        <v/>
      </c>
      <c r="G1165" s="29" t="str">
        <f ca="1">IF(I1165&lt;&gt;Variables!$B$1,IF(C1165&lt;&gt;"",$I$9-E1165-F1165,""),-D1165)</f>
        <v/>
      </c>
      <c r="H1165" s="29" t="str">
        <f t="shared" ca="1" si="101"/>
        <v/>
      </c>
      <c r="I1165" s="31" t="str">
        <f ca="1">IF(C1165&lt;&gt;"",IF(D1165+$I$9-E1165-F1165&gt;=0,IF(ISERROR(INDEX($C$3:$C$6,MATCH(C1165,$C$3:$C$6,0)+1,0)),Variables!$B$1,INDEX($C$3:$C$6,MATCH(C1165,$C$3:$C$6,0)+1,0)),""),"")</f>
        <v/>
      </c>
      <c r="J1165" s="29" t="str">
        <f ca="1">IF(ISERROR(VLOOKUP(I1165,$C$3:$L$6,5,0)),"",IF(OR(VLOOKUP(I1165,$C$3:$L$6,5,0)=Variables!$B$5,B1165&gt;VLOOKUP(I1165,$C$3:$L$6,8,0)),IF(VLOOKUP(I1165,$C$3:$L$6,5,0)=Variables!$B$5,((YEAR(B1165)-YEAR($B$12))*12+MONTH(B1165)-MONTH($B$12)),((YEAR(B1165)-YEAR(VLOOKUP(I1165,$C$3:$L$6,8,0)))*12+MONTH(B1165)-MONTH(VLOOKUP(I1165,$C$3:$L$6,8,0))))*(VLOOKUP(I1165,$C$3:$L$6,10,0)*VLOOKUP(I1165,$C$3:$L$6,6,0)/12),0))</f>
        <v/>
      </c>
      <c r="K1165" s="29" t="str">
        <f ca="1">IF(C1165&lt;&gt;"",IF(I1165&lt;&gt;"",IF(ISERROR(VLOOKUP(I1165,$C$3:$L$6,10,0)),"",VLOOKUP(I1165,$C$3:$L$6,10,0)+J1165+IF(OR(VLOOKUP(I1165,$C$3:$L$6,5,0)=Variables!$B$5,B1165&gt;VLOOKUP(I1165,$C$3:$L$6,8,0)),IF(VLOOKUP(I1165,$C$3:$L$6,5,0)=Variables!$B$5,((YEAR(B1165)-YEAR($B$12))*12+MONTH(B1165)-MONTH($B$12)),((YEAR(B1165)-YEAR(VLOOKUP(I1165,$C$3:$L$6,8,0)))*12+MONTH(B1165)-MONTH(VLOOKUP(I1165,$C$3:$L$6,8,0))))*VLOOKUP(I1165,$C$3:$L$6,7,0),0)),""),"")</f>
        <v/>
      </c>
      <c r="L1165" s="29" t="str">
        <f t="shared" ca="1" si="99"/>
        <v/>
      </c>
      <c r="M1165" s="10"/>
      <c r="N1165" s="10"/>
    </row>
    <row r="1166" spans="1:14" x14ac:dyDescent="0.25">
      <c r="A1166" s="10"/>
      <c r="B1166" s="14" t="str">
        <f t="shared" ca="1" si="100"/>
        <v/>
      </c>
      <c r="C1166" s="14" t="str">
        <f ca="1">IF(I1165&lt;&gt;Variables!$B$1,IF(H1165&lt;&gt;0,C1165,I1165),"")</f>
        <v/>
      </c>
      <c r="D1166" s="29" t="str">
        <f t="shared" ca="1" si="97"/>
        <v/>
      </c>
      <c r="E1166" s="29" t="str">
        <f t="shared" ca="1" si="98"/>
        <v/>
      </c>
      <c r="F1166" s="29" t="str">
        <f ca="1">IF(C1166&lt;&gt;"",IF(OR(VLOOKUP(C1166,$C$3:$L$6,5,0)=Variables!$B$5,B1166&gt;VLOOKUP(C1166,$C$3:$L$6,8,0)),-D1166*VLOOKUP(C1166,$C$3:$L$6,6,0)/12,0),"")</f>
        <v/>
      </c>
      <c r="G1166" s="29" t="str">
        <f ca="1">IF(I1166&lt;&gt;Variables!$B$1,IF(C1166&lt;&gt;"",$I$9-E1166-F1166,""),-D1166)</f>
        <v/>
      </c>
      <c r="H1166" s="29" t="str">
        <f t="shared" ca="1" si="101"/>
        <v/>
      </c>
      <c r="I1166" s="31" t="str">
        <f ca="1">IF(C1166&lt;&gt;"",IF(D1166+$I$9-E1166-F1166&gt;=0,IF(ISERROR(INDEX($C$3:$C$6,MATCH(C1166,$C$3:$C$6,0)+1,0)),Variables!$B$1,INDEX($C$3:$C$6,MATCH(C1166,$C$3:$C$6,0)+1,0)),""),"")</f>
        <v/>
      </c>
      <c r="J1166" s="29" t="str">
        <f ca="1">IF(ISERROR(VLOOKUP(I1166,$C$3:$L$6,5,0)),"",IF(OR(VLOOKUP(I1166,$C$3:$L$6,5,0)=Variables!$B$5,B1166&gt;VLOOKUP(I1166,$C$3:$L$6,8,0)),IF(VLOOKUP(I1166,$C$3:$L$6,5,0)=Variables!$B$5,((YEAR(B1166)-YEAR($B$12))*12+MONTH(B1166)-MONTH($B$12)),((YEAR(B1166)-YEAR(VLOOKUP(I1166,$C$3:$L$6,8,0)))*12+MONTH(B1166)-MONTH(VLOOKUP(I1166,$C$3:$L$6,8,0))))*(VLOOKUP(I1166,$C$3:$L$6,10,0)*VLOOKUP(I1166,$C$3:$L$6,6,0)/12),0))</f>
        <v/>
      </c>
      <c r="K1166" s="29" t="str">
        <f ca="1">IF(C1166&lt;&gt;"",IF(I1166&lt;&gt;"",IF(ISERROR(VLOOKUP(I1166,$C$3:$L$6,10,0)),"",VLOOKUP(I1166,$C$3:$L$6,10,0)+J1166+IF(OR(VLOOKUP(I1166,$C$3:$L$6,5,0)=Variables!$B$5,B1166&gt;VLOOKUP(I1166,$C$3:$L$6,8,0)),IF(VLOOKUP(I1166,$C$3:$L$6,5,0)=Variables!$B$5,((YEAR(B1166)-YEAR($B$12))*12+MONTH(B1166)-MONTH($B$12)),((YEAR(B1166)-YEAR(VLOOKUP(I1166,$C$3:$L$6,8,0)))*12+MONTH(B1166)-MONTH(VLOOKUP(I1166,$C$3:$L$6,8,0))))*VLOOKUP(I1166,$C$3:$L$6,7,0),0)),""),"")</f>
        <v/>
      </c>
      <c r="L1166" s="29" t="str">
        <f t="shared" ca="1" si="99"/>
        <v/>
      </c>
      <c r="M1166" s="10"/>
      <c r="N1166" s="10"/>
    </row>
    <row r="1167" spans="1:14" x14ac:dyDescent="0.25">
      <c r="A1167" s="10"/>
      <c r="B1167" s="14" t="str">
        <f t="shared" ca="1" si="100"/>
        <v/>
      </c>
      <c r="C1167" s="14" t="str">
        <f ca="1">IF(I1166&lt;&gt;Variables!$B$1,IF(H1166&lt;&gt;0,C1166,I1166),"")</f>
        <v/>
      </c>
      <c r="D1167" s="29" t="str">
        <f t="shared" ca="1" si="97"/>
        <v/>
      </c>
      <c r="E1167" s="29" t="str">
        <f t="shared" ca="1" si="98"/>
        <v/>
      </c>
      <c r="F1167" s="29" t="str">
        <f ca="1">IF(C1167&lt;&gt;"",IF(OR(VLOOKUP(C1167,$C$3:$L$6,5,0)=Variables!$B$5,B1167&gt;VLOOKUP(C1167,$C$3:$L$6,8,0)),-D1167*VLOOKUP(C1167,$C$3:$L$6,6,0)/12,0),"")</f>
        <v/>
      </c>
      <c r="G1167" s="29" t="str">
        <f ca="1">IF(I1167&lt;&gt;Variables!$B$1,IF(C1167&lt;&gt;"",$I$9-E1167-F1167,""),-D1167)</f>
        <v/>
      </c>
      <c r="H1167" s="29" t="str">
        <f t="shared" ca="1" si="101"/>
        <v/>
      </c>
      <c r="I1167" s="31" t="str">
        <f ca="1">IF(C1167&lt;&gt;"",IF(D1167+$I$9-E1167-F1167&gt;=0,IF(ISERROR(INDEX($C$3:$C$6,MATCH(C1167,$C$3:$C$6,0)+1,0)),Variables!$B$1,INDEX($C$3:$C$6,MATCH(C1167,$C$3:$C$6,0)+1,0)),""),"")</f>
        <v/>
      </c>
      <c r="J1167" s="29" t="str">
        <f ca="1">IF(ISERROR(VLOOKUP(I1167,$C$3:$L$6,5,0)),"",IF(OR(VLOOKUP(I1167,$C$3:$L$6,5,0)=Variables!$B$5,B1167&gt;VLOOKUP(I1167,$C$3:$L$6,8,0)),IF(VLOOKUP(I1167,$C$3:$L$6,5,0)=Variables!$B$5,((YEAR(B1167)-YEAR($B$12))*12+MONTH(B1167)-MONTH($B$12)),((YEAR(B1167)-YEAR(VLOOKUP(I1167,$C$3:$L$6,8,0)))*12+MONTH(B1167)-MONTH(VLOOKUP(I1167,$C$3:$L$6,8,0))))*(VLOOKUP(I1167,$C$3:$L$6,10,0)*VLOOKUP(I1167,$C$3:$L$6,6,0)/12),0))</f>
        <v/>
      </c>
      <c r="K1167" s="29" t="str">
        <f ca="1">IF(C1167&lt;&gt;"",IF(I1167&lt;&gt;"",IF(ISERROR(VLOOKUP(I1167,$C$3:$L$6,10,0)),"",VLOOKUP(I1167,$C$3:$L$6,10,0)+J1167+IF(OR(VLOOKUP(I1167,$C$3:$L$6,5,0)=Variables!$B$5,B1167&gt;VLOOKUP(I1167,$C$3:$L$6,8,0)),IF(VLOOKUP(I1167,$C$3:$L$6,5,0)=Variables!$B$5,((YEAR(B1167)-YEAR($B$12))*12+MONTH(B1167)-MONTH($B$12)),((YEAR(B1167)-YEAR(VLOOKUP(I1167,$C$3:$L$6,8,0)))*12+MONTH(B1167)-MONTH(VLOOKUP(I1167,$C$3:$L$6,8,0))))*VLOOKUP(I1167,$C$3:$L$6,7,0),0)),""),"")</f>
        <v/>
      </c>
      <c r="L1167" s="29" t="str">
        <f t="shared" ca="1" si="99"/>
        <v/>
      </c>
      <c r="M1167" s="10"/>
      <c r="N1167" s="10"/>
    </row>
    <row r="1168" spans="1:14" x14ac:dyDescent="0.25">
      <c r="A1168" s="10"/>
      <c r="B1168" s="14" t="str">
        <f t="shared" ca="1" si="100"/>
        <v/>
      </c>
      <c r="C1168" s="14" t="str">
        <f ca="1">IF(I1167&lt;&gt;Variables!$B$1,IF(H1167&lt;&gt;0,C1167,I1167),"")</f>
        <v/>
      </c>
      <c r="D1168" s="29" t="str">
        <f t="shared" ca="1" si="97"/>
        <v/>
      </c>
      <c r="E1168" s="29" t="str">
        <f t="shared" ca="1" si="98"/>
        <v/>
      </c>
      <c r="F1168" s="29" t="str">
        <f ca="1">IF(C1168&lt;&gt;"",IF(OR(VLOOKUP(C1168,$C$3:$L$6,5,0)=Variables!$B$5,B1168&gt;VLOOKUP(C1168,$C$3:$L$6,8,0)),-D1168*VLOOKUP(C1168,$C$3:$L$6,6,0)/12,0),"")</f>
        <v/>
      </c>
      <c r="G1168" s="29" t="str">
        <f ca="1">IF(I1168&lt;&gt;Variables!$B$1,IF(C1168&lt;&gt;"",$I$9-E1168-F1168,""),-D1168)</f>
        <v/>
      </c>
      <c r="H1168" s="29" t="str">
        <f t="shared" ca="1" si="101"/>
        <v/>
      </c>
      <c r="I1168" s="31" t="str">
        <f ca="1">IF(C1168&lt;&gt;"",IF(D1168+$I$9-E1168-F1168&gt;=0,IF(ISERROR(INDEX($C$3:$C$6,MATCH(C1168,$C$3:$C$6,0)+1,0)),Variables!$B$1,INDEX($C$3:$C$6,MATCH(C1168,$C$3:$C$6,0)+1,0)),""),"")</f>
        <v/>
      </c>
      <c r="J1168" s="29" t="str">
        <f ca="1">IF(ISERROR(VLOOKUP(I1168,$C$3:$L$6,5,0)),"",IF(OR(VLOOKUP(I1168,$C$3:$L$6,5,0)=Variables!$B$5,B1168&gt;VLOOKUP(I1168,$C$3:$L$6,8,0)),IF(VLOOKUP(I1168,$C$3:$L$6,5,0)=Variables!$B$5,((YEAR(B1168)-YEAR($B$12))*12+MONTH(B1168)-MONTH($B$12)),((YEAR(B1168)-YEAR(VLOOKUP(I1168,$C$3:$L$6,8,0)))*12+MONTH(B1168)-MONTH(VLOOKUP(I1168,$C$3:$L$6,8,0))))*(VLOOKUP(I1168,$C$3:$L$6,10,0)*VLOOKUP(I1168,$C$3:$L$6,6,0)/12),0))</f>
        <v/>
      </c>
      <c r="K1168" s="29" t="str">
        <f ca="1">IF(C1168&lt;&gt;"",IF(I1168&lt;&gt;"",IF(ISERROR(VLOOKUP(I1168,$C$3:$L$6,10,0)),"",VLOOKUP(I1168,$C$3:$L$6,10,0)+J1168+IF(OR(VLOOKUP(I1168,$C$3:$L$6,5,0)=Variables!$B$5,B1168&gt;VLOOKUP(I1168,$C$3:$L$6,8,0)),IF(VLOOKUP(I1168,$C$3:$L$6,5,0)=Variables!$B$5,((YEAR(B1168)-YEAR($B$12))*12+MONTH(B1168)-MONTH($B$12)),((YEAR(B1168)-YEAR(VLOOKUP(I1168,$C$3:$L$6,8,0)))*12+MONTH(B1168)-MONTH(VLOOKUP(I1168,$C$3:$L$6,8,0))))*VLOOKUP(I1168,$C$3:$L$6,7,0),0)),""),"")</f>
        <v/>
      </c>
      <c r="L1168" s="29" t="str">
        <f t="shared" ca="1" si="99"/>
        <v/>
      </c>
      <c r="M1168" s="10"/>
      <c r="N1168" s="10"/>
    </row>
    <row r="1169" spans="1:14" x14ac:dyDescent="0.25">
      <c r="A1169" s="10"/>
      <c r="B1169" s="14" t="str">
        <f t="shared" ca="1" si="100"/>
        <v/>
      </c>
      <c r="C1169" s="14" t="str">
        <f ca="1">IF(I1168&lt;&gt;Variables!$B$1,IF(H1168&lt;&gt;0,C1168,I1168),"")</f>
        <v/>
      </c>
      <c r="D1169" s="29" t="str">
        <f t="shared" ca="1" si="97"/>
        <v/>
      </c>
      <c r="E1169" s="29" t="str">
        <f t="shared" ca="1" si="98"/>
        <v/>
      </c>
      <c r="F1169" s="29" t="str">
        <f ca="1">IF(C1169&lt;&gt;"",IF(OR(VLOOKUP(C1169,$C$3:$L$6,5,0)=Variables!$B$5,B1169&gt;VLOOKUP(C1169,$C$3:$L$6,8,0)),-D1169*VLOOKUP(C1169,$C$3:$L$6,6,0)/12,0),"")</f>
        <v/>
      </c>
      <c r="G1169" s="29" t="str">
        <f ca="1">IF(I1169&lt;&gt;Variables!$B$1,IF(C1169&lt;&gt;"",$I$9-E1169-F1169,""),-D1169)</f>
        <v/>
      </c>
      <c r="H1169" s="29" t="str">
        <f t="shared" ca="1" si="101"/>
        <v/>
      </c>
      <c r="I1169" s="31" t="str">
        <f ca="1">IF(C1169&lt;&gt;"",IF(D1169+$I$9-E1169-F1169&gt;=0,IF(ISERROR(INDEX($C$3:$C$6,MATCH(C1169,$C$3:$C$6,0)+1,0)),Variables!$B$1,INDEX($C$3:$C$6,MATCH(C1169,$C$3:$C$6,0)+1,0)),""),"")</f>
        <v/>
      </c>
      <c r="J1169" s="29" t="str">
        <f ca="1">IF(ISERROR(VLOOKUP(I1169,$C$3:$L$6,5,0)),"",IF(OR(VLOOKUP(I1169,$C$3:$L$6,5,0)=Variables!$B$5,B1169&gt;VLOOKUP(I1169,$C$3:$L$6,8,0)),IF(VLOOKUP(I1169,$C$3:$L$6,5,0)=Variables!$B$5,((YEAR(B1169)-YEAR($B$12))*12+MONTH(B1169)-MONTH($B$12)),((YEAR(B1169)-YEAR(VLOOKUP(I1169,$C$3:$L$6,8,0)))*12+MONTH(B1169)-MONTH(VLOOKUP(I1169,$C$3:$L$6,8,0))))*(VLOOKUP(I1169,$C$3:$L$6,10,0)*VLOOKUP(I1169,$C$3:$L$6,6,0)/12),0))</f>
        <v/>
      </c>
      <c r="K1169" s="29" t="str">
        <f ca="1">IF(C1169&lt;&gt;"",IF(I1169&lt;&gt;"",IF(ISERROR(VLOOKUP(I1169,$C$3:$L$6,10,0)),"",VLOOKUP(I1169,$C$3:$L$6,10,0)+J1169+IF(OR(VLOOKUP(I1169,$C$3:$L$6,5,0)=Variables!$B$5,B1169&gt;VLOOKUP(I1169,$C$3:$L$6,8,0)),IF(VLOOKUP(I1169,$C$3:$L$6,5,0)=Variables!$B$5,((YEAR(B1169)-YEAR($B$12))*12+MONTH(B1169)-MONTH($B$12)),((YEAR(B1169)-YEAR(VLOOKUP(I1169,$C$3:$L$6,8,0)))*12+MONTH(B1169)-MONTH(VLOOKUP(I1169,$C$3:$L$6,8,0))))*VLOOKUP(I1169,$C$3:$L$6,7,0),0)),""),"")</f>
        <v/>
      </c>
      <c r="L1169" s="29" t="str">
        <f t="shared" ca="1" si="99"/>
        <v/>
      </c>
      <c r="M1169" s="10"/>
      <c r="N1169" s="10"/>
    </row>
    <row r="1170" spans="1:14" x14ac:dyDescent="0.25">
      <c r="A1170" s="10"/>
      <c r="B1170" s="14" t="str">
        <f t="shared" ca="1" si="100"/>
        <v/>
      </c>
      <c r="C1170" s="14" t="str">
        <f ca="1">IF(I1169&lt;&gt;Variables!$B$1,IF(H1169&lt;&gt;0,C1169,I1169),"")</f>
        <v/>
      </c>
      <c r="D1170" s="29" t="str">
        <f t="shared" ca="1" si="97"/>
        <v/>
      </c>
      <c r="E1170" s="29" t="str">
        <f t="shared" ca="1" si="98"/>
        <v/>
      </c>
      <c r="F1170" s="29" t="str">
        <f ca="1">IF(C1170&lt;&gt;"",IF(OR(VLOOKUP(C1170,$C$3:$L$6,5,0)=Variables!$B$5,B1170&gt;VLOOKUP(C1170,$C$3:$L$6,8,0)),-D1170*VLOOKUP(C1170,$C$3:$L$6,6,0)/12,0),"")</f>
        <v/>
      </c>
      <c r="G1170" s="29" t="str">
        <f ca="1">IF(I1170&lt;&gt;Variables!$B$1,IF(C1170&lt;&gt;"",$I$9-E1170-F1170,""),-D1170)</f>
        <v/>
      </c>
      <c r="H1170" s="29" t="str">
        <f t="shared" ca="1" si="101"/>
        <v/>
      </c>
      <c r="I1170" s="31" t="str">
        <f ca="1">IF(C1170&lt;&gt;"",IF(D1170+$I$9-E1170-F1170&gt;=0,IF(ISERROR(INDEX($C$3:$C$6,MATCH(C1170,$C$3:$C$6,0)+1,0)),Variables!$B$1,INDEX($C$3:$C$6,MATCH(C1170,$C$3:$C$6,0)+1,0)),""),"")</f>
        <v/>
      </c>
      <c r="J1170" s="29" t="str">
        <f ca="1">IF(ISERROR(VLOOKUP(I1170,$C$3:$L$6,5,0)),"",IF(OR(VLOOKUP(I1170,$C$3:$L$6,5,0)=Variables!$B$5,B1170&gt;VLOOKUP(I1170,$C$3:$L$6,8,0)),IF(VLOOKUP(I1170,$C$3:$L$6,5,0)=Variables!$B$5,((YEAR(B1170)-YEAR($B$12))*12+MONTH(B1170)-MONTH($B$12)),((YEAR(B1170)-YEAR(VLOOKUP(I1170,$C$3:$L$6,8,0)))*12+MONTH(B1170)-MONTH(VLOOKUP(I1170,$C$3:$L$6,8,0))))*(VLOOKUP(I1170,$C$3:$L$6,10,0)*VLOOKUP(I1170,$C$3:$L$6,6,0)/12),0))</f>
        <v/>
      </c>
      <c r="K1170" s="29" t="str">
        <f ca="1">IF(C1170&lt;&gt;"",IF(I1170&lt;&gt;"",IF(ISERROR(VLOOKUP(I1170,$C$3:$L$6,10,0)),"",VLOOKUP(I1170,$C$3:$L$6,10,0)+J1170+IF(OR(VLOOKUP(I1170,$C$3:$L$6,5,0)=Variables!$B$5,B1170&gt;VLOOKUP(I1170,$C$3:$L$6,8,0)),IF(VLOOKUP(I1170,$C$3:$L$6,5,0)=Variables!$B$5,((YEAR(B1170)-YEAR($B$12))*12+MONTH(B1170)-MONTH($B$12)),((YEAR(B1170)-YEAR(VLOOKUP(I1170,$C$3:$L$6,8,0)))*12+MONTH(B1170)-MONTH(VLOOKUP(I1170,$C$3:$L$6,8,0))))*VLOOKUP(I1170,$C$3:$L$6,7,0),0)),""),"")</f>
        <v/>
      </c>
      <c r="L1170" s="29" t="str">
        <f t="shared" ca="1" si="99"/>
        <v/>
      </c>
      <c r="M1170" s="10"/>
      <c r="N1170" s="10"/>
    </row>
    <row r="1171" spans="1:14" x14ac:dyDescent="0.25">
      <c r="A1171" s="10"/>
      <c r="B1171" s="14" t="str">
        <f t="shared" ca="1" si="100"/>
        <v/>
      </c>
      <c r="C1171" s="14" t="str">
        <f ca="1">IF(I1170&lt;&gt;Variables!$B$1,IF(H1170&lt;&gt;0,C1170,I1170),"")</f>
        <v/>
      </c>
      <c r="D1171" s="29" t="str">
        <f t="shared" ca="1" si="97"/>
        <v/>
      </c>
      <c r="E1171" s="29" t="str">
        <f t="shared" ca="1" si="98"/>
        <v/>
      </c>
      <c r="F1171" s="29" t="str">
        <f ca="1">IF(C1171&lt;&gt;"",IF(OR(VLOOKUP(C1171,$C$3:$L$6,5,0)=Variables!$B$5,B1171&gt;VLOOKUP(C1171,$C$3:$L$6,8,0)),-D1171*VLOOKUP(C1171,$C$3:$L$6,6,0)/12,0),"")</f>
        <v/>
      </c>
      <c r="G1171" s="29" t="str">
        <f ca="1">IF(I1171&lt;&gt;Variables!$B$1,IF(C1171&lt;&gt;"",$I$9-E1171-F1171,""),-D1171)</f>
        <v/>
      </c>
      <c r="H1171" s="29" t="str">
        <f t="shared" ca="1" si="101"/>
        <v/>
      </c>
      <c r="I1171" s="31" t="str">
        <f ca="1">IF(C1171&lt;&gt;"",IF(D1171+$I$9-E1171-F1171&gt;=0,IF(ISERROR(INDEX($C$3:$C$6,MATCH(C1171,$C$3:$C$6,0)+1,0)),Variables!$B$1,INDEX($C$3:$C$6,MATCH(C1171,$C$3:$C$6,0)+1,0)),""),"")</f>
        <v/>
      </c>
      <c r="J1171" s="29" t="str">
        <f ca="1">IF(ISERROR(VLOOKUP(I1171,$C$3:$L$6,5,0)),"",IF(OR(VLOOKUP(I1171,$C$3:$L$6,5,0)=Variables!$B$5,B1171&gt;VLOOKUP(I1171,$C$3:$L$6,8,0)),IF(VLOOKUP(I1171,$C$3:$L$6,5,0)=Variables!$B$5,((YEAR(B1171)-YEAR($B$12))*12+MONTH(B1171)-MONTH($B$12)),((YEAR(B1171)-YEAR(VLOOKUP(I1171,$C$3:$L$6,8,0)))*12+MONTH(B1171)-MONTH(VLOOKUP(I1171,$C$3:$L$6,8,0))))*(VLOOKUP(I1171,$C$3:$L$6,10,0)*VLOOKUP(I1171,$C$3:$L$6,6,0)/12),0))</f>
        <v/>
      </c>
      <c r="K1171" s="29" t="str">
        <f ca="1">IF(C1171&lt;&gt;"",IF(I1171&lt;&gt;"",IF(ISERROR(VLOOKUP(I1171,$C$3:$L$6,10,0)),"",VLOOKUP(I1171,$C$3:$L$6,10,0)+J1171+IF(OR(VLOOKUP(I1171,$C$3:$L$6,5,0)=Variables!$B$5,B1171&gt;VLOOKUP(I1171,$C$3:$L$6,8,0)),IF(VLOOKUP(I1171,$C$3:$L$6,5,0)=Variables!$B$5,((YEAR(B1171)-YEAR($B$12))*12+MONTH(B1171)-MONTH($B$12)),((YEAR(B1171)-YEAR(VLOOKUP(I1171,$C$3:$L$6,8,0)))*12+MONTH(B1171)-MONTH(VLOOKUP(I1171,$C$3:$L$6,8,0))))*VLOOKUP(I1171,$C$3:$L$6,7,0),0)),""),"")</f>
        <v/>
      </c>
      <c r="L1171" s="29" t="str">
        <f t="shared" ca="1" si="99"/>
        <v/>
      </c>
      <c r="M1171" s="10"/>
      <c r="N1171" s="10"/>
    </row>
    <row r="1172" spans="1:14" x14ac:dyDescent="0.25">
      <c r="A1172" s="10"/>
      <c r="B1172" s="14" t="str">
        <f t="shared" ca="1" si="100"/>
        <v/>
      </c>
      <c r="C1172" s="14" t="str">
        <f ca="1">IF(I1171&lt;&gt;Variables!$B$1,IF(H1171&lt;&gt;0,C1171,I1171),"")</f>
        <v/>
      </c>
      <c r="D1172" s="29" t="str">
        <f t="shared" ca="1" si="97"/>
        <v/>
      </c>
      <c r="E1172" s="29" t="str">
        <f t="shared" ca="1" si="98"/>
        <v/>
      </c>
      <c r="F1172" s="29" t="str">
        <f ca="1">IF(C1172&lt;&gt;"",IF(OR(VLOOKUP(C1172,$C$3:$L$6,5,0)=Variables!$B$5,B1172&gt;VLOOKUP(C1172,$C$3:$L$6,8,0)),-D1172*VLOOKUP(C1172,$C$3:$L$6,6,0)/12,0),"")</f>
        <v/>
      </c>
      <c r="G1172" s="29" t="str">
        <f ca="1">IF(I1172&lt;&gt;Variables!$B$1,IF(C1172&lt;&gt;"",$I$9-E1172-F1172,""),-D1172)</f>
        <v/>
      </c>
      <c r="H1172" s="29" t="str">
        <f t="shared" ca="1" si="101"/>
        <v/>
      </c>
      <c r="I1172" s="31" t="str">
        <f ca="1">IF(C1172&lt;&gt;"",IF(D1172+$I$9-E1172-F1172&gt;=0,IF(ISERROR(INDEX($C$3:$C$6,MATCH(C1172,$C$3:$C$6,0)+1,0)),Variables!$B$1,INDEX($C$3:$C$6,MATCH(C1172,$C$3:$C$6,0)+1,0)),""),"")</f>
        <v/>
      </c>
      <c r="J1172" s="29" t="str">
        <f ca="1">IF(ISERROR(VLOOKUP(I1172,$C$3:$L$6,5,0)),"",IF(OR(VLOOKUP(I1172,$C$3:$L$6,5,0)=Variables!$B$5,B1172&gt;VLOOKUP(I1172,$C$3:$L$6,8,0)),IF(VLOOKUP(I1172,$C$3:$L$6,5,0)=Variables!$B$5,((YEAR(B1172)-YEAR($B$12))*12+MONTH(B1172)-MONTH($B$12)),((YEAR(B1172)-YEAR(VLOOKUP(I1172,$C$3:$L$6,8,0)))*12+MONTH(B1172)-MONTH(VLOOKUP(I1172,$C$3:$L$6,8,0))))*(VLOOKUP(I1172,$C$3:$L$6,10,0)*VLOOKUP(I1172,$C$3:$L$6,6,0)/12),0))</f>
        <v/>
      </c>
      <c r="K1172" s="29" t="str">
        <f ca="1">IF(C1172&lt;&gt;"",IF(I1172&lt;&gt;"",IF(ISERROR(VLOOKUP(I1172,$C$3:$L$6,10,0)),"",VLOOKUP(I1172,$C$3:$L$6,10,0)+J1172+IF(OR(VLOOKUP(I1172,$C$3:$L$6,5,0)=Variables!$B$5,B1172&gt;VLOOKUP(I1172,$C$3:$L$6,8,0)),IF(VLOOKUP(I1172,$C$3:$L$6,5,0)=Variables!$B$5,((YEAR(B1172)-YEAR($B$12))*12+MONTH(B1172)-MONTH($B$12)),((YEAR(B1172)-YEAR(VLOOKUP(I1172,$C$3:$L$6,8,0)))*12+MONTH(B1172)-MONTH(VLOOKUP(I1172,$C$3:$L$6,8,0))))*VLOOKUP(I1172,$C$3:$L$6,7,0),0)),""),"")</f>
        <v/>
      </c>
      <c r="L1172" s="29" t="str">
        <f t="shared" ca="1" si="99"/>
        <v/>
      </c>
      <c r="M1172" s="10"/>
      <c r="N1172" s="10"/>
    </row>
    <row r="1173" spans="1:14" x14ac:dyDescent="0.25">
      <c r="A1173" s="10"/>
      <c r="B1173" s="14" t="str">
        <f t="shared" ca="1" si="100"/>
        <v/>
      </c>
      <c r="C1173" s="14" t="str">
        <f ca="1">IF(I1172&lt;&gt;Variables!$B$1,IF(H1172&lt;&gt;0,C1172,I1172),"")</f>
        <v/>
      </c>
      <c r="D1173" s="29" t="str">
        <f t="shared" ca="1" si="97"/>
        <v/>
      </c>
      <c r="E1173" s="29" t="str">
        <f t="shared" ca="1" si="98"/>
        <v/>
      </c>
      <c r="F1173" s="29" t="str">
        <f ca="1">IF(C1173&lt;&gt;"",IF(OR(VLOOKUP(C1173,$C$3:$L$6,5,0)=Variables!$B$5,B1173&gt;VLOOKUP(C1173,$C$3:$L$6,8,0)),-D1173*VLOOKUP(C1173,$C$3:$L$6,6,0)/12,0),"")</f>
        <v/>
      </c>
      <c r="G1173" s="29" t="str">
        <f ca="1">IF(I1173&lt;&gt;Variables!$B$1,IF(C1173&lt;&gt;"",$I$9-E1173-F1173,""),-D1173)</f>
        <v/>
      </c>
      <c r="H1173" s="29" t="str">
        <f t="shared" ca="1" si="101"/>
        <v/>
      </c>
      <c r="I1173" s="31" t="str">
        <f ca="1">IF(C1173&lt;&gt;"",IF(D1173+$I$9-E1173-F1173&gt;=0,IF(ISERROR(INDEX($C$3:$C$6,MATCH(C1173,$C$3:$C$6,0)+1,0)),Variables!$B$1,INDEX($C$3:$C$6,MATCH(C1173,$C$3:$C$6,0)+1,0)),""),"")</f>
        <v/>
      </c>
      <c r="J1173" s="29" t="str">
        <f ca="1">IF(ISERROR(VLOOKUP(I1173,$C$3:$L$6,5,0)),"",IF(OR(VLOOKUP(I1173,$C$3:$L$6,5,0)=Variables!$B$5,B1173&gt;VLOOKUP(I1173,$C$3:$L$6,8,0)),IF(VLOOKUP(I1173,$C$3:$L$6,5,0)=Variables!$B$5,((YEAR(B1173)-YEAR($B$12))*12+MONTH(B1173)-MONTH($B$12)),((YEAR(B1173)-YEAR(VLOOKUP(I1173,$C$3:$L$6,8,0)))*12+MONTH(B1173)-MONTH(VLOOKUP(I1173,$C$3:$L$6,8,0))))*(VLOOKUP(I1173,$C$3:$L$6,10,0)*VLOOKUP(I1173,$C$3:$L$6,6,0)/12),0))</f>
        <v/>
      </c>
      <c r="K1173" s="29" t="str">
        <f ca="1">IF(C1173&lt;&gt;"",IF(I1173&lt;&gt;"",IF(ISERROR(VLOOKUP(I1173,$C$3:$L$6,10,0)),"",VLOOKUP(I1173,$C$3:$L$6,10,0)+J1173+IF(OR(VLOOKUP(I1173,$C$3:$L$6,5,0)=Variables!$B$5,B1173&gt;VLOOKUP(I1173,$C$3:$L$6,8,0)),IF(VLOOKUP(I1173,$C$3:$L$6,5,0)=Variables!$B$5,((YEAR(B1173)-YEAR($B$12))*12+MONTH(B1173)-MONTH($B$12)),((YEAR(B1173)-YEAR(VLOOKUP(I1173,$C$3:$L$6,8,0)))*12+MONTH(B1173)-MONTH(VLOOKUP(I1173,$C$3:$L$6,8,0))))*VLOOKUP(I1173,$C$3:$L$6,7,0),0)),""),"")</f>
        <v/>
      </c>
      <c r="L1173" s="29" t="str">
        <f t="shared" ca="1" si="99"/>
        <v/>
      </c>
      <c r="M1173" s="10"/>
      <c r="N1173" s="10"/>
    </row>
    <row r="1174" spans="1:14" x14ac:dyDescent="0.25">
      <c r="A1174" s="10"/>
      <c r="B1174" s="14" t="str">
        <f t="shared" ca="1" si="100"/>
        <v/>
      </c>
      <c r="C1174" s="14" t="str">
        <f ca="1">IF(I1173&lt;&gt;Variables!$B$1,IF(H1173&lt;&gt;0,C1173,I1173),"")</f>
        <v/>
      </c>
      <c r="D1174" s="29" t="str">
        <f t="shared" ca="1" si="97"/>
        <v/>
      </c>
      <c r="E1174" s="29" t="str">
        <f t="shared" ca="1" si="98"/>
        <v/>
      </c>
      <c r="F1174" s="29" t="str">
        <f ca="1">IF(C1174&lt;&gt;"",IF(OR(VLOOKUP(C1174,$C$3:$L$6,5,0)=Variables!$B$5,B1174&gt;VLOOKUP(C1174,$C$3:$L$6,8,0)),-D1174*VLOOKUP(C1174,$C$3:$L$6,6,0)/12,0),"")</f>
        <v/>
      </c>
      <c r="G1174" s="29" t="str">
        <f ca="1">IF(I1174&lt;&gt;Variables!$B$1,IF(C1174&lt;&gt;"",$I$9-E1174-F1174,""),-D1174)</f>
        <v/>
      </c>
      <c r="H1174" s="29" t="str">
        <f t="shared" ca="1" si="101"/>
        <v/>
      </c>
      <c r="I1174" s="31" t="str">
        <f ca="1">IF(C1174&lt;&gt;"",IF(D1174+$I$9-E1174-F1174&gt;=0,IF(ISERROR(INDEX($C$3:$C$6,MATCH(C1174,$C$3:$C$6,0)+1,0)),Variables!$B$1,INDEX($C$3:$C$6,MATCH(C1174,$C$3:$C$6,0)+1,0)),""),"")</f>
        <v/>
      </c>
      <c r="J1174" s="29" t="str">
        <f ca="1">IF(ISERROR(VLOOKUP(I1174,$C$3:$L$6,5,0)),"",IF(OR(VLOOKUP(I1174,$C$3:$L$6,5,0)=Variables!$B$5,B1174&gt;VLOOKUP(I1174,$C$3:$L$6,8,0)),IF(VLOOKUP(I1174,$C$3:$L$6,5,0)=Variables!$B$5,((YEAR(B1174)-YEAR($B$12))*12+MONTH(B1174)-MONTH($B$12)),((YEAR(B1174)-YEAR(VLOOKUP(I1174,$C$3:$L$6,8,0)))*12+MONTH(B1174)-MONTH(VLOOKUP(I1174,$C$3:$L$6,8,0))))*(VLOOKUP(I1174,$C$3:$L$6,10,0)*VLOOKUP(I1174,$C$3:$L$6,6,0)/12),0))</f>
        <v/>
      </c>
      <c r="K1174" s="29" t="str">
        <f ca="1">IF(C1174&lt;&gt;"",IF(I1174&lt;&gt;"",IF(ISERROR(VLOOKUP(I1174,$C$3:$L$6,10,0)),"",VLOOKUP(I1174,$C$3:$L$6,10,0)+J1174+IF(OR(VLOOKUP(I1174,$C$3:$L$6,5,0)=Variables!$B$5,B1174&gt;VLOOKUP(I1174,$C$3:$L$6,8,0)),IF(VLOOKUP(I1174,$C$3:$L$6,5,0)=Variables!$B$5,((YEAR(B1174)-YEAR($B$12))*12+MONTH(B1174)-MONTH($B$12)),((YEAR(B1174)-YEAR(VLOOKUP(I1174,$C$3:$L$6,8,0)))*12+MONTH(B1174)-MONTH(VLOOKUP(I1174,$C$3:$L$6,8,0))))*VLOOKUP(I1174,$C$3:$L$6,7,0),0)),""),"")</f>
        <v/>
      </c>
      <c r="L1174" s="29" t="str">
        <f t="shared" ca="1" si="99"/>
        <v/>
      </c>
      <c r="M1174" s="10"/>
      <c r="N1174" s="10"/>
    </row>
    <row r="1175" spans="1:14" x14ac:dyDescent="0.25">
      <c r="A1175" s="10"/>
      <c r="B1175" s="14" t="str">
        <f t="shared" ca="1" si="100"/>
        <v/>
      </c>
      <c r="C1175" s="14" t="str">
        <f ca="1">IF(I1174&lt;&gt;Variables!$B$1,IF(H1174&lt;&gt;0,C1174,I1174),"")</f>
        <v/>
      </c>
      <c r="D1175" s="29" t="str">
        <f t="shared" ca="1" si="97"/>
        <v/>
      </c>
      <c r="E1175" s="29" t="str">
        <f t="shared" ca="1" si="98"/>
        <v/>
      </c>
      <c r="F1175" s="29" t="str">
        <f ca="1">IF(C1175&lt;&gt;"",IF(OR(VLOOKUP(C1175,$C$3:$L$6,5,0)=Variables!$B$5,B1175&gt;VLOOKUP(C1175,$C$3:$L$6,8,0)),-D1175*VLOOKUP(C1175,$C$3:$L$6,6,0)/12,0),"")</f>
        <v/>
      </c>
      <c r="G1175" s="29" t="str">
        <f ca="1">IF(I1175&lt;&gt;Variables!$B$1,IF(C1175&lt;&gt;"",$I$9-E1175-F1175,""),-D1175)</f>
        <v/>
      </c>
      <c r="H1175" s="29" t="str">
        <f t="shared" ca="1" si="101"/>
        <v/>
      </c>
      <c r="I1175" s="31" t="str">
        <f ca="1">IF(C1175&lt;&gt;"",IF(D1175+$I$9-E1175-F1175&gt;=0,IF(ISERROR(INDEX($C$3:$C$6,MATCH(C1175,$C$3:$C$6,0)+1,0)),Variables!$B$1,INDEX($C$3:$C$6,MATCH(C1175,$C$3:$C$6,0)+1,0)),""),"")</f>
        <v/>
      </c>
      <c r="J1175" s="29" t="str">
        <f ca="1">IF(ISERROR(VLOOKUP(I1175,$C$3:$L$6,5,0)),"",IF(OR(VLOOKUP(I1175,$C$3:$L$6,5,0)=Variables!$B$5,B1175&gt;VLOOKUP(I1175,$C$3:$L$6,8,0)),IF(VLOOKUP(I1175,$C$3:$L$6,5,0)=Variables!$B$5,((YEAR(B1175)-YEAR($B$12))*12+MONTH(B1175)-MONTH($B$12)),((YEAR(B1175)-YEAR(VLOOKUP(I1175,$C$3:$L$6,8,0)))*12+MONTH(B1175)-MONTH(VLOOKUP(I1175,$C$3:$L$6,8,0))))*(VLOOKUP(I1175,$C$3:$L$6,10,0)*VLOOKUP(I1175,$C$3:$L$6,6,0)/12),0))</f>
        <v/>
      </c>
      <c r="K1175" s="29" t="str">
        <f ca="1">IF(C1175&lt;&gt;"",IF(I1175&lt;&gt;"",IF(ISERROR(VLOOKUP(I1175,$C$3:$L$6,10,0)),"",VLOOKUP(I1175,$C$3:$L$6,10,0)+J1175+IF(OR(VLOOKUP(I1175,$C$3:$L$6,5,0)=Variables!$B$5,B1175&gt;VLOOKUP(I1175,$C$3:$L$6,8,0)),IF(VLOOKUP(I1175,$C$3:$L$6,5,0)=Variables!$B$5,((YEAR(B1175)-YEAR($B$12))*12+MONTH(B1175)-MONTH($B$12)),((YEAR(B1175)-YEAR(VLOOKUP(I1175,$C$3:$L$6,8,0)))*12+MONTH(B1175)-MONTH(VLOOKUP(I1175,$C$3:$L$6,8,0))))*VLOOKUP(I1175,$C$3:$L$6,7,0),0)),""),"")</f>
        <v/>
      </c>
      <c r="L1175" s="29" t="str">
        <f t="shared" ca="1" si="99"/>
        <v/>
      </c>
      <c r="M1175" s="10"/>
      <c r="N1175" s="10"/>
    </row>
    <row r="1176" spans="1:14" x14ac:dyDescent="0.25">
      <c r="A1176" s="10"/>
      <c r="B1176" s="14" t="str">
        <f t="shared" ca="1" si="100"/>
        <v/>
      </c>
      <c r="C1176" s="14" t="str">
        <f ca="1">IF(I1175&lt;&gt;Variables!$B$1,IF(H1175&lt;&gt;0,C1175,I1175),"")</f>
        <v/>
      </c>
      <c r="D1176" s="29" t="str">
        <f t="shared" ca="1" si="97"/>
        <v/>
      </c>
      <c r="E1176" s="29" t="str">
        <f t="shared" ca="1" si="98"/>
        <v/>
      </c>
      <c r="F1176" s="29" t="str">
        <f ca="1">IF(C1176&lt;&gt;"",IF(OR(VLOOKUP(C1176,$C$3:$L$6,5,0)=Variables!$B$5,B1176&gt;VLOOKUP(C1176,$C$3:$L$6,8,0)),-D1176*VLOOKUP(C1176,$C$3:$L$6,6,0)/12,0),"")</f>
        <v/>
      </c>
      <c r="G1176" s="29" t="str">
        <f ca="1">IF(I1176&lt;&gt;Variables!$B$1,IF(C1176&lt;&gt;"",$I$9-E1176-F1176,""),-D1176)</f>
        <v/>
      </c>
      <c r="H1176" s="29" t="str">
        <f t="shared" ca="1" si="101"/>
        <v/>
      </c>
      <c r="I1176" s="31" t="str">
        <f ca="1">IF(C1176&lt;&gt;"",IF(D1176+$I$9-E1176-F1176&gt;=0,IF(ISERROR(INDEX($C$3:$C$6,MATCH(C1176,$C$3:$C$6,0)+1,0)),Variables!$B$1,INDEX($C$3:$C$6,MATCH(C1176,$C$3:$C$6,0)+1,0)),""),"")</f>
        <v/>
      </c>
      <c r="J1176" s="29" t="str">
        <f ca="1">IF(ISERROR(VLOOKUP(I1176,$C$3:$L$6,5,0)),"",IF(OR(VLOOKUP(I1176,$C$3:$L$6,5,0)=Variables!$B$5,B1176&gt;VLOOKUP(I1176,$C$3:$L$6,8,0)),IF(VLOOKUP(I1176,$C$3:$L$6,5,0)=Variables!$B$5,((YEAR(B1176)-YEAR($B$12))*12+MONTH(B1176)-MONTH($B$12)),((YEAR(B1176)-YEAR(VLOOKUP(I1176,$C$3:$L$6,8,0)))*12+MONTH(B1176)-MONTH(VLOOKUP(I1176,$C$3:$L$6,8,0))))*(VLOOKUP(I1176,$C$3:$L$6,10,0)*VLOOKUP(I1176,$C$3:$L$6,6,0)/12),0))</f>
        <v/>
      </c>
      <c r="K1176" s="29" t="str">
        <f ca="1">IF(C1176&lt;&gt;"",IF(I1176&lt;&gt;"",IF(ISERROR(VLOOKUP(I1176,$C$3:$L$6,10,0)),"",VLOOKUP(I1176,$C$3:$L$6,10,0)+J1176+IF(OR(VLOOKUP(I1176,$C$3:$L$6,5,0)=Variables!$B$5,B1176&gt;VLOOKUP(I1176,$C$3:$L$6,8,0)),IF(VLOOKUP(I1176,$C$3:$L$6,5,0)=Variables!$B$5,((YEAR(B1176)-YEAR($B$12))*12+MONTH(B1176)-MONTH($B$12)),((YEAR(B1176)-YEAR(VLOOKUP(I1176,$C$3:$L$6,8,0)))*12+MONTH(B1176)-MONTH(VLOOKUP(I1176,$C$3:$L$6,8,0))))*VLOOKUP(I1176,$C$3:$L$6,7,0),0)),""),"")</f>
        <v/>
      </c>
      <c r="L1176" s="29" t="str">
        <f t="shared" ca="1" si="99"/>
        <v/>
      </c>
      <c r="M1176" s="10"/>
      <c r="N1176" s="10"/>
    </row>
    <row r="1177" spans="1:14" x14ac:dyDescent="0.25">
      <c r="A1177" s="10"/>
      <c r="B1177" s="14" t="str">
        <f t="shared" ca="1" si="100"/>
        <v/>
      </c>
      <c r="C1177" s="14" t="str">
        <f ca="1">IF(I1176&lt;&gt;Variables!$B$1,IF(H1176&lt;&gt;0,C1176,I1176),"")</f>
        <v/>
      </c>
      <c r="D1177" s="29" t="str">
        <f t="shared" ca="1" si="97"/>
        <v/>
      </c>
      <c r="E1177" s="29" t="str">
        <f t="shared" ca="1" si="98"/>
        <v/>
      </c>
      <c r="F1177" s="29" t="str">
        <f ca="1">IF(C1177&lt;&gt;"",IF(OR(VLOOKUP(C1177,$C$3:$L$6,5,0)=Variables!$B$5,B1177&gt;VLOOKUP(C1177,$C$3:$L$6,8,0)),-D1177*VLOOKUP(C1177,$C$3:$L$6,6,0)/12,0),"")</f>
        <v/>
      </c>
      <c r="G1177" s="29" t="str">
        <f ca="1">IF(I1177&lt;&gt;Variables!$B$1,IF(C1177&lt;&gt;"",$I$9-E1177-F1177,""),-D1177)</f>
        <v/>
      </c>
      <c r="H1177" s="29" t="str">
        <f t="shared" ca="1" si="101"/>
        <v/>
      </c>
      <c r="I1177" s="31" t="str">
        <f ca="1">IF(C1177&lt;&gt;"",IF(D1177+$I$9-E1177-F1177&gt;=0,IF(ISERROR(INDEX($C$3:$C$6,MATCH(C1177,$C$3:$C$6,0)+1,0)),Variables!$B$1,INDEX($C$3:$C$6,MATCH(C1177,$C$3:$C$6,0)+1,0)),""),"")</f>
        <v/>
      </c>
      <c r="J1177" s="29" t="str">
        <f ca="1">IF(ISERROR(VLOOKUP(I1177,$C$3:$L$6,5,0)),"",IF(OR(VLOOKUP(I1177,$C$3:$L$6,5,0)=Variables!$B$5,B1177&gt;VLOOKUP(I1177,$C$3:$L$6,8,0)),IF(VLOOKUP(I1177,$C$3:$L$6,5,0)=Variables!$B$5,((YEAR(B1177)-YEAR($B$12))*12+MONTH(B1177)-MONTH($B$12)),((YEAR(B1177)-YEAR(VLOOKUP(I1177,$C$3:$L$6,8,0)))*12+MONTH(B1177)-MONTH(VLOOKUP(I1177,$C$3:$L$6,8,0))))*(VLOOKUP(I1177,$C$3:$L$6,10,0)*VLOOKUP(I1177,$C$3:$L$6,6,0)/12),0))</f>
        <v/>
      </c>
      <c r="K1177" s="29" t="str">
        <f ca="1">IF(C1177&lt;&gt;"",IF(I1177&lt;&gt;"",IF(ISERROR(VLOOKUP(I1177,$C$3:$L$6,10,0)),"",VLOOKUP(I1177,$C$3:$L$6,10,0)+J1177+IF(OR(VLOOKUP(I1177,$C$3:$L$6,5,0)=Variables!$B$5,B1177&gt;VLOOKUP(I1177,$C$3:$L$6,8,0)),IF(VLOOKUP(I1177,$C$3:$L$6,5,0)=Variables!$B$5,((YEAR(B1177)-YEAR($B$12))*12+MONTH(B1177)-MONTH($B$12)),((YEAR(B1177)-YEAR(VLOOKUP(I1177,$C$3:$L$6,8,0)))*12+MONTH(B1177)-MONTH(VLOOKUP(I1177,$C$3:$L$6,8,0))))*VLOOKUP(I1177,$C$3:$L$6,7,0),0)),""),"")</f>
        <v/>
      </c>
      <c r="L1177" s="29" t="str">
        <f t="shared" ca="1" si="99"/>
        <v/>
      </c>
      <c r="M1177" s="10"/>
      <c r="N1177" s="10"/>
    </row>
    <row r="1178" spans="1:14" x14ac:dyDescent="0.25">
      <c r="A1178" s="10"/>
      <c r="B1178" s="14" t="str">
        <f t="shared" ca="1" si="100"/>
        <v/>
      </c>
      <c r="C1178" s="14" t="str">
        <f ca="1">IF(I1177&lt;&gt;Variables!$B$1,IF(H1177&lt;&gt;0,C1177,I1177),"")</f>
        <v/>
      </c>
      <c r="D1178" s="29" t="str">
        <f t="shared" ca="1" si="97"/>
        <v/>
      </c>
      <c r="E1178" s="29" t="str">
        <f t="shared" ca="1" si="98"/>
        <v/>
      </c>
      <c r="F1178" s="29" t="str">
        <f ca="1">IF(C1178&lt;&gt;"",IF(OR(VLOOKUP(C1178,$C$3:$L$6,5,0)=Variables!$B$5,B1178&gt;VLOOKUP(C1178,$C$3:$L$6,8,0)),-D1178*VLOOKUP(C1178,$C$3:$L$6,6,0)/12,0),"")</f>
        <v/>
      </c>
      <c r="G1178" s="29" t="str">
        <f ca="1">IF(I1178&lt;&gt;Variables!$B$1,IF(C1178&lt;&gt;"",$I$9-E1178-F1178,""),-D1178)</f>
        <v/>
      </c>
      <c r="H1178" s="29" t="str">
        <f t="shared" ca="1" si="101"/>
        <v/>
      </c>
      <c r="I1178" s="31" t="str">
        <f ca="1">IF(C1178&lt;&gt;"",IF(D1178+$I$9-E1178-F1178&gt;=0,IF(ISERROR(INDEX($C$3:$C$6,MATCH(C1178,$C$3:$C$6,0)+1,0)),Variables!$B$1,INDEX($C$3:$C$6,MATCH(C1178,$C$3:$C$6,0)+1,0)),""),"")</f>
        <v/>
      </c>
      <c r="J1178" s="29" t="str">
        <f ca="1">IF(ISERROR(VLOOKUP(I1178,$C$3:$L$6,5,0)),"",IF(OR(VLOOKUP(I1178,$C$3:$L$6,5,0)=Variables!$B$5,B1178&gt;VLOOKUP(I1178,$C$3:$L$6,8,0)),IF(VLOOKUP(I1178,$C$3:$L$6,5,0)=Variables!$B$5,((YEAR(B1178)-YEAR($B$12))*12+MONTH(B1178)-MONTH($B$12)),((YEAR(B1178)-YEAR(VLOOKUP(I1178,$C$3:$L$6,8,0)))*12+MONTH(B1178)-MONTH(VLOOKUP(I1178,$C$3:$L$6,8,0))))*(VLOOKUP(I1178,$C$3:$L$6,10,0)*VLOOKUP(I1178,$C$3:$L$6,6,0)/12),0))</f>
        <v/>
      </c>
      <c r="K1178" s="29" t="str">
        <f ca="1">IF(C1178&lt;&gt;"",IF(I1178&lt;&gt;"",IF(ISERROR(VLOOKUP(I1178,$C$3:$L$6,10,0)),"",VLOOKUP(I1178,$C$3:$L$6,10,0)+J1178+IF(OR(VLOOKUP(I1178,$C$3:$L$6,5,0)=Variables!$B$5,B1178&gt;VLOOKUP(I1178,$C$3:$L$6,8,0)),IF(VLOOKUP(I1178,$C$3:$L$6,5,0)=Variables!$B$5,((YEAR(B1178)-YEAR($B$12))*12+MONTH(B1178)-MONTH($B$12)),((YEAR(B1178)-YEAR(VLOOKUP(I1178,$C$3:$L$6,8,0)))*12+MONTH(B1178)-MONTH(VLOOKUP(I1178,$C$3:$L$6,8,0))))*VLOOKUP(I1178,$C$3:$L$6,7,0),0)),""),"")</f>
        <v/>
      </c>
      <c r="L1178" s="29" t="str">
        <f t="shared" ca="1" si="99"/>
        <v/>
      </c>
      <c r="M1178" s="10"/>
      <c r="N1178" s="10"/>
    </row>
    <row r="1179" spans="1:14" x14ac:dyDescent="0.25">
      <c r="A1179" s="10"/>
      <c r="B1179" s="14" t="str">
        <f t="shared" ca="1" si="100"/>
        <v/>
      </c>
      <c r="C1179" s="14" t="str">
        <f ca="1">IF(I1178&lt;&gt;Variables!$B$1,IF(H1178&lt;&gt;0,C1178,I1178),"")</f>
        <v/>
      </c>
      <c r="D1179" s="29" t="str">
        <f t="shared" ca="1" si="97"/>
        <v/>
      </c>
      <c r="E1179" s="29" t="str">
        <f t="shared" ca="1" si="98"/>
        <v/>
      </c>
      <c r="F1179" s="29" t="str">
        <f ca="1">IF(C1179&lt;&gt;"",IF(OR(VLOOKUP(C1179,$C$3:$L$6,5,0)=Variables!$B$5,B1179&gt;VLOOKUP(C1179,$C$3:$L$6,8,0)),-D1179*VLOOKUP(C1179,$C$3:$L$6,6,0)/12,0),"")</f>
        <v/>
      </c>
      <c r="G1179" s="29" t="str">
        <f ca="1">IF(I1179&lt;&gt;Variables!$B$1,IF(C1179&lt;&gt;"",$I$9-E1179-F1179,""),-D1179)</f>
        <v/>
      </c>
      <c r="H1179" s="29" t="str">
        <f t="shared" ca="1" si="101"/>
        <v/>
      </c>
      <c r="I1179" s="31" t="str">
        <f ca="1">IF(C1179&lt;&gt;"",IF(D1179+$I$9-E1179-F1179&gt;=0,IF(ISERROR(INDEX($C$3:$C$6,MATCH(C1179,$C$3:$C$6,0)+1,0)),Variables!$B$1,INDEX($C$3:$C$6,MATCH(C1179,$C$3:$C$6,0)+1,0)),""),"")</f>
        <v/>
      </c>
      <c r="J1179" s="29" t="str">
        <f ca="1">IF(ISERROR(VLOOKUP(I1179,$C$3:$L$6,5,0)),"",IF(OR(VLOOKUP(I1179,$C$3:$L$6,5,0)=Variables!$B$5,B1179&gt;VLOOKUP(I1179,$C$3:$L$6,8,0)),IF(VLOOKUP(I1179,$C$3:$L$6,5,0)=Variables!$B$5,((YEAR(B1179)-YEAR($B$12))*12+MONTH(B1179)-MONTH($B$12)),((YEAR(B1179)-YEAR(VLOOKUP(I1179,$C$3:$L$6,8,0)))*12+MONTH(B1179)-MONTH(VLOOKUP(I1179,$C$3:$L$6,8,0))))*(VLOOKUP(I1179,$C$3:$L$6,10,0)*VLOOKUP(I1179,$C$3:$L$6,6,0)/12),0))</f>
        <v/>
      </c>
      <c r="K1179" s="29" t="str">
        <f ca="1">IF(C1179&lt;&gt;"",IF(I1179&lt;&gt;"",IF(ISERROR(VLOOKUP(I1179,$C$3:$L$6,10,0)),"",VLOOKUP(I1179,$C$3:$L$6,10,0)+J1179+IF(OR(VLOOKUP(I1179,$C$3:$L$6,5,0)=Variables!$B$5,B1179&gt;VLOOKUP(I1179,$C$3:$L$6,8,0)),IF(VLOOKUP(I1179,$C$3:$L$6,5,0)=Variables!$B$5,((YEAR(B1179)-YEAR($B$12))*12+MONTH(B1179)-MONTH($B$12)),((YEAR(B1179)-YEAR(VLOOKUP(I1179,$C$3:$L$6,8,0)))*12+MONTH(B1179)-MONTH(VLOOKUP(I1179,$C$3:$L$6,8,0))))*VLOOKUP(I1179,$C$3:$L$6,7,0),0)),""),"")</f>
        <v/>
      </c>
      <c r="L1179" s="29" t="str">
        <f t="shared" ca="1" si="99"/>
        <v/>
      </c>
      <c r="M1179" s="10"/>
      <c r="N1179" s="10"/>
    </row>
    <row r="1180" spans="1:14" x14ac:dyDescent="0.25">
      <c r="A1180" s="10"/>
      <c r="B1180" s="14" t="str">
        <f t="shared" ca="1" si="100"/>
        <v/>
      </c>
      <c r="C1180" s="14" t="str">
        <f ca="1">IF(I1179&lt;&gt;Variables!$B$1,IF(H1179&lt;&gt;0,C1179,I1179),"")</f>
        <v/>
      </c>
      <c r="D1180" s="29" t="str">
        <f t="shared" ref="D1180:D1243" ca="1" si="102">IF(C1180&lt;&gt;"",IF(H1179&lt;&gt;0,H1179,L1179),"")</f>
        <v/>
      </c>
      <c r="E1180" s="29" t="str">
        <f t="shared" ref="E1180:E1243" ca="1" si="103">IF(C1180&lt;&gt;"",MINPAYMENT(C1180,ROW(B1180),COLUMN(B1180)),"")</f>
        <v/>
      </c>
      <c r="F1180" s="29" t="str">
        <f ca="1">IF(C1180&lt;&gt;"",IF(OR(VLOOKUP(C1180,$C$3:$L$6,5,0)=Variables!$B$5,B1180&gt;VLOOKUP(C1180,$C$3:$L$6,8,0)),-D1180*VLOOKUP(C1180,$C$3:$L$6,6,0)/12,0),"")</f>
        <v/>
      </c>
      <c r="G1180" s="29" t="str">
        <f ca="1">IF(I1180&lt;&gt;Variables!$B$1,IF(C1180&lt;&gt;"",$I$9-E1180-F1180,""),-D1180)</f>
        <v/>
      </c>
      <c r="H1180" s="29" t="str">
        <f t="shared" ca="1" si="101"/>
        <v/>
      </c>
      <c r="I1180" s="31" t="str">
        <f ca="1">IF(C1180&lt;&gt;"",IF(D1180+$I$9-E1180-F1180&gt;=0,IF(ISERROR(INDEX($C$3:$C$6,MATCH(C1180,$C$3:$C$6,0)+1,0)),Variables!$B$1,INDEX($C$3:$C$6,MATCH(C1180,$C$3:$C$6,0)+1,0)),""),"")</f>
        <v/>
      </c>
      <c r="J1180" s="29" t="str">
        <f ca="1">IF(ISERROR(VLOOKUP(I1180,$C$3:$L$6,5,0)),"",IF(OR(VLOOKUP(I1180,$C$3:$L$6,5,0)=Variables!$B$5,B1180&gt;VLOOKUP(I1180,$C$3:$L$6,8,0)),IF(VLOOKUP(I1180,$C$3:$L$6,5,0)=Variables!$B$5,((YEAR(B1180)-YEAR($B$12))*12+MONTH(B1180)-MONTH($B$12)),((YEAR(B1180)-YEAR(VLOOKUP(I1180,$C$3:$L$6,8,0)))*12+MONTH(B1180)-MONTH(VLOOKUP(I1180,$C$3:$L$6,8,0))))*(VLOOKUP(I1180,$C$3:$L$6,10,0)*VLOOKUP(I1180,$C$3:$L$6,6,0)/12),0))</f>
        <v/>
      </c>
      <c r="K1180" s="29" t="str">
        <f ca="1">IF(C1180&lt;&gt;"",IF(I1180&lt;&gt;"",IF(ISERROR(VLOOKUP(I1180,$C$3:$L$6,10,0)),"",VLOOKUP(I1180,$C$3:$L$6,10,0)+J1180+IF(OR(VLOOKUP(I1180,$C$3:$L$6,5,0)=Variables!$B$5,B1180&gt;VLOOKUP(I1180,$C$3:$L$6,8,0)),IF(VLOOKUP(I1180,$C$3:$L$6,5,0)=Variables!$B$5,((YEAR(B1180)-YEAR($B$12))*12+MONTH(B1180)-MONTH($B$12)),((YEAR(B1180)-YEAR(VLOOKUP(I1180,$C$3:$L$6,8,0)))*12+MONTH(B1180)-MONTH(VLOOKUP(I1180,$C$3:$L$6,8,0))))*VLOOKUP(I1180,$C$3:$L$6,7,0),0)),""),"")</f>
        <v/>
      </c>
      <c r="L1180" s="29" t="str">
        <f t="shared" ref="L1180:L1243" ca="1" si="104">IF(C1180&lt;&gt;"",IF(ISERROR(IF(D1180+G1180&gt;=0,K1180+D1180+G1180,"")),"",IF(D1180+G1180&gt;=0,K1180+D1180+G1180,"")),"")</f>
        <v/>
      </c>
      <c r="M1180" s="10"/>
      <c r="N1180" s="10"/>
    </row>
    <row r="1181" spans="1:14" x14ac:dyDescent="0.25">
      <c r="A1181" s="10"/>
      <c r="B1181" s="14" t="str">
        <f t="shared" ref="B1181:B1244" ca="1" si="105">IF(C1181&lt;&gt;"",DATE(YEAR(B1180),MONTH(B1180)+1,DAY(B1180)),"")</f>
        <v/>
      </c>
      <c r="C1181" s="14" t="str">
        <f ca="1">IF(I1180&lt;&gt;Variables!$B$1,IF(H1180&lt;&gt;0,C1180,I1180),"")</f>
        <v/>
      </c>
      <c r="D1181" s="29" t="str">
        <f t="shared" ca="1" si="102"/>
        <v/>
      </c>
      <c r="E1181" s="29" t="str">
        <f t="shared" ca="1" si="103"/>
        <v/>
      </c>
      <c r="F1181" s="29" t="str">
        <f ca="1">IF(C1181&lt;&gt;"",IF(OR(VLOOKUP(C1181,$C$3:$L$6,5,0)=Variables!$B$5,B1181&gt;VLOOKUP(C1181,$C$3:$L$6,8,0)),-D1181*VLOOKUP(C1181,$C$3:$L$6,6,0)/12,0),"")</f>
        <v/>
      </c>
      <c r="G1181" s="29" t="str">
        <f ca="1">IF(I1181&lt;&gt;Variables!$B$1,IF(C1181&lt;&gt;"",$I$9-E1181-F1181,""),-D1181)</f>
        <v/>
      </c>
      <c r="H1181" s="29" t="str">
        <f t="shared" ref="H1181:H1244" ca="1" si="106">IF(C1181&lt;&gt;"",IF(D1181+G1181&lt;0,D1181+G1181,0),"")</f>
        <v/>
      </c>
      <c r="I1181" s="31" t="str">
        <f ca="1">IF(C1181&lt;&gt;"",IF(D1181+$I$9-E1181-F1181&gt;=0,IF(ISERROR(INDEX($C$3:$C$6,MATCH(C1181,$C$3:$C$6,0)+1,0)),Variables!$B$1,INDEX($C$3:$C$6,MATCH(C1181,$C$3:$C$6,0)+1,0)),""),"")</f>
        <v/>
      </c>
      <c r="J1181" s="29" t="str">
        <f ca="1">IF(ISERROR(VLOOKUP(I1181,$C$3:$L$6,5,0)),"",IF(OR(VLOOKUP(I1181,$C$3:$L$6,5,0)=Variables!$B$5,B1181&gt;VLOOKUP(I1181,$C$3:$L$6,8,0)),IF(VLOOKUP(I1181,$C$3:$L$6,5,0)=Variables!$B$5,((YEAR(B1181)-YEAR($B$12))*12+MONTH(B1181)-MONTH($B$12)),((YEAR(B1181)-YEAR(VLOOKUP(I1181,$C$3:$L$6,8,0)))*12+MONTH(B1181)-MONTH(VLOOKUP(I1181,$C$3:$L$6,8,0))))*(VLOOKUP(I1181,$C$3:$L$6,10,0)*VLOOKUP(I1181,$C$3:$L$6,6,0)/12),0))</f>
        <v/>
      </c>
      <c r="K1181" s="29" t="str">
        <f ca="1">IF(C1181&lt;&gt;"",IF(I1181&lt;&gt;"",IF(ISERROR(VLOOKUP(I1181,$C$3:$L$6,10,0)),"",VLOOKUP(I1181,$C$3:$L$6,10,0)+J1181+IF(OR(VLOOKUP(I1181,$C$3:$L$6,5,0)=Variables!$B$5,B1181&gt;VLOOKUP(I1181,$C$3:$L$6,8,0)),IF(VLOOKUP(I1181,$C$3:$L$6,5,0)=Variables!$B$5,((YEAR(B1181)-YEAR($B$12))*12+MONTH(B1181)-MONTH($B$12)),((YEAR(B1181)-YEAR(VLOOKUP(I1181,$C$3:$L$6,8,0)))*12+MONTH(B1181)-MONTH(VLOOKUP(I1181,$C$3:$L$6,8,0))))*VLOOKUP(I1181,$C$3:$L$6,7,0),0)),""),"")</f>
        <v/>
      </c>
      <c r="L1181" s="29" t="str">
        <f t="shared" ca="1" si="104"/>
        <v/>
      </c>
      <c r="M1181" s="10"/>
      <c r="N1181" s="10"/>
    </row>
    <row r="1182" spans="1:14" x14ac:dyDescent="0.25">
      <c r="A1182" s="10"/>
      <c r="B1182" s="14" t="str">
        <f t="shared" ca="1" si="105"/>
        <v/>
      </c>
      <c r="C1182" s="14" t="str">
        <f ca="1">IF(I1181&lt;&gt;Variables!$B$1,IF(H1181&lt;&gt;0,C1181,I1181),"")</f>
        <v/>
      </c>
      <c r="D1182" s="29" t="str">
        <f t="shared" ca="1" si="102"/>
        <v/>
      </c>
      <c r="E1182" s="29" t="str">
        <f t="shared" ca="1" si="103"/>
        <v/>
      </c>
      <c r="F1182" s="29" t="str">
        <f ca="1">IF(C1182&lt;&gt;"",IF(OR(VLOOKUP(C1182,$C$3:$L$6,5,0)=Variables!$B$5,B1182&gt;VLOOKUP(C1182,$C$3:$L$6,8,0)),-D1182*VLOOKUP(C1182,$C$3:$L$6,6,0)/12,0),"")</f>
        <v/>
      </c>
      <c r="G1182" s="29" t="str">
        <f ca="1">IF(I1182&lt;&gt;Variables!$B$1,IF(C1182&lt;&gt;"",$I$9-E1182-F1182,""),-D1182)</f>
        <v/>
      </c>
      <c r="H1182" s="29" t="str">
        <f t="shared" ca="1" si="106"/>
        <v/>
      </c>
      <c r="I1182" s="31" t="str">
        <f ca="1">IF(C1182&lt;&gt;"",IF(D1182+$I$9-E1182-F1182&gt;=0,IF(ISERROR(INDEX($C$3:$C$6,MATCH(C1182,$C$3:$C$6,0)+1,0)),Variables!$B$1,INDEX($C$3:$C$6,MATCH(C1182,$C$3:$C$6,0)+1,0)),""),"")</f>
        <v/>
      </c>
      <c r="J1182" s="29" t="str">
        <f ca="1">IF(ISERROR(VLOOKUP(I1182,$C$3:$L$6,5,0)),"",IF(OR(VLOOKUP(I1182,$C$3:$L$6,5,0)=Variables!$B$5,B1182&gt;VLOOKUP(I1182,$C$3:$L$6,8,0)),IF(VLOOKUP(I1182,$C$3:$L$6,5,0)=Variables!$B$5,((YEAR(B1182)-YEAR($B$12))*12+MONTH(B1182)-MONTH($B$12)),((YEAR(B1182)-YEAR(VLOOKUP(I1182,$C$3:$L$6,8,0)))*12+MONTH(B1182)-MONTH(VLOOKUP(I1182,$C$3:$L$6,8,0))))*(VLOOKUP(I1182,$C$3:$L$6,10,0)*VLOOKUP(I1182,$C$3:$L$6,6,0)/12),0))</f>
        <v/>
      </c>
      <c r="K1182" s="29" t="str">
        <f ca="1">IF(C1182&lt;&gt;"",IF(I1182&lt;&gt;"",IF(ISERROR(VLOOKUP(I1182,$C$3:$L$6,10,0)),"",VLOOKUP(I1182,$C$3:$L$6,10,0)+J1182+IF(OR(VLOOKUP(I1182,$C$3:$L$6,5,0)=Variables!$B$5,B1182&gt;VLOOKUP(I1182,$C$3:$L$6,8,0)),IF(VLOOKUP(I1182,$C$3:$L$6,5,0)=Variables!$B$5,((YEAR(B1182)-YEAR($B$12))*12+MONTH(B1182)-MONTH($B$12)),((YEAR(B1182)-YEAR(VLOOKUP(I1182,$C$3:$L$6,8,0)))*12+MONTH(B1182)-MONTH(VLOOKUP(I1182,$C$3:$L$6,8,0))))*VLOOKUP(I1182,$C$3:$L$6,7,0),0)),""),"")</f>
        <v/>
      </c>
      <c r="L1182" s="29" t="str">
        <f t="shared" ca="1" si="104"/>
        <v/>
      </c>
      <c r="M1182" s="10"/>
      <c r="N1182" s="10"/>
    </row>
    <row r="1183" spans="1:14" x14ac:dyDescent="0.25">
      <c r="A1183" s="10"/>
      <c r="B1183" s="14" t="str">
        <f t="shared" ca="1" si="105"/>
        <v/>
      </c>
      <c r="C1183" s="14" t="str">
        <f ca="1">IF(I1182&lt;&gt;Variables!$B$1,IF(H1182&lt;&gt;0,C1182,I1182),"")</f>
        <v/>
      </c>
      <c r="D1183" s="29" t="str">
        <f t="shared" ca="1" si="102"/>
        <v/>
      </c>
      <c r="E1183" s="29" t="str">
        <f t="shared" ca="1" si="103"/>
        <v/>
      </c>
      <c r="F1183" s="29" t="str">
        <f ca="1">IF(C1183&lt;&gt;"",IF(OR(VLOOKUP(C1183,$C$3:$L$6,5,0)=Variables!$B$5,B1183&gt;VLOOKUP(C1183,$C$3:$L$6,8,0)),-D1183*VLOOKUP(C1183,$C$3:$L$6,6,0)/12,0),"")</f>
        <v/>
      </c>
      <c r="G1183" s="29" t="str">
        <f ca="1">IF(I1183&lt;&gt;Variables!$B$1,IF(C1183&lt;&gt;"",$I$9-E1183-F1183,""),-D1183)</f>
        <v/>
      </c>
      <c r="H1183" s="29" t="str">
        <f t="shared" ca="1" si="106"/>
        <v/>
      </c>
      <c r="I1183" s="31" t="str">
        <f ca="1">IF(C1183&lt;&gt;"",IF(D1183+$I$9-E1183-F1183&gt;=0,IF(ISERROR(INDEX($C$3:$C$6,MATCH(C1183,$C$3:$C$6,0)+1,0)),Variables!$B$1,INDEX($C$3:$C$6,MATCH(C1183,$C$3:$C$6,0)+1,0)),""),"")</f>
        <v/>
      </c>
      <c r="J1183" s="29" t="str">
        <f ca="1">IF(ISERROR(VLOOKUP(I1183,$C$3:$L$6,5,0)),"",IF(OR(VLOOKUP(I1183,$C$3:$L$6,5,0)=Variables!$B$5,B1183&gt;VLOOKUP(I1183,$C$3:$L$6,8,0)),IF(VLOOKUP(I1183,$C$3:$L$6,5,0)=Variables!$B$5,((YEAR(B1183)-YEAR($B$12))*12+MONTH(B1183)-MONTH($B$12)),((YEAR(B1183)-YEAR(VLOOKUP(I1183,$C$3:$L$6,8,0)))*12+MONTH(B1183)-MONTH(VLOOKUP(I1183,$C$3:$L$6,8,0))))*(VLOOKUP(I1183,$C$3:$L$6,10,0)*VLOOKUP(I1183,$C$3:$L$6,6,0)/12),0))</f>
        <v/>
      </c>
      <c r="K1183" s="29" t="str">
        <f ca="1">IF(C1183&lt;&gt;"",IF(I1183&lt;&gt;"",IF(ISERROR(VLOOKUP(I1183,$C$3:$L$6,10,0)),"",VLOOKUP(I1183,$C$3:$L$6,10,0)+J1183+IF(OR(VLOOKUP(I1183,$C$3:$L$6,5,0)=Variables!$B$5,B1183&gt;VLOOKUP(I1183,$C$3:$L$6,8,0)),IF(VLOOKUP(I1183,$C$3:$L$6,5,0)=Variables!$B$5,((YEAR(B1183)-YEAR($B$12))*12+MONTH(B1183)-MONTH($B$12)),((YEAR(B1183)-YEAR(VLOOKUP(I1183,$C$3:$L$6,8,0)))*12+MONTH(B1183)-MONTH(VLOOKUP(I1183,$C$3:$L$6,8,0))))*VLOOKUP(I1183,$C$3:$L$6,7,0),0)),""),"")</f>
        <v/>
      </c>
      <c r="L1183" s="29" t="str">
        <f t="shared" ca="1" si="104"/>
        <v/>
      </c>
      <c r="M1183" s="10"/>
      <c r="N1183" s="10"/>
    </row>
    <row r="1184" spans="1:14" x14ac:dyDescent="0.25">
      <c r="A1184" s="10"/>
      <c r="B1184" s="14" t="str">
        <f t="shared" ca="1" si="105"/>
        <v/>
      </c>
      <c r="C1184" s="14" t="str">
        <f ca="1">IF(I1183&lt;&gt;Variables!$B$1,IF(H1183&lt;&gt;0,C1183,I1183),"")</f>
        <v/>
      </c>
      <c r="D1184" s="29" t="str">
        <f t="shared" ca="1" si="102"/>
        <v/>
      </c>
      <c r="E1184" s="29" t="str">
        <f t="shared" ca="1" si="103"/>
        <v/>
      </c>
      <c r="F1184" s="29" t="str">
        <f ca="1">IF(C1184&lt;&gt;"",IF(OR(VLOOKUP(C1184,$C$3:$L$6,5,0)=Variables!$B$5,B1184&gt;VLOOKUP(C1184,$C$3:$L$6,8,0)),-D1184*VLOOKUP(C1184,$C$3:$L$6,6,0)/12,0),"")</f>
        <v/>
      </c>
      <c r="G1184" s="29" t="str">
        <f ca="1">IF(I1184&lt;&gt;Variables!$B$1,IF(C1184&lt;&gt;"",$I$9-E1184-F1184,""),-D1184)</f>
        <v/>
      </c>
      <c r="H1184" s="29" t="str">
        <f t="shared" ca="1" si="106"/>
        <v/>
      </c>
      <c r="I1184" s="31" t="str">
        <f ca="1">IF(C1184&lt;&gt;"",IF(D1184+$I$9-E1184-F1184&gt;=0,IF(ISERROR(INDEX($C$3:$C$6,MATCH(C1184,$C$3:$C$6,0)+1,0)),Variables!$B$1,INDEX($C$3:$C$6,MATCH(C1184,$C$3:$C$6,0)+1,0)),""),"")</f>
        <v/>
      </c>
      <c r="J1184" s="29" t="str">
        <f ca="1">IF(ISERROR(VLOOKUP(I1184,$C$3:$L$6,5,0)),"",IF(OR(VLOOKUP(I1184,$C$3:$L$6,5,0)=Variables!$B$5,B1184&gt;VLOOKUP(I1184,$C$3:$L$6,8,0)),IF(VLOOKUP(I1184,$C$3:$L$6,5,0)=Variables!$B$5,((YEAR(B1184)-YEAR($B$12))*12+MONTH(B1184)-MONTH($B$12)),((YEAR(B1184)-YEAR(VLOOKUP(I1184,$C$3:$L$6,8,0)))*12+MONTH(B1184)-MONTH(VLOOKUP(I1184,$C$3:$L$6,8,0))))*(VLOOKUP(I1184,$C$3:$L$6,10,0)*VLOOKUP(I1184,$C$3:$L$6,6,0)/12),0))</f>
        <v/>
      </c>
      <c r="K1184" s="29" t="str">
        <f ca="1">IF(C1184&lt;&gt;"",IF(I1184&lt;&gt;"",IF(ISERROR(VLOOKUP(I1184,$C$3:$L$6,10,0)),"",VLOOKUP(I1184,$C$3:$L$6,10,0)+J1184+IF(OR(VLOOKUP(I1184,$C$3:$L$6,5,0)=Variables!$B$5,B1184&gt;VLOOKUP(I1184,$C$3:$L$6,8,0)),IF(VLOOKUP(I1184,$C$3:$L$6,5,0)=Variables!$B$5,((YEAR(B1184)-YEAR($B$12))*12+MONTH(B1184)-MONTH($B$12)),((YEAR(B1184)-YEAR(VLOOKUP(I1184,$C$3:$L$6,8,0)))*12+MONTH(B1184)-MONTH(VLOOKUP(I1184,$C$3:$L$6,8,0))))*VLOOKUP(I1184,$C$3:$L$6,7,0),0)),""),"")</f>
        <v/>
      </c>
      <c r="L1184" s="29" t="str">
        <f t="shared" ca="1" si="104"/>
        <v/>
      </c>
      <c r="M1184" s="10"/>
      <c r="N1184" s="10"/>
    </row>
    <row r="1185" spans="1:14" x14ac:dyDescent="0.25">
      <c r="A1185" s="10"/>
      <c r="B1185" s="14" t="str">
        <f t="shared" ca="1" si="105"/>
        <v/>
      </c>
      <c r="C1185" s="14" t="str">
        <f ca="1">IF(I1184&lt;&gt;Variables!$B$1,IF(H1184&lt;&gt;0,C1184,I1184),"")</f>
        <v/>
      </c>
      <c r="D1185" s="29" t="str">
        <f t="shared" ca="1" si="102"/>
        <v/>
      </c>
      <c r="E1185" s="29" t="str">
        <f t="shared" ca="1" si="103"/>
        <v/>
      </c>
      <c r="F1185" s="29" t="str">
        <f ca="1">IF(C1185&lt;&gt;"",IF(OR(VLOOKUP(C1185,$C$3:$L$6,5,0)=Variables!$B$5,B1185&gt;VLOOKUP(C1185,$C$3:$L$6,8,0)),-D1185*VLOOKUP(C1185,$C$3:$L$6,6,0)/12,0),"")</f>
        <v/>
      </c>
      <c r="G1185" s="29" t="str">
        <f ca="1">IF(I1185&lt;&gt;Variables!$B$1,IF(C1185&lt;&gt;"",$I$9-E1185-F1185,""),-D1185)</f>
        <v/>
      </c>
      <c r="H1185" s="29" t="str">
        <f t="shared" ca="1" si="106"/>
        <v/>
      </c>
      <c r="I1185" s="31" t="str">
        <f ca="1">IF(C1185&lt;&gt;"",IF(D1185+$I$9-E1185-F1185&gt;=0,IF(ISERROR(INDEX($C$3:$C$6,MATCH(C1185,$C$3:$C$6,0)+1,0)),Variables!$B$1,INDEX($C$3:$C$6,MATCH(C1185,$C$3:$C$6,0)+1,0)),""),"")</f>
        <v/>
      </c>
      <c r="J1185" s="29" t="str">
        <f ca="1">IF(ISERROR(VLOOKUP(I1185,$C$3:$L$6,5,0)),"",IF(OR(VLOOKUP(I1185,$C$3:$L$6,5,0)=Variables!$B$5,B1185&gt;VLOOKUP(I1185,$C$3:$L$6,8,0)),IF(VLOOKUP(I1185,$C$3:$L$6,5,0)=Variables!$B$5,((YEAR(B1185)-YEAR($B$12))*12+MONTH(B1185)-MONTH($B$12)),((YEAR(B1185)-YEAR(VLOOKUP(I1185,$C$3:$L$6,8,0)))*12+MONTH(B1185)-MONTH(VLOOKUP(I1185,$C$3:$L$6,8,0))))*(VLOOKUP(I1185,$C$3:$L$6,10,0)*VLOOKUP(I1185,$C$3:$L$6,6,0)/12),0))</f>
        <v/>
      </c>
      <c r="K1185" s="29" t="str">
        <f ca="1">IF(C1185&lt;&gt;"",IF(I1185&lt;&gt;"",IF(ISERROR(VLOOKUP(I1185,$C$3:$L$6,10,0)),"",VLOOKUP(I1185,$C$3:$L$6,10,0)+J1185+IF(OR(VLOOKUP(I1185,$C$3:$L$6,5,0)=Variables!$B$5,B1185&gt;VLOOKUP(I1185,$C$3:$L$6,8,0)),IF(VLOOKUP(I1185,$C$3:$L$6,5,0)=Variables!$B$5,((YEAR(B1185)-YEAR($B$12))*12+MONTH(B1185)-MONTH($B$12)),((YEAR(B1185)-YEAR(VLOOKUP(I1185,$C$3:$L$6,8,0)))*12+MONTH(B1185)-MONTH(VLOOKUP(I1185,$C$3:$L$6,8,0))))*VLOOKUP(I1185,$C$3:$L$6,7,0),0)),""),"")</f>
        <v/>
      </c>
      <c r="L1185" s="29" t="str">
        <f t="shared" ca="1" si="104"/>
        <v/>
      </c>
      <c r="M1185" s="10"/>
      <c r="N1185" s="10"/>
    </row>
    <row r="1186" spans="1:14" x14ac:dyDescent="0.25">
      <c r="A1186" s="10"/>
      <c r="B1186" s="14" t="str">
        <f t="shared" ca="1" si="105"/>
        <v/>
      </c>
      <c r="C1186" s="14" t="str">
        <f ca="1">IF(I1185&lt;&gt;Variables!$B$1,IF(H1185&lt;&gt;0,C1185,I1185),"")</f>
        <v/>
      </c>
      <c r="D1186" s="29" t="str">
        <f t="shared" ca="1" si="102"/>
        <v/>
      </c>
      <c r="E1186" s="29" t="str">
        <f t="shared" ca="1" si="103"/>
        <v/>
      </c>
      <c r="F1186" s="29" t="str">
        <f ca="1">IF(C1186&lt;&gt;"",IF(OR(VLOOKUP(C1186,$C$3:$L$6,5,0)=Variables!$B$5,B1186&gt;VLOOKUP(C1186,$C$3:$L$6,8,0)),-D1186*VLOOKUP(C1186,$C$3:$L$6,6,0)/12,0),"")</f>
        <v/>
      </c>
      <c r="G1186" s="29" t="str">
        <f ca="1">IF(I1186&lt;&gt;Variables!$B$1,IF(C1186&lt;&gt;"",$I$9-E1186-F1186,""),-D1186)</f>
        <v/>
      </c>
      <c r="H1186" s="29" t="str">
        <f t="shared" ca="1" si="106"/>
        <v/>
      </c>
      <c r="I1186" s="31" t="str">
        <f ca="1">IF(C1186&lt;&gt;"",IF(D1186+$I$9-E1186-F1186&gt;=0,IF(ISERROR(INDEX($C$3:$C$6,MATCH(C1186,$C$3:$C$6,0)+1,0)),Variables!$B$1,INDEX($C$3:$C$6,MATCH(C1186,$C$3:$C$6,0)+1,0)),""),"")</f>
        <v/>
      </c>
      <c r="J1186" s="29" t="str">
        <f ca="1">IF(ISERROR(VLOOKUP(I1186,$C$3:$L$6,5,0)),"",IF(OR(VLOOKUP(I1186,$C$3:$L$6,5,0)=Variables!$B$5,B1186&gt;VLOOKUP(I1186,$C$3:$L$6,8,0)),IF(VLOOKUP(I1186,$C$3:$L$6,5,0)=Variables!$B$5,((YEAR(B1186)-YEAR($B$12))*12+MONTH(B1186)-MONTH($B$12)),((YEAR(B1186)-YEAR(VLOOKUP(I1186,$C$3:$L$6,8,0)))*12+MONTH(B1186)-MONTH(VLOOKUP(I1186,$C$3:$L$6,8,0))))*(VLOOKUP(I1186,$C$3:$L$6,10,0)*VLOOKUP(I1186,$C$3:$L$6,6,0)/12),0))</f>
        <v/>
      </c>
      <c r="K1186" s="29" t="str">
        <f ca="1">IF(C1186&lt;&gt;"",IF(I1186&lt;&gt;"",IF(ISERROR(VLOOKUP(I1186,$C$3:$L$6,10,0)),"",VLOOKUP(I1186,$C$3:$L$6,10,0)+J1186+IF(OR(VLOOKUP(I1186,$C$3:$L$6,5,0)=Variables!$B$5,B1186&gt;VLOOKUP(I1186,$C$3:$L$6,8,0)),IF(VLOOKUP(I1186,$C$3:$L$6,5,0)=Variables!$B$5,((YEAR(B1186)-YEAR($B$12))*12+MONTH(B1186)-MONTH($B$12)),((YEAR(B1186)-YEAR(VLOOKUP(I1186,$C$3:$L$6,8,0)))*12+MONTH(B1186)-MONTH(VLOOKUP(I1186,$C$3:$L$6,8,0))))*VLOOKUP(I1186,$C$3:$L$6,7,0),0)),""),"")</f>
        <v/>
      </c>
      <c r="L1186" s="29" t="str">
        <f t="shared" ca="1" si="104"/>
        <v/>
      </c>
      <c r="M1186" s="10"/>
      <c r="N1186" s="10"/>
    </row>
    <row r="1187" spans="1:14" x14ac:dyDescent="0.25">
      <c r="A1187" s="10"/>
      <c r="B1187" s="14" t="str">
        <f t="shared" ca="1" si="105"/>
        <v/>
      </c>
      <c r="C1187" s="14" t="str">
        <f ca="1">IF(I1186&lt;&gt;Variables!$B$1,IF(H1186&lt;&gt;0,C1186,I1186),"")</f>
        <v/>
      </c>
      <c r="D1187" s="29" t="str">
        <f t="shared" ca="1" si="102"/>
        <v/>
      </c>
      <c r="E1187" s="29" t="str">
        <f t="shared" ca="1" si="103"/>
        <v/>
      </c>
      <c r="F1187" s="29" t="str">
        <f ca="1">IF(C1187&lt;&gt;"",IF(OR(VLOOKUP(C1187,$C$3:$L$6,5,0)=Variables!$B$5,B1187&gt;VLOOKUP(C1187,$C$3:$L$6,8,0)),-D1187*VLOOKUP(C1187,$C$3:$L$6,6,0)/12,0),"")</f>
        <v/>
      </c>
      <c r="G1187" s="29" t="str">
        <f ca="1">IF(I1187&lt;&gt;Variables!$B$1,IF(C1187&lt;&gt;"",$I$9-E1187-F1187,""),-D1187)</f>
        <v/>
      </c>
      <c r="H1187" s="29" t="str">
        <f t="shared" ca="1" si="106"/>
        <v/>
      </c>
      <c r="I1187" s="31" t="str">
        <f ca="1">IF(C1187&lt;&gt;"",IF(D1187+$I$9-E1187-F1187&gt;=0,IF(ISERROR(INDEX($C$3:$C$6,MATCH(C1187,$C$3:$C$6,0)+1,0)),Variables!$B$1,INDEX($C$3:$C$6,MATCH(C1187,$C$3:$C$6,0)+1,0)),""),"")</f>
        <v/>
      </c>
      <c r="J1187" s="29" t="str">
        <f ca="1">IF(ISERROR(VLOOKUP(I1187,$C$3:$L$6,5,0)),"",IF(OR(VLOOKUP(I1187,$C$3:$L$6,5,0)=Variables!$B$5,B1187&gt;VLOOKUP(I1187,$C$3:$L$6,8,0)),IF(VLOOKUP(I1187,$C$3:$L$6,5,0)=Variables!$B$5,((YEAR(B1187)-YEAR($B$12))*12+MONTH(B1187)-MONTH($B$12)),((YEAR(B1187)-YEAR(VLOOKUP(I1187,$C$3:$L$6,8,0)))*12+MONTH(B1187)-MONTH(VLOOKUP(I1187,$C$3:$L$6,8,0))))*(VLOOKUP(I1187,$C$3:$L$6,10,0)*VLOOKUP(I1187,$C$3:$L$6,6,0)/12),0))</f>
        <v/>
      </c>
      <c r="K1187" s="29" t="str">
        <f ca="1">IF(C1187&lt;&gt;"",IF(I1187&lt;&gt;"",IF(ISERROR(VLOOKUP(I1187,$C$3:$L$6,10,0)),"",VLOOKUP(I1187,$C$3:$L$6,10,0)+J1187+IF(OR(VLOOKUP(I1187,$C$3:$L$6,5,0)=Variables!$B$5,B1187&gt;VLOOKUP(I1187,$C$3:$L$6,8,0)),IF(VLOOKUP(I1187,$C$3:$L$6,5,0)=Variables!$B$5,((YEAR(B1187)-YEAR($B$12))*12+MONTH(B1187)-MONTH($B$12)),((YEAR(B1187)-YEAR(VLOOKUP(I1187,$C$3:$L$6,8,0)))*12+MONTH(B1187)-MONTH(VLOOKUP(I1187,$C$3:$L$6,8,0))))*VLOOKUP(I1187,$C$3:$L$6,7,0),0)),""),"")</f>
        <v/>
      </c>
      <c r="L1187" s="29" t="str">
        <f t="shared" ca="1" si="104"/>
        <v/>
      </c>
      <c r="M1187" s="10"/>
      <c r="N1187" s="10"/>
    </row>
    <row r="1188" spans="1:14" x14ac:dyDescent="0.25">
      <c r="A1188" s="10"/>
      <c r="B1188" s="14" t="str">
        <f t="shared" ca="1" si="105"/>
        <v/>
      </c>
      <c r="C1188" s="14" t="str">
        <f ca="1">IF(I1187&lt;&gt;Variables!$B$1,IF(H1187&lt;&gt;0,C1187,I1187),"")</f>
        <v/>
      </c>
      <c r="D1188" s="29" t="str">
        <f t="shared" ca="1" si="102"/>
        <v/>
      </c>
      <c r="E1188" s="29" t="str">
        <f t="shared" ca="1" si="103"/>
        <v/>
      </c>
      <c r="F1188" s="29" t="str">
        <f ca="1">IF(C1188&lt;&gt;"",IF(OR(VLOOKUP(C1188,$C$3:$L$6,5,0)=Variables!$B$5,B1188&gt;VLOOKUP(C1188,$C$3:$L$6,8,0)),-D1188*VLOOKUP(C1188,$C$3:$L$6,6,0)/12,0),"")</f>
        <v/>
      </c>
      <c r="G1188" s="29" t="str">
        <f ca="1">IF(I1188&lt;&gt;Variables!$B$1,IF(C1188&lt;&gt;"",$I$9-E1188-F1188,""),-D1188)</f>
        <v/>
      </c>
      <c r="H1188" s="29" t="str">
        <f t="shared" ca="1" si="106"/>
        <v/>
      </c>
      <c r="I1188" s="31" t="str">
        <f ca="1">IF(C1188&lt;&gt;"",IF(D1188+$I$9-E1188-F1188&gt;=0,IF(ISERROR(INDEX($C$3:$C$6,MATCH(C1188,$C$3:$C$6,0)+1,0)),Variables!$B$1,INDEX($C$3:$C$6,MATCH(C1188,$C$3:$C$6,0)+1,0)),""),"")</f>
        <v/>
      </c>
      <c r="J1188" s="29" t="str">
        <f ca="1">IF(ISERROR(VLOOKUP(I1188,$C$3:$L$6,5,0)),"",IF(OR(VLOOKUP(I1188,$C$3:$L$6,5,0)=Variables!$B$5,B1188&gt;VLOOKUP(I1188,$C$3:$L$6,8,0)),IF(VLOOKUP(I1188,$C$3:$L$6,5,0)=Variables!$B$5,((YEAR(B1188)-YEAR($B$12))*12+MONTH(B1188)-MONTH($B$12)),((YEAR(B1188)-YEAR(VLOOKUP(I1188,$C$3:$L$6,8,0)))*12+MONTH(B1188)-MONTH(VLOOKUP(I1188,$C$3:$L$6,8,0))))*(VLOOKUP(I1188,$C$3:$L$6,10,0)*VLOOKUP(I1188,$C$3:$L$6,6,0)/12),0))</f>
        <v/>
      </c>
      <c r="K1188" s="29" t="str">
        <f ca="1">IF(C1188&lt;&gt;"",IF(I1188&lt;&gt;"",IF(ISERROR(VLOOKUP(I1188,$C$3:$L$6,10,0)),"",VLOOKUP(I1188,$C$3:$L$6,10,0)+J1188+IF(OR(VLOOKUP(I1188,$C$3:$L$6,5,0)=Variables!$B$5,B1188&gt;VLOOKUP(I1188,$C$3:$L$6,8,0)),IF(VLOOKUP(I1188,$C$3:$L$6,5,0)=Variables!$B$5,((YEAR(B1188)-YEAR($B$12))*12+MONTH(B1188)-MONTH($B$12)),((YEAR(B1188)-YEAR(VLOOKUP(I1188,$C$3:$L$6,8,0)))*12+MONTH(B1188)-MONTH(VLOOKUP(I1188,$C$3:$L$6,8,0))))*VLOOKUP(I1188,$C$3:$L$6,7,0),0)),""),"")</f>
        <v/>
      </c>
      <c r="L1188" s="29" t="str">
        <f t="shared" ca="1" si="104"/>
        <v/>
      </c>
      <c r="M1188" s="10"/>
      <c r="N1188" s="10"/>
    </row>
    <row r="1189" spans="1:14" x14ac:dyDescent="0.25">
      <c r="A1189" s="10"/>
      <c r="B1189" s="14" t="str">
        <f t="shared" ca="1" si="105"/>
        <v/>
      </c>
      <c r="C1189" s="14" t="str">
        <f ca="1">IF(I1188&lt;&gt;Variables!$B$1,IF(H1188&lt;&gt;0,C1188,I1188),"")</f>
        <v/>
      </c>
      <c r="D1189" s="29" t="str">
        <f t="shared" ca="1" si="102"/>
        <v/>
      </c>
      <c r="E1189" s="29" t="str">
        <f t="shared" ca="1" si="103"/>
        <v/>
      </c>
      <c r="F1189" s="29" t="str">
        <f ca="1">IF(C1189&lt;&gt;"",IF(OR(VLOOKUP(C1189,$C$3:$L$6,5,0)=Variables!$B$5,B1189&gt;VLOOKUP(C1189,$C$3:$L$6,8,0)),-D1189*VLOOKUP(C1189,$C$3:$L$6,6,0)/12,0),"")</f>
        <v/>
      </c>
      <c r="G1189" s="29" t="str">
        <f ca="1">IF(I1189&lt;&gt;Variables!$B$1,IF(C1189&lt;&gt;"",$I$9-E1189-F1189,""),-D1189)</f>
        <v/>
      </c>
      <c r="H1189" s="29" t="str">
        <f t="shared" ca="1" si="106"/>
        <v/>
      </c>
      <c r="I1189" s="31" t="str">
        <f ca="1">IF(C1189&lt;&gt;"",IF(D1189+$I$9-E1189-F1189&gt;=0,IF(ISERROR(INDEX($C$3:$C$6,MATCH(C1189,$C$3:$C$6,0)+1,0)),Variables!$B$1,INDEX($C$3:$C$6,MATCH(C1189,$C$3:$C$6,0)+1,0)),""),"")</f>
        <v/>
      </c>
      <c r="J1189" s="29" t="str">
        <f ca="1">IF(ISERROR(VLOOKUP(I1189,$C$3:$L$6,5,0)),"",IF(OR(VLOOKUP(I1189,$C$3:$L$6,5,0)=Variables!$B$5,B1189&gt;VLOOKUP(I1189,$C$3:$L$6,8,0)),IF(VLOOKUP(I1189,$C$3:$L$6,5,0)=Variables!$B$5,((YEAR(B1189)-YEAR($B$12))*12+MONTH(B1189)-MONTH($B$12)),((YEAR(B1189)-YEAR(VLOOKUP(I1189,$C$3:$L$6,8,0)))*12+MONTH(B1189)-MONTH(VLOOKUP(I1189,$C$3:$L$6,8,0))))*(VLOOKUP(I1189,$C$3:$L$6,10,0)*VLOOKUP(I1189,$C$3:$L$6,6,0)/12),0))</f>
        <v/>
      </c>
      <c r="K1189" s="29" t="str">
        <f ca="1">IF(C1189&lt;&gt;"",IF(I1189&lt;&gt;"",IF(ISERROR(VLOOKUP(I1189,$C$3:$L$6,10,0)),"",VLOOKUP(I1189,$C$3:$L$6,10,0)+J1189+IF(OR(VLOOKUP(I1189,$C$3:$L$6,5,0)=Variables!$B$5,B1189&gt;VLOOKUP(I1189,$C$3:$L$6,8,0)),IF(VLOOKUP(I1189,$C$3:$L$6,5,0)=Variables!$B$5,((YEAR(B1189)-YEAR($B$12))*12+MONTH(B1189)-MONTH($B$12)),((YEAR(B1189)-YEAR(VLOOKUP(I1189,$C$3:$L$6,8,0)))*12+MONTH(B1189)-MONTH(VLOOKUP(I1189,$C$3:$L$6,8,0))))*VLOOKUP(I1189,$C$3:$L$6,7,0),0)),""),"")</f>
        <v/>
      </c>
      <c r="L1189" s="29" t="str">
        <f t="shared" ca="1" si="104"/>
        <v/>
      </c>
      <c r="M1189" s="10"/>
      <c r="N1189" s="10"/>
    </row>
    <row r="1190" spans="1:14" x14ac:dyDescent="0.25">
      <c r="A1190" s="10"/>
      <c r="B1190" s="14" t="str">
        <f t="shared" ca="1" si="105"/>
        <v/>
      </c>
      <c r="C1190" s="14" t="str">
        <f ca="1">IF(I1189&lt;&gt;Variables!$B$1,IF(H1189&lt;&gt;0,C1189,I1189),"")</f>
        <v/>
      </c>
      <c r="D1190" s="29" t="str">
        <f t="shared" ca="1" si="102"/>
        <v/>
      </c>
      <c r="E1190" s="29" t="str">
        <f t="shared" ca="1" si="103"/>
        <v/>
      </c>
      <c r="F1190" s="29" t="str">
        <f ca="1">IF(C1190&lt;&gt;"",IF(OR(VLOOKUP(C1190,$C$3:$L$6,5,0)=Variables!$B$5,B1190&gt;VLOOKUP(C1190,$C$3:$L$6,8,0)),-D1190*VLOOKUP(C1190,$C$3:$L$6,6,0)/12,0),"")</f>
        <v/>
      </c>
      <c r="G1190" s="29" t="str">
        <f ca="1">IF(I1190&lt;&gt;Variables!$B$1,IF(C1190&lt;&gt;"",$I$9-E1190-F1190,""),-D1190)</f>
        <v/>
      </c>
      <c r="H1190" s="29" t="str">
        <f t="shared" ca="1" si="106"/>
        <v/>
      </c>
      <c r="I1190" s="31" t="str">
        <f ca="1">IF(C1190&lt;&gt;"",IF(D1190+$I$9-E1190-F1190&gt;=0,IF(ISERROR(INDEX($C$3:$C$6,MATCH(C1190,$C$3:$C$6,0)+1,0)),Variables!$B$1,INDEX($C$3:$C$6,MATCH(C1190,$C$3:$C$6,0)+1,0)),""),"")</f>
        <v/>
      </c>
      <c r="J1190" s="29" t="str">
        <f ca="1">IF(ISERROR(VLOOKUP(I1190,$C$3:$L$6,5,0)),"",IF(OR(VLOOKUP(I1190,$C$3:$L$6,5,0)=Variables!$B$5,B1190&gt;VLOOKUP(I1190,$C$3:$L$6,8,0)),IF(VLOOKUP(I1190,$C$3:$L$6,5,0)=Variables!$B$5,((YEAR(B1190)-YEAR($B$12))*12+MONTH(B1190)-MONTH($B$12)),((YEAR(B1190)-YEAR(VLOOKUP(I1190,$C$3:$L$6,8,0)))*12+MONTH(B1190)-MONTH(VLOOKUP(I1190,$C$3:$L$6,8,0))))*(VLOOKUP(I1190,$C$3:$L$6,10,0)*VLOOKUP(I1190,$C$3:$L$6,6,0)/12),0))</f>
        <v/>
      </c>
      <c r="K1190" s="29" t="str">
        <f ca="1">IF(C1190&lt;&gt;"",IF(I1190&lt;&gt;"",IF(ISERROR(VLOOKUP(I1190,$C$3:$L$6,10,0)),"",VLOOKUP(I1190,$C$3:$L$6,10,0)+J1190+IF(OR(VLOOKUP(I1190,$C$3:$L$6,5,0)=Variables!$B$5,B1190&gt;VLOOKUP(I1190,$C$3:$L$6,8,0)),IF(VLOOKUP(I1190,$C$3:$L$6,5,0)=Variables!$B$5,((YEAR(B1190)-YEAR($B$12))*12+MONTH(B1190)-MONTH($B$12)),((YEAR(B1190)-YEAR(VLOOKUP(I1190,$C$3:$L$6,8,0)))*12+MONTH(B1190)-MONTH(VLOOKUP(I1190,$C$3:$L$6,8,0))))*VLOOKUP(I1190,$C$3:$L$6,7,0),0)),""),"")</f>
        <v/>
      </c>
      <c r="L1190" s="29" t="str">
        <f t="shared" ca="1" si="104"/>
        <v/>
      </c>
      <c r="M1190" s="10"/>
      <c r="N1190" s="10"/>
    </row>
    <row r="1191" spans="1:14" x14ac:dyDescent="0.25">
      <c r="A1191" s="10"/>
      <c r="B1191" s="14" t="str">
        <f t="shared" ca="1" si="105"/>
        <v/>
      </c>
      <c r="C1191" s="14" t="str">
        <f ca="1">IF(I1190&lt;&gt;Variables!$B$1,IF(H1190&lt;&gt;0,C1190,I1190),"")</f>
        <v/>
      </c>
      <c r="D1191" s="29" t="str">
        <f t="shared" ca="1" si="102"/>
        <v/>
      </c>
      <c r="E1191" s="29" t="str">
        <f t="shared" ca="1" si="103"/>
        <v/>
      </c>
      <c r="F1191" s="29" t="str">
        <f ca="1">IF(C1191&lt;&gt;"",IF(OR(VLOOKUP(C1191,$C$3:$L$6,5,0)=Variables!$B$5,B1191&gt;VLOOKUP(C1191,$C$3:$L$6,8,0)),-D1191*VLOOKUP(C1191,$C$3:$L$6,6,0)/12,0),"")</f>
        <v/>
      </c>
      <c r="G1191" s="29" t="str">
        <f ca="1">IF(I1191&lt;&gt;Variables!$B$1,IF(C1191&lt;&gt;"",$I$9-E1191-F1191,""),-D1191)</f>
        <v/>
      </c>
      <c r="H1191" s="29" t="str">
        <f t="shared" ca="1" si="106"/>
        <v/>
      </c>
      <c r="I1191" s="31" t="str">
        <f ca="1">IF(C1191&lt;&gt;"",IF(D1191+$I$9-E1191-F1191&gt;=0,IF(ISERROR(INDEX($C$3:$C$6,MATCH(C1191,$C$3:$C$6,0)+1,0)),Variables!$B$1,INDEX($C$3:$C$6,MATCH(C1191,$C$3:$C$6,0)+1,0)),""),"")</f>
        <v/>
      </c>
      <c r="J1191" s="29" t="str">
        <f ca="1">IF(ISERROR(VLOOKUP(I1191,$C$3:$L$6,5,0)),"",IF(OR(VLOOKUP(I1191,$C$3:$L$6,5,0)=Variables!$B$5,B1191&gt;VLOOKUP(I1191,$C$3:$L$6,8,0)),IF(VLOOKUP(I1191,$C$3:$L$6,5,0)=Variables!$B$5,((YEAR(B1191)-YEAR($B$12))*12+MONTH(B1191)-MONTH($B$12)),((YEAR(B1191)-YEAR(VLOOKUP(I1191,$C$3:$L$6,8,0)))*12+MONTH(B1191)-MONTH(VLOOKUP(I1191,$C$3:$L$6,8,0))))*(VLOOKUP(I1191,$C$3:$L$6,10,0)*VLOOKUP(I1191,$C$3:$L$6,6,0)/12),0))</f>
        <v/>
      </c>
      <c r="K1191" s="29" t="str">
        <f ca="1">IF(C1191&lt;&gt;"",IF(I1191&lt;&gt;"",IF(ISERROR(VLOOKUP(I1191,$C$3:$L$6,10,0)),"",VLOOKUP(I1191,$C$3:$L$6,10,0)+J1191+IF(OR(VLOOKUP(I1191,$C$3:$L$6,5,0)=Variables!$B$5,B1191&gt;VLOOKUP(I1191,$C$3:$L$6,8,0)),IF(VLOOKUP(I1191,$C$3:$L$6,5,0)=Variables!$B$5,((YEAR(B1191)-YEAR($B$12))*12+MONTH(B1191)-MONTH($B$12)),((YEAR(B1191)-YEAR(VLOOKUP(I1191,$C$3:$L$6,8,0)))*12+MONTH(B1191)-MONTH(VLOOKUP(I1191,$C$3:$L$6,8,0))))*VLOOKUP(I1191,$C$3:$L$6,7,0),0)),""),"")</f>
        <v/>
      </c>
      <c r="L1191" s="29" t="str">
        <f t="shared" ca="1" si="104"/>
        <v/>
      </c>
      <c r="M1191" s="10"/>
      <c r="N1191" s="10"/>
    </row>
    <row r="1192" spans="1:14" x14ac:dyDescent="0.25">
      <c r="A1192" s="10"/>
      <c r="B1192" s="14" t="str">
        <f t="shared" ca="1" si="105"/>
        <v/>
      </c>
      <c r="C1192" s="14" t="str">
        <f ca="1">IF(I1191&lt;&gt;Variables!$B$1,IF(H1191&lt;&gt;0,C1191,I1191),"")</f>
        <v/>
      </c>
      <c r="D1192" s="29" t="str">
        <f t="shared" ca="1" si="102"/>
        <v/>
      </c>
      <c r="E1192" s="29" t="str">
        <f t="shared" ca="1" si="103"/>
        <v/>
      </c>
      <c r="F1192" s="29" t="str">
        <f ca="1">IF(C1192&lt;&gt;"",IF(OR(VLOOKUP(C1192,$C$3:$L$6,5,0)=Variables!$B$5,B1192&gt;VLOOKUP(C1192,$C$3:$L$6,8,0)),-D1192*VLOOKUP(C1192,$C$3:$L$6,6,0)/12,0),"")</f>
        <v/>
      </c>
      <c r="G1192" s="29" t="str">
        <f ca="1">IF(I1192&lt;&gt;Variables!$B$1,IF(C1192&lt;&gt;"",$I$9-E1192-F1192,""),-D1192)</f>
        <v/>
      </c>
      <c r="H1192" s="29" t="str">
        <f t="shared" ca="1" si="106"/>
        <v/>
      </c>
      <c r="I1192" s="31" t="str">
        <f ca="1">IF(C1192&lt;&gt;"",IF(D1192+$I$9-E1192-F1192&gt;=0,IF(ISERROR(INDEX($C$3:$C$6,MATCH(C1192,$C$3:$C$6,0)+1,0)),Variables!$B$1,INDEX($C$3:$C$6,MATCH(C1192,$C$3:$C$6,0)+1,0)),""),"")</f>
        <v/>
      </c>
      <c r="J1192" s="29" t="str">
        <f ca="1">IF(ISERROR(VLOOKUP(I1192,$C$3:$L$6,5,0)),"",IF(OR(VLOOKUP(I1192,$C$3:$L$6,5,0)=Variables!$B$5,B1192&gt;VLOOKUP(I1192,$C$3:$L$6,8,0)),IF(VLOOKUP(I1192,$C$3:$L$6,5,0)=Variables!$B$5,((YEAR(B1192)-YEAR($B$12))*12+MONTH(B1192)-MONTH($B$12)),((YEAR(B1192)-YEAR(VLOOKUP(I1192,$C$3:$L$6,8,0)))*12+MONTH(B1192)-MONTH(VLOOKUP(I1192,$C$3:$L$6,8,0))))*(VLOOKUP(I1192,$C$3:$L$6,10,0)*VLOOKUP(I1192,$C$3:$L$6,6,0)/12),0))</f>
        <v/>
      </c>
      <c r="K1192" s="29" t="str">
        <f ca="1">IF(C1192&lt;&gt;"",IF(I1192&lt;&gt;"",IF(ISERROR(VLOOKUP(I1192,$C$3:$L$6,10,0)),"",VLOOKUP(I1192,$C$3:$L$6,10,0)+J1192+IF(OR(VLOOKUP(I1192,$C$3:$L$6,5,0)=Variables!$B$5,B1192&gt;VLOOKUP(I1192,$C$3:$L$6,8,0)),IF(VLOOKUP(I1192,$C$3:$L$6,5,0)=Variables!$B$5,((YEAR(B1192)-YEAR($B$12))*12+MONTH(B1192)-MONTH($B$12)),((YEAR(B1192)-YEAR(VLOOKUP(I1192,$C$3:$L$6,8,0)))*12+MONTH(B1192)-MONTH(VLOOKUP(I1192,$C$3:$L$6,8,0))))*VLOOKUP(I1192,$C$3:$L$6,7,0),0)),""),"")</f>
        <v/>
      </c>
      <c r="L1192" s="29" t="str">
        <f t="shared" ca="1" si="104"/>
        <v/>
      </c>
      <c r="M1192" s="10"/>
      <c r="N1192" s="10"/>
    </row>
    <row r="1193" spans="1:14" x14ac:dyDescent="0.25">
      <c r="A1193" s="10"/>
      <c r="B1193" s="14" t="str">
        <f t="shared" ca="1" si="105"/>
        <v/>
      </c>
      <c r="C1193" s="14" t="str">
        <f ca="1">IF(I1192&lt;&gt;Variables!$B$1,IF(H1192&lt;&gt;0,C1192,I1192),"")</f>
        <v/>
      </c>
      <c r="D1193" s="29" t="str">
        <f t="shared" ca="1" si="102"/>
        <v/>
      </c>
      <c r="E1193" s="29" t="str">
        <f t="shared" ca="1" si="103"/>
        <v/>
      </c>
      <c r="F1193" s="29" t="str">
        <f ca="1">IF(C1193&lt;&gt;"",IF(OR(VLOOKUP(C1193,$C$3:$L$6,5,0)=Variables!$B$5,B1193&gt;VLOOKUP(C1193,$C$3:$L$6,8,0)),-D1193*VLOOKUP(C1193,$C$3:$L$6,6,0)/12,0),"")</f>
        <v/>
      </c>
      <c r="G1193" s="29" t="str">
        <f ca="1">IF(I1193&lt;&gt;Variables!$B$1,IF(C1193&lt;&gt;"",$I$9-E1193-F1193,""),-D1193)</f>
        <v/>
      </c>
      <c r="H1193" s="29" t="str">
        <f t="shared" ca="1" si="106"/>
        <v/>
      </c>
      <c r="I1193" s="31" t="str">
        <f ca="1">IF(C1193&lt;&gt;"",IF(D1193+$I$9-E1193-F1193&gt;=0,IF(ISERROR(INDEX($C$3:$C$6,MATCH(C1193,$C$3:$C$6,0)+1,0)),Variables!$B$1,INDEX($C$3:$C$6,MATCH(C1193,$C$3:$C$6,0)+1,0)),""),"")</f>
        <v/>
      </c>
      <c r="J1193" s="29" t="str">
        <f ca="1">IF(ISERROR(VLOOKUP(I1193,$C$3:$L$6,5,0)),"",IF(OR(VLOOKUP(I1193,$C$3:$L$6,5,0)=Variables!$B$5,B1193&gt;VLOOKUP(I1193,$C$3:$L$6,8,0)),IF(VLOOKUP(I1193,$C$3:$L$6,5,0)=Variables!$B$5,((YEAR(B1193)-YEAR($B$12))*12+MONTH(B1193)-MONTH($B$12)),((YEAR(B1193)-YEAR(VLOOKUP(I1193,$C$3:$L$6,8,0)))*12+MONTH(B1193)-MONTH(VLOOKUP(I1193,$C$3:$L$6,8,0))))*(VLOOKUP(I1193,$C$3:$L$6,10,0)*VLOOKUP(I1193,$C$3:$L$6,6,0)/12),0))</f>
        <v/>
      </c>
      <c r="K1193" s="29" t="str">
        <f ca="1">IF(C1193&lt;&gt;"",IF(I1193&lt;&gt;"",IF(ISERROR(VLOOKUP(I1193,$C$3:$L$6,10,0)),"",VLOOKUP(I1193,$C$3:$L$6,10,0)+J1193+IF(OR(VLOOKUP(I1193,$C$3:$L$6,5,0)=Variables!$B$5,B1193&gt;VLOOKUP(I1193,$C$3:$L$6,8,0)),IF(VLOOKUP(I1193,$C$3:$L$6,5,0)=Variables!$B$5,((YEAR(B1193)-YEAR($B$12))*12+MONTH(B1193)-MONTH($B$12)),((YEAR(B1193)-YEAR(VLOOKUP(I1193,$C$3:$L$6,8,0)))*12+MONTH(B1193)-MONTH(VLOOKUP(I1193,$C$3:$L$6,8,0))))*VLOOKUP(I1193,$C$3:$L$6,7,0),0)),""),"")</f>
        <v/>
      </c>
      <c r="L1193" s="29" t="str">
        <f t="shared" ca="1" si="104"/>
        <v/>
      </c>
      <c r="M1193" s="10"/>
      <c r="N1193" s="10"/>
    </row>
    <row r="1194" spans="1:14" x14ac:dyDescent="0.25">
      <c r="A1194" s="10"/>
      <c r="B1194" s="14" t="str">
        <f t="shared" ca="1" si="105"/>
        <v/>
      </c>
      <c r="C1194" s="14" t="str">
        <f ca="1">IF(I1193&lt;&gt;Variables!$B$1,IF(H1193&lt;&gt;0,C1193,I1193),"")</f>
        <v/>
      </c>
      <c r="D1194" s="29" t="str">
        <f t="shared" ca="1" si="102"/>
        <v/>
      </c>
      <c r="E1194" s="29" t="str">
        <f t="shared" ca="1" si="103"/>
        <v/>
      </c>
      <c r="F1194" s="29" t="str">
        <f ca="1">IF(C1194&lt;&gt;"",IF(OR(VLOOKUP(C1194,$C$3:$L$6,5,0)=Variables!$B$5,B1194&gt;VLOOKUP(C1194,$C$3:$L$6,8,0)),-D1194*VLOOKUP(C1194,$C$3:$L$6,6,0)/12,0),"")</f>
        <v/>
      </c>
      <c r="G1194" s="29" t="str">
        <f ca="1">IF(I1194&lt;&gt;Variables!$B$1,IF(C1194&lt;&gt;"",$I$9-E1194-F1194,""),-D1194)</f>
        <v/>
      </c>
      <c r="H1194" s="29" t="str">
        <f t="shared" ca="1" si="106"/>
        <v/>
      </c>
      <c r="I1194" s="31" t="str">
        <f ca="1">IF(C1194&lt;&gt;"",IF(D1194+$I$9-E1194-F1194&gt;=0,IF(ISERROR(INDEX($C$3:$C$6,MATCH(C1194,$C$3:$C$6,0)+1,0)),Variables!$B$1,INDEX($C$3:$C$6,MATCH(C1194,$C$3:$C$6,0)+1,0)),""),"")</f>
        <v/>
      </c>
      <c r="J1194" s="29" t="str">
        <f ca="1">IF(ISERROR(VLOOKUP(I1194,$C$3:$L$6,5,0)),"",IF(OR(VLOOKUP(I1194,$C$3:$L$6,5,0)=Variables!$B$5,B1194&gt;VLOOKUP(I1194,$C$3:$L$6,8,0)),IF(VLOOKUP(I1194,$C$3:$L$6,5,0)=Variables!$B$5,((YEAR(B1194)-YEAR($B$12))*12+MONTH(B1194)-MONTH($B$12)),((YEAR(B1194)-YEAR(VLOOKUP(I1194,$C$3:$L$6,8,0)))*12+MONTH(B1194)-MONTH(VLOOKUP(I1194,$C$3:$L$6,8,0))))*(VLOOKUP(I1194,$C$3:$L$6,10,0)*VLOOKUP(I1194,$C$3:$L$6,6,0)/12),0))</f>
        <v/>
      </c>
      <c r="K1194" s="29" t="str">
        <f ca="1">IF(C1194&lt;&gt;"",IF(I1194&lt;&gt;"",IF(ISERROR(VLOOKUP(I1194,$C$3:$L$6,10,0)),"",VLOOKUP(I1194,$C$3:$L$6,10,0)+J1194+IF(OR(VLOOKUP(I1194,$C$3:$L$6,5,0)=Variables!$B$5,B1194&gt;VLOOKUP(I1194,$C$3:$L$6,8,0)),IF(VLOOKUP(I1194,$C$3:$L$6,5,0)=Variables!$B$5,((YEAR(B1194)-YEAR($B$12))*12+MONTH(B1194)-MONTH($B$12)),((YEAR(B1194)-YEAR(VLOOKUP(I1194,$C$3:$L$6,8,0)))*12+MONTH(B1194)-MONTH(VLOOKUP(I1194,$C$3:$L$6,8,0))))*VLOOKUP(I1194,$C$3:$L$6,7,0),0)),""),"")</f>
        <v/>
      </c>
      <c r="L1194" s="29" t="str">
        <f t="shared" ca="1" si="104"/>
        <v/>
      </c>
      <c r="M1194" s="10"/>
      <c r="N1194" s="10"/>
    </row>
    <row r="1195" spans="1:14" x14ac:dyDescent="0.25">
      <c r="A1195" s="10"/>
      <c r="B1195" s="14" t="str">
        <f t="shared" ca="1" si="105"/>
        <v/>
      </c>
      <c r="C1195" s="14" t="str">
        <f ca="1">IF(I1194&lt;&gt;Variables!$B$1,IF(H1194&lt;&gt;0,C1194,I1194),"")</f>
        <v/>
      </c>
      <c r="D1195" s="29" t="str">
        <f t="shared" ca="1" si="102"/>
        <v/>
      </c>
      <c r="E1195" s="29" t="str">
        <f t="shared" ca="1" si="103"/>
        <v/>
      </c>
      <c r="F1195" s="29" t="str">
        <f ca="1">IF(C1195&lt;&gt;"",IF(OR(VLOOKUP(C1195,$C$3:$L$6,5,0)=Variables!$B$5,B1195&gt;VLOOKUP(C1195,$C$3:$L$6,8,0)),-D1195*VLOOKUP(C1195,$C$3:$L$6,6,0)/12,0),"")</f>
        <v/>
      </c>
      <c r="G1195" s="29" t="str">
        <f ca="1">IF(I1195&lt;&gt;Variables!$B$1,IF(C1195&lt;&gt;"",$I$9-E1195-F1195,""),-D1195)</f>
        <v/>
      </c>
      <c r="H1195" s="29" t="str">
        <f t="shared" ca="1" si="106"/>
        <v/>
      </c>
      <c r="I1195" s="31" t="str">
        <f ca="1">IF(C1195&lt;&gt;"",IF(D1195+$I$9-E1195-F1195&gt;=0,IF(ISERROR(INDEX($C$3:$C$6,MATCH(C1195,$C$3:$C$6,0)+1,0)),Variables!$B$1,INDEX($C$3:$C$6,MATCH(C1195,$C$3:$C$6,0)+1,0)),""),"")</f>
        <v/>
      </c>
      <c r="J1195" s="29" t="str">
        <f ca="1">IF(ISERROR(VLOOKUP(I1195,$C$3:$L$6,5,0)),"",IF(OR(VLOOKUP(I1195,$C$3:$L$6,5,0)=Variables!$B$5,B1195&gt;VLOOKUP(I1195,$C$3:$L$6,8,0)),IF(VLOOKUP(I1195,$C$3:$L$6,5,0)=Variables!$B$5,((YEAR(B1195)-YEAR($B$12))*12+MONTH(B1195)-MONTH($B$12)),((YEAR(B1195)-YEAR(VLOOKUP(I1195,$C$3:$L$6,8,0)))*12+MONTH(B1195)-MONTH(VLOOKUP(I1195,$C$3:$L$6,8,0))))*(VLOOKUP(I1195,$C$3:$L$6,10,0)*VLOOKUP(I1195,$C$3:$L$6,6,0)/12),0))</f>
        <v/>
      </c>
      <c r="K1195" s="29" t="str">
        <f ca="1">IF(C1195&lt;&gt;"",IF(I1195&lt;&gt;"",IF(ISERROR(VLOOKUP(I1195,$C$3:$L$6,10,0)),"",VLOOKUP(I1195,$C$3:$L$6,10,0)+J1195+IF(OR(VLOOKUP(I1195,$C$3:$L$6,5,0)=Variables!$B$5,B1195&gt;VLOOKUP(I1195,$C$3:$L$6,8,0)),IF(VLOOKUP(I1195,$C$3:$L$6,5,0)=Variables!$B$5,((YEAR(B1195)-YEAR($B$12))*12+MONTH(B1195)-MONTH($B$12)),((YEAR(B1195)-YEAR(VLOOKUP(I1195,$C$3:$L$6,8,0)))*12+MONTH(B1195)-MONTH(VLOOKUP(I1195,$C$3:$L$6,8,0))))*VLOOKUP(I1195,$C$3:$L$6,7,0),0)),""),"")</f>
        <v/>
      </c>
      <c r="L1195" s="29" t="str">
        <f t="shared" ca="1" si="104"/>
        <v/>
      </c>
      <c r="M1195" s="10"/>
      <c r="N1195" s="10"/>
    </row>
    <row r="1196" spans="1:14" x14ac:dyDescent="0.25">
      <c r="A1196" s="10"/>
      <c r="B1196" s="14" t="str">
        <f t="shared" ca="1" si="105"/>
        <v/>
      </c>
      <c r="C1196" s="14" t="str">
        <f ca="1">IF(I1195&lt;&gt;Variables!$B$1,IF(H1195&lt;&gt;0,C1195,I1195),"")</f>
        <v/>
      </c>
      <c r="D1196" s="29" t="str">
        <f t="shared" ca="1" si="102"/>
        <v/>
      </c>
      <c r="E1196" s="29" t="str">
        <f t="shared" ca="1" si="103"/>
        <v/>
      </c>
      <c r="F1196" s="29" t="str">
        <f ca="1">IF(C1196&lt;&gt;"",IF(OR(VLOOKUP(C1196,$C$3:$L$6,5,0)=Variables!$B$5,B1196&gt;VLOOKUP(C1196,$C$3:$L$6,8,0)),-D1196*VLOOKUP(C1196,$C$3:$L$6,6,0)/12,0),"")</f>
        <v/>
      </c>
      <c r="G1196" s="29" t="str">
        <f ca="1">IF(I1196&lt;&gt;Variables!$B$1,IF(C1196&lt;&gt;"",$I$9-E1196-F1196,""),-D1196)</f>
        <v/>
      </c>
      <c r="H1196" s="29" t="str">
        <f t="shared" ca="1" si="106"/>
        <v/>
      </c>
      <c r="I1196" s="31" t="str">
        <f ca="1">IF(C1196&lt;&gt;"",IF(D1196+$I$9-E1196-F1196&gt;=0,IF(ISERROR(INDEX($C$3:$C$6,MATCH(C1196,$C$3:$C$6,0)+1,0)),Variables!$B$1,INDEX($C$3:$C$6,MATCH(C1196,$C$3:$C$6,0)+1,0)),""),"")</f>
        <v/>
      </c>
      <c r="J1196" s="29" t="str">
        <f ca="1">IF(ISERROR(VLOOKUP(I1196,$C$3:$L$6,5,0)),"",IF(OR(VLOOKUP(I1196,$C$3:$L$6,5,0)=Variables!$B$5,B1196&gt;VLOOKUP(I1196,$C$3:$L$6,8,0)),IF(VLOOKUP(I1196,$C$3:$L$6,5,0)=Variables!$B$5,((YEAR(B1196)-YEAR($B$12))*12+MONTH(B1196)-MONTH($B$12)),((YEAR(B1196)-YEAR(VLOOKUP(I1196,$C$3:$L$6,8,0)))*12+MONTH(B1196)-MONTH(VLOOKUP(I1196,$C$3:$L$6,8,0))))*(VLOOKUP(I1196,$C$3:$L$6,10,0)*VLOOKUP(I1196,$C$3:$L$6,6,0)/12),0))</f>
        <v/>
      </c>
      <c r="K1196" s="29" t="str">
        <f ca="1">IF(C1196&lt;&gt;"",IF(I1196&lt;&gt;"",IF(ISERROR(VLOOKUP(I1196,$C$3:$L$6,10,0)),"",VLOOKUP(I1196,$C$3:$L$6,10,0)+J1196+IF(OR(VLOOKUP(I1196,$C$3:$L$6,5,0)=Variables!$B$5,B1196&gt;VLOOKUP(I1196,$C$3:$L$6,8,0)),IF(VLOOKUP(I1196,$C$3:$L$6,5,0)=Variables!$B$5,((YEAR(B1196)-YEAR($B$12))*12+MONTH(B1196)-MONTH($B$12)),((YEAR(B1196)-YEAR(VLOOKUP(I1196,$C$3:$L$6,8,0)))*12+MONTH(B1196)-MONTH(VLOOKUP(I1196,$C$3:$L$6,8,0))))*VLOOKUP(I1196,$C$3:$L$6,7,0),0)),""),"")</f>
        <v/>
      </c>
      <c r="L1196" s="29" t="str">
        <f t="shared" ca="1" si="104"/>
        <v/>
      </c>
      <c r="M1196" s="10"/>
      <c r="N1196" s="10"/>
    </row>
    <row r="1197" spans="1:14" x14ac:dyDescent="0.25">
      <c r="A1197" s="10"/>
      <c r="B1197" s="14" t="str">
        <f t="shared" ca="1" si="105"/>
        <v/>
      </c>
      <c r="C1197" s="14" t="str">
        <f ca="1">IF(I1196&lt;&gt;Variables!$B$1,IF(H1196&lt;&gt;0,C1196,I1196),"")</f>
        <v/>
      </c>
      <c r="D1197" s="29" t="str">
        <f t="shared" ca="1" si="102"/>
        <v/>
      </c>
      <c r="E1197" s="29" t="str">
        <f t="shared" ca="1" si="103"/>
        <v/>
      </c>
      <c r="F1197" s="29" t="str">
        <f ca="1">IF(C1197&lt;&gt;"",IF(OR(VLOOKUP(C1197,$C$3:$L$6,5,0)=Variables!$B$5,B1197&gt;VLOOKUP(C1197,$C$3:$L$6,8,0)),-D1197*VLOOKUP(C1197,$C$3:$L$6,6,0)/12,0),"")</f>
        <v/>
      </c>
      <c r="G1197" s="29" t="str">
        <f ca="1">IF(I1197&lt;&gt;Variables!$B$1,IF(C1197&lt;&gt;"",$I$9-E1197-F1197,""),-D1197)</f>
        <v/>
      </c>
      <c r="H1197" s="29" t="str">
        <f t="shared" ca="1" si="106"/>
        <v/>
      </c>
      <c r="I1197" s="31" t="str">
        <f ca="1">IF(C1197&lt;&gt;"",IF(D1197+$I$9-E1197-F1197&gt;=0,IF(ISERROR(INDEX($C$3:$C$6,MATCH(C1197,$C$3:$C$6,0)+1,0)),Variables!$B$1,INDEX($C$3:$C$6,MATCH(C1197,$C$3:$C$6,0)+1,0)),""),"")</f>
        <v/>
      </c>
      <c r="J1197" s="29" t="str">
        <f ca="1">IF(ISERROR(VLOOKUP(I1197,$C$3:$L$6,5,0)),"",IF(OR(VLOOKUP(I1197,$C$3:$L$6,5,0)=Variables!$B$5,B1197&gt;VLOOKUP(I1197,$C$3:$L$6,8,0)),IF(VLOOKUP(I1197,$C$3:$L$6,5,0)=Variables!$B$5,((YEAR(B1197)-YEAR($B$12))*12+MONTH(B1197)-MONTH($B$12)),((YEAR(B1197)-YEAR(VLOOKUP(I1197,$C$3:$L$6,8,0)))*12+MONTH(B1197)-MONTH(VLOOKUP(I1197,$C$3:$L$6,8,0))))*(VLOOKUP(I1197,$C$3:$L$6,10,0)*VLOOKUP(I1197,$C$3:$L$6,6,0)/12),0))</f>
        <v/>
      </c>
      <c r="K1197" s="29" t="str">
        <f ca="1">IF(C1197&lt;&gt;"",IF(I1197&lt;&gt;"",IF(ISERROR(VLOOKUP(I1197,$C$3:$L$6,10,0)),"",VLOOKUP(I1197,$C$3:$L$6,10,0)+J1197+IF(OR(VLOOKUP(I1197,$C$3:$L$6,5,0)=Variables!$B$5,B1197&gt;VLOOKUP(I1197,$C$3:$L$6,8,0)),IF(VLOOKUP(I1197,$C$3:$L$6,5,0)=Variables!$B$5,((YEAR(B1197)-YEAR($B$12))*12+MONTH(B1197)-MONTH($B$12)),((YEAR(B1197)-YEAR(VLOOKUP(I1197,$C$3:$L$6,8,0)))*12+MONTH(B1197)-MONTH(VLOOKUP(I1197,$C$3:$L$6,8,0))))*VLOOKUP(I1197,$C$3:$L$6,7,0),0)),""),"")</f>
        <v/>
      </c>
      <c r="L1197" s="29" t="str">
        <f t="shared" ca="1" si="104"/>
        <v/>
      </c>
      <c r="M1197" s="10"/>
      <c r="N1197" s="10"/>
    </row>
    <row r="1198" spans="1:14" x14ac:dyDescent="0.25">
      <c r="A1198" s="10"/>
      <c r="B1198" s="14" t="str">
        <f t="shared" ca="1" si="105"/>
        <v/>
      </c>
      <c r="C1198" s="14" t="str">
        <f ca="1">IF(I1197&lt;&gt;Variables!$B$1,IF(H1197&lt;&gt;0,C1197,I1197),"")</f>
        <v/>
      </c>
      <c r="D1198" s="29" t="str">
        <f t="shared" ca="1" si="102"/>
        <v/>
      </c>
      <c r="E1198" s="29" t="str">
        <f t="shared" ca="1" si="103"/>
        <v/>
      </c>
      <c r="F1198" s="29" t="str">
        <f ca="1">IF(C1198&lt;&gt;"",IF(OR(VLOOKUP(C1198,$C$3:$L$6,5,0)=Variables!$B$5,B1198&gt;VLOOKUP(C1198,$C$3:$L$6,8,0)),-D1198*VLOOKUP(C1198,$C$3:$L$6,6,0)/12,0),"")</f>
        <v/>
      </c>
      <c r="G1198" s="29" t="str">
        <f ca="1">IF(I1198&lt;&gt;Variables!$B$1,IF(C1198&lt;&gt;"",$I$9-E1198-F1198,""),-D1198)</f>
        <v/>
      </c>
      <c r="H1198" s="29" t="str">
        <f t="shared" ca="1" si="106"/>
        <v/>
      </c>
      <c r="I1198" s="31" t="str">
        <f ca="1">IF(C1198&lt;&gt;"",IF(D1198+$I$9-E1198-F1198&gt;=0,IF(ISERROR(INDEX($C$3:$C$6,MATCH(C1198,$C$3:$C$6,0)+1,0)),Variables!$B$1,INDEX($C$3:$C$6,MATCH(C1198,$C$3:$C$6,0)+1,0)),""),"")</f>
        <v/>
      </c>
      <c r="J1198" s="29" t="str">
        <f ca="1">IF(ISERROR(VLOOKUP(I1198,$C$3:$L$6,5,0)),"",IF(OR(VLOOKUP(I1198,$C$3:$L$6,5,0)=Variables!$B$5,B1198&gt;VLOOKUP(I1198,$C$3:$L$6,8,0)),IF(VLOOKUP(I1198,$C$3:$L$6,5,0)=Variables!$B$5,((YEAR(B1198)-YEAR($B$12))*12+MONTH(B1198)-MONTH($B$12)),((YEAR(B1198)-YEAR(VLOOKUP(I1198,$C$3:$L$6,8,0)))*12+MONTH(B1198)-MONTH(VLOOKUP(I1198,$C$3:$L$6,8,0))))*(VLOOKUP(I1198,$C$3:$L$6,10,0)*VLOOKUP(I1198,$C$3:$L$6,6,0)/12),0))</f>
        <v/>
      </c>
      <c r="K1198" s="29" t="str">
        <f ca="1">IF(C1198&lt;&gt;"",IF(I1198&lt;&gt;"",IF(ISERROR(VLOOKUP(I1198,$C$3:$L$6,10,0)),"",VLOOKUP(I1198,$C$3:$L$6,10,0)+J1198+IF(OR(VLOOKUP(I1198,$C$3:$L$6,5,0)=Variables!$B$5,B1198&gt;VLOOKUP(I1198,$C$3:$L$6,8,0)),IF(VLOOKUP(I1198,$C$3:$L$6,5,0)=Variables!$B$5,((YEAR(B1198)-YEAR($B$12))*12+MONTH(B1198)-MONTH($B$12)),((YEAR(B1198)-YEAR(VLOOKUP(I1198,$C$3:$L$6,8,0)))*12+MONTH(B1198)-MONTH(VLOOKUP(I1198,$C$3:$L$6,8,0))))*VLOOKUP(I1198,$C$3:$L$6,7,0),0)),""),"")</f>
        <v/>
      </c>
      <c r="L1198" s="29" t="str">
        <f t="shared" ca="1" si="104"/>
        <v/>
      </c>
      <c r="M1198" s="10"/>
      <c r="N1198" s="10"/>
    </row>
    <row r="1199" spans="1:14" x14ac:dyDescent="0.25">
      <c r="A1199" s="10"/>
      <c r="B1199" s="14" t="str">
        <f t="shared" ca="1" si="105"/>
        <v/>
      </c>
      <c r="C1199" s="14" t="str">
        <f ca="1">IF(I1198&lt;&gt;Variables!$B$1,IF(H1198&lt;&gt;0,C1198,I1198),"")</f>
        <v/>
      </c>
      <c r="D1199" s="29" t="str">
        <f t="shared" ca="1" si="102"/>
        <v/>
      </c>
      <c r="E1199" s="29" t="str">
        <f t="shared" ca="1" si="103"/>
        <v/>
      </c>
      <c r="F1199" s="29" t="str">
        <f ca="1">IF(C1199&lt;&gt;"",IF(OR(VLOOKUP(C1199,$C$3:$L$6,5,0)=Variables!$B$5,B1199&gt;VLOOKUP(C1199,$C$3:$L$6,8,0)),-D1199*VLOOKUP(C1199,$C$3:$L$6,6,0)/12,0),"")</f>
        <v/>
      </c>
      <c r="G1199" s="29" t="str">
        <f ca="1">IF(I1199&lt;&gt;Variables!$B$1,IF(C1199&lt;&gt;"",$I$9-E1199-F1199,""),-D1199)</f>
        <v/>
      </c>
      <c r="H1199" s="29" t="str">
        <f t="shared" ca="1" si="106"/>
        <v/>
      </c>
      <c r="I1199" s="31" t="str">
        <f ca="1">IF(C1199&lt;&gt;"",IF(D1199+$I$9-E1199-F1199&gt;=0,IF(ISERROR(INDEX($C$3:$C$6,MATCH(C1199,$C$3:$C$6,0)+1,0)),Variables!$B$1,INDEX($C$3:$C$6,MATCH(C1199,$C$3:$C$6,0)+1,0)),""),"")</f>
        <v/>
      </c>
      <c r="J1199" s="29" t="str">
        <f ca="1">IF(ISERROR(VLOOKUP(I1199,$C$3:$L$6,5,0)),"",IF(OR(VLOOKUP(I1199,$C$3:$L$6,5,0)=Variables!$B$5,B1199&gt;VLOOKUP(I1199,$C$3:$L$6,8,0)),IF(VLOOKUP(I1199,$C$3:$L$6,5,0)=Variables!$B$5,((YEAR(B1199)-YEAR($B$12))*12+MONTH(B1199)-MONTH($B$12)),((YEAR(B1199)-YEAR(VLOOKUP(I1199,$C$3:$L$6,8,0)))*12+MONTH(B1199)-MONTH(VLOOKUP(I1199,$C$3:$L$6,8,0))))*(VLOOKUP(I1199,$C$3:$L$6,10,0)*VLOOKUP(I1199,$C$3:$L$6,6,0)/12),0))</f>
        <v/>
      </c>
      <c r="K1199" s="29" t="str">
        <f ca="1">IF(C1199&lt;&gt;"",IF(I1199&lt;&gt;"",IF(ISERROR(VLOOKUP(I1199,$C$3:$L$6,10,0)),"",VLOOKUP(I1199,$C$3:$L$6,10,0)+J1199+IF(OR(VLOOKUP(I1199,$C$3:$L$6,5,0)=Variables!$B$5,B1199&gt;VLOOKUP(I1199,$C$3:$L$6,8,0)),IF(VLOOKUP(I1199,$C$3:$L$6,5,0)=Variables!$B$5,((YEAR(B1199)-YEAR($B$12))*12+MONTH(B1199)-MONTH($B$12)),((YEAR(B1199)-YEAR(VLOOKUP(I1199,$C$3:$L$6,8,0)))*12+MONTH(B1199)-MONTH(VLOOKUP(I1199,$C$3:$L$6,8,0))))*VLOOKUP(I1199,$C$3:$L$6,7,0),0)),""),"")</f>
        <v/>
      </c>
      <c r="L1199" s="29" t="str">
        <f t="shared" ca="1" si="104"/>
        <v/>
      </c>
      <c r="M1199" s="10"/>
      <c r="N1199" s="10"/>
    </row>
    <row r="1200" spans="1:14" x14ac:dyDescent="0.25">
      <c r="A1200" s="10"/>
      <c r="B1200" s="14" t="str">
        <f t="shared" ca="1" si="105"/>
        <v/>
      </c>
      <c r="C1200" s="14" t="str">
        <f ca="1">IF(I1199&lt;&gt;Variables!$B$1,IF(H1199&lt;&gt;0,C1199,I1199),"")</f>
        <v/>
      </c>
      <c r="D1200" s="29" t="str">
        <f t="shared" ca="1" si="102"/>
        <v/>
      </c>
      <c r="E1200" s="29" t="str">
        <f t="shared" ca="1" si="103"/>
        <v/>
      </c>
      <c r="F1200" s="29" t="str">
        <f ca="1">IF(C1200&lt;&gt;"",IF(OR(VLOOKUP(C1200,$C$3:$L$6,5,0)=Variables!$B$5,B1200&gt;VLOOKUP(C1200,$C$3:$L$6,8,0)),-D1200*VLOOKUP(C1200,$C$3:$L$6,6,0)/12,0),"")</f>
        <v/>
      </c>
      <c r="G1200" s="29" t="str">
        <f ca="1">IF(I1200&lt;&gt;Variables!$B$1,IF(C1200&lt;&gt;"",$I$9-E1200-F1200,""),-D1200)</f>
        <v/>
      </c>
      <c r="H1200" s="29" t="str">
        <f t="shared" ca="1" si="106"/>
        <v/>
      </c>
      <c r="I1200" s="31" t="str">
        <f ca="1">IF(C1200&lt;&gt;"",IF(D1200+$I$9-E1200-F1200&gt;=0,IF(ISERROR(INDEX($C$3:$C$6,MATCH(C1200,$C$3:$C$6,0)+1,0)),Variables!$B$1,INDEX($C$3:$C$6,MATCH(C1200,$C$3:$C$6,0)+1,0)),""),"")</f>
        <v/>
      </c>
      <c r="J1200" s="29" t="str">
        <f ca="1">IF(ISERROR(VLOOKUP(I1200,$C$3:$L$6,5,0)),"",IF(OR(VLOOKUP(I1200,$C$3:$L$6,5,0)=Variables!$B$5,B1200&gt;VLOOKUP(I1200,$C$3:$L$6,8,0)),IF(VLOOKUP(I1200,$C$3:$L$6,5,0)=Variables!$B$5,((YEAR(B1200)-YEAR($B$12))*12+MONTH(B1200)-MONTH($B$12)),((YEAR(B1200)-YEAR(VLOOKUP(I1200,$C$3:$L$6,8,0)))*12+MONTH(B1200)-MONTH(VLOOKUP(I1200,$C$3:$L$6,8,0))))*(VLOOKUP(I1200,$C$3:$L$6,10,0)*VLOOKUP(I1200,$C$3:$L$6,6,0)/12),0))</f>
        <v/>
      </c>
      <c r="K1200" s="29" t="str">
        <f ca="1">IF(C1200&lt;&gt;"",IF(I1200&lt;&gt;"",IF(ISERROR(VLOOKUP(I1200,$C$3:$L$6,10,0)),"",VLOOKUP(I1200,$C$3:$L$6,10,0)+J1200+IF(OR(VLOOKUP(I1200,$C$3:$L$6,5,0)=Variables!$B$5,B1200&gt;VLOOKUP(I1200,$C$3:$L$6,8,0)),IF(VLOOKUP(I1200,$C$3:$L$6,5,0)=Variables!$B$5,((YEAR(B1200)-YEAR($B$12))*12+MONTH(B1200)-MONTH($B$12)),((YEAR(B1200)-YEAR(VLOOKUP(I1200,$C$3:$L$6,8,0)))*12+MONTH(B1200)-MONTH(VLOOKUP(I1200,$C$3:$L$6,8,0))))*VLOOKUP(I1200,$C$3:$L$6,7,0),0)),""),"")</f>
        <v/>
      </c>
      <c r="L1200" s="29" t="str">
        <f t="shared" ca="1" si="104"/>
        <v/>
      </c>
      <c r="M1200" s="10"/>
      <c r="N1200" s="10"/>
    </row>
    <row r="1201" spans="1:14" x14ac:dyDescent="0.25">
      <c r="A1201" s="10"/>
      <c r="B1201" s="14" t="str">
        <f t="shared" ca="1" si="105"/>
        <v/>
      </c>
      <c r="C1201" s="14" t="str">
        <f ca="1">IF(I1200&lt;&gt;Variables!$B$1,IF(H1200&lt;&gt;0,C1200,I1200),"")</f>
        <v/>
      </c>
      <c r="D1201" s="29" t="str">
        <f t="shared" ca="1" si="102"/>
        <v/>
      </c>
      <c r="E1201" s="29" t="str">
        <f t="shared" ca="1" si="103"/>
        <v/>
      </c>
      <c r="F1201" s="29" t="str">
        <f ca="1">IF(C1201&lt;&gt;"",IF(OR(VLOOKUP(C1201,$C$3:$L$6,5,0)=Variables!$B$5,B1201&gt;VLOOKUP(C1201,$C$3:$L$6,8,0)),-D1201*VLOOKUP(C1201,$C$3:$L$6,6,0)/12,0),"")</f>
        <v/>
      </c>
      <c r="G1201" s="29" t="str">
        <f ca="1">IF(I1201&lt;&gt;Variables!$B$1,IF(C1201&lt;&gt;"",$I$9-E1201-F1201,""),-D1201)</f>
        <v/>
      </c>
      <c r="H1201" s="29" t="str">
        <f t="shared" ca="1" si="106"/>
        <v/>
      </c>
      <c r="I1201" s="31" t="str">
        <f ca="1">IF(C1201&lt;&gt;"",IF(D1201+$I$9-E1201-F1201&gt;=0,IF(ISERROR(INDEX($C$3:$C$6,MATCH(C1201,$C$3:$C$6,0)+1,0)),Variables!$B$1,INDEX($C$3:$C$6,MATCH(C1201,$C$3:$C$6,0)+1,0)),""),"")</f>
        <v/>
      </c>
      <c r="J1201" s="29" t="str">
        <f ca="1">IF(ISERROR(VLOOKUP(I1201,$C$3:$L$6,5,0)),"",IF(OR(VLOOKUP(I1201,$C$3:$L$6,5,0)=Variables!$B$5,B1201&gt;VLOOKUP(I1201,$C$3:$L$6,8,0)),IF(VLOOKUP(I1201,$C$3:$L$6,5,0)=Variables!$B$5,((YEAR(B1201)-YEAR($B$12))*12+MONTH(B1201)-MONTH($B$12)),((YEAR(B1201)-YEAR(VLOOKUP(I1201,$C$3:$L$6,8,0)))*12+MONTH(B1201)-MONTH(VLOOKUP(I1201,$C$3:$L$6,8,0))))*(VLOOKUP(I1201,$C$3:$L$6,10,0)*VLOOKUP(I1201,$C$3:$L$6,6,0)/12),0))</f>
        <v/>
      </c>
      <c r="K1201" s="29" t="str">
        <f ca="1">IF(C1201&lt;&gt;"",IF(I1201&lt;&gt;"",IF(ISERROR(VLOOKUP(I1201,$C$3:$L$6,10,0)),"",VLOOKUP(I1201,$C$3:$L$6,10,0)+J1201+IF(OR(VLOOKUP(I1201,$C$3:$L$6,5,0)=Variables!$B$5,B1201&gt;VLOOKUP(I1201,$C$3:$L$6,8,0)),IF(VLOOKUP(I1201,$C$3:$L$6,5,0)=Variables!$B$5,((YEAR(B1201)-YEAR($B$12))*12+MONTH(B1201)-MONTH($B$12)),((YEAR(B1201)-YEAR(VLOOKUP(I1201,$C$3:$L$6,8,0)))*12+MONTH(B1201)-MONTH(VLOOKUP(I1201,$C$3:$L$6,8,0))))*VLOOKUP(I1201,$C$3:$L$6,7,0),0)),""),"")</f>
        <v/>
      </c>
      <c r="L1201" s="29" t="str">
        <f t="shared" ca="1" si="104"/>
        <v/>
      </c>
      <c r="M1201" s="10"/>
      <c r="N1201" s="10"/>
    </row>
    <row r="1202" spans="1:14" x14ac:dyDescent="0.25">
      <c r="A1202" s="10"/>
      <c r="B1202" s="14" t="str">
        <f t="shared" ca="1" si="105"/>
        <v/>
      </c>
      <c r="C1202" s="14" t="str">
        <f ca="1">IF(I1201&lt;&gt;Variables!$B$1,IF(H1201&lt;&gt;0,C1201,I1201),"")</f>
        <v/>
      </c>
      <c r="D1202" s="29" t="str">
        <f t="shared" ca="1" si="102"/>
        <v/>
      </c>
      <c r="E1202" s="29" t="str">
        <f t="shared" ca="1" si="103"/>
        <v/>
      </c>
      <c r="F1202" s="29" t="str">
        <f ca="1">IF(C1202&lt;&gt;"",IF(OR(VLOOKUP(C1202,$C$3:$L$6,5,0)=Variables!$B$5,B1202&gt;VLOOKUP(C1202,$C$3:$L$6,8,0)),-D1202*VLOOKUP(C1202,$C$3:$L$6,6,0)/12,0),"")</f>
        <v/>
      </c>
      <c r="G1202" s="29" t="str">
        <f ca="1">IF(I1202&lt;&gt;Variables!$B$1,IF(C1202&lt;&gt;"",$I$9-E1202-F1202,""),-D1202)</f>
        <v/>
      </c>
      <c r="H1202" s="29" t="str">
        <f t="shared" ca="1" si="106"/>
        <v/>
      </c>
      <c r="I1202" s="31" t="str">
        <f ca="1">IF(C1202&lt;&gt;"",IF(D1202+$I$9-E1202-F1202&gt;=0,IF(ISERROR(INDEX($C$3:$C$6,MATCH(C1202,$C$3:$C$6,0)+1,0)),Variables!$B$1,INDEX($C$3:$C$6,MATCH(C1202,$C$3:$C$6,0)+1,0)),""),"")</f>
        <v/>
      </c>
      <c r="J1202" s="29" t="str">
        <f ca="1">IF(ISERROR(VLOOKUP(I1202,$C$3:$L$6,5,0)),"",IF(OR(VLOOKUP(I1202,$C$3:$L$6,5,0)=Variables!$B$5,B1202&gt;VLOOKUP(I1202,$C$3:$L$6,8,0)),IF(VLOOKUP(I1202,$C$3:$L$6,5,0)=Variables!$B$5,((YEAR(B1202)-YEAR($B$12))*12+MONTH(B1202)-MONTH($B$12)),((YEAR(B1202)-YEAR(VLOOKUP(I1202,$C$3:$L$6,8,0)))*12+MONTH(B1202)-MONTH(VLOOKUP(I1202,$C$3:$L$6,8,0))))*(VLOOKUP(I1202,$C$3:$L$6,10,0)*VLOOKUP(I1202,$C$3:$L$6,6,0)/12),0))</f>
        <v/>
      </c>
      <c r="K1202" s="29" t="str">
        <f ca="1">IF(C1202&lt;&gt;"",IF(I1202&lt;&gt;"",IF(ISERROR(VLOOKUP(I1202,$C$3:$L$6,10,0)),"",VLOOKUP(I1202,$C$3:$L$6,10,0)+J1202+IF(OR(VLOOKUP(I1202,$C$3:$L$6,5,0)=Variables!$B$5,B1202&gt;VLOOKUP(I1202,$C$3:$L$6,8,0)),IF(VLOOKUP(I1202,$C$3:$L$6,5,0)=Variables!$B$5,((YEAR(B1202)-YEAR($B$12))*12+MONTH(B1202)-MONTH($B$12)),((YEAR(B1202)-YEAR(VLOOKUP(I1202,$C$3:$L$6,8,0)))*12+MONTH(B1202)-MONTH(VLOOKUP(I1202,$C$3:$L$6,8,0))))*VLOOKUP(I1202,$C$3:$L$6,7,0),0)),""),"")</f>
        <v/>
      </c>
      <c r="L1202" s="29" t="str">
        <f t="shared" ca="1" si="104"/>
        <v/>
      </c>
      <c r="M1202" s="10"/>
      <c r="N1202" s="10"/>
    </row>
    <row r="1203" spans="1:14" x14ac:dyDescent="0.25">
      <c r="A1203" s="10"/>
      <c r="B1203" s="14" t="str">
        <f t="shared" ca="1" si="105"/>
        <v/>
      </c>
      <c r="C1203" s="14" t="str">
        <f ca="1">IF(I1202&lt;&gt;Variables!$B$1,IF(H1202&lt;&gt;0,C1202,I1202),"")</f>
        <v/>
      </c>
      <c r="D1203" s="29" t="str">
        <f t="shared" ca="1" si="102"/>
        <v/>
      </c>
      <c r="E1203" s="29" t="str">
        <f t="shared" ca="1" si="103"/>
        <v/>
      </c>
      <c r="F1203" s="29" t="str">
        <f ca="1">IF(C1203&lt;&gt;"",IF(OR(VLOOKUP(C1203,$C$3:$L$6,5,0)=Variables!$B$5,B1203&gt;VLOOKUP(C1203,$C$3:$L$6,8,0)),-D1203*VLOOKUP(C1203,$C$3:$L$6,6,0)/12,0),"")</f>
        <v/>
      </c>
      <c r="G1203" s="29" t="str">
        <f ca="1">IF(I1203&lt;&gt;Variables!$B$1,IF(C1203&lt;&gt;"",$I$9-E1203-F1203,""),-D1203)</f>
        <v/>
      </c>
      <c r="H1203" s="29" t="str">
        <f t="shared" ca="1" si="106"/>
        <v/>
      </c>
      <c r="I1203" s="31" t="str">
        <f ca="1">IF(C1203&lt;&gt;"",IF(D1203+$I$9-E1203-F1203&gt;=0,IF(ISERROR(INDEX($C$3:$C$6,MATCH(C1203,$C$3:$C$6,0)+1,0)),Variables!$B$1,INDEX($C$3:$C$6,MATCH(C1203,$C$3:$C$6,0)+1,0)),""),"")</f>
        <v/>
      </c>
      <c r="J1203" s="29" t="str">
        <f ca="1">IF(ISERROR(VLOOKUP(I1203,$C$3:$L$6,5,0)),"",IF(OR(VLOOKUP(I1203,$C$3:$L$6,5,0)=Variables!$B$5,B1203&gt;VLOOKUP(I1203,$C$3:$L$6,8,0)),IF(VLOOKUP(I1203,$C$3:$L$6,5,0)=Variables!$B$5,((YEAR(B1203)-YEAR($B$12))*12+MONTH(B1203)-MONTH($B$12)),((YEAR(B1203)-YEAR(VLOOKUP(I1203,$C$3:$L$6,8,0)))*12+MONTH(B1203)-MONTH(VLOOKUP(I1203,$C$3:$L$6,8,0))))*(VLOOKUP(I1203,$C$3:$L$6,10,0)*VLOOKUP(I1203,$C$3:$L$6,6,0)/12),0))</f>
        <v/>
      </c>
      <c r="K1203" s="29" t="str">
        <f ca="1">IF(C1203&lt;&gt;"",IF(I1203&lt;&gt;"",IF(ISERROR(VLOOKUP(I1203,$C$3:$L$6,10,0)),"",VLOOKUP(I1203,$C$3:$L$6,10,0)+J1203+IF(OR(VLOOKUP(I1203,$C$3:$L$6,5,0)=Variables!$B$5,B1203&gt;VLOOKUP(I1203,$C$3:$L$6,8,0)),IF(VLOOKUP(I1203,$C$3:$L$6,5,0)=Variables!$B$5,((YEAR(B1203)-YEAR($B$12))*12+MONTH(B1203)-MONTH($B$12)),((YEAR(B1203)-YEAR(VLOOKUP(I1203,$C$3:$L$6,8,0)))*12+MONTH(B1203)-MONTH(VLOOKUP(I1203,$C$3:$L$6,8,0))))*VLOOKUP(I1203,$C$3:$L$6,7,0),0)),""),"")</f>
        <v/>
      </c>
      <c r="L1203" s="29" t="str">
        <f t="shared" ca="1" si="104"/>
        <v/>
      </c>
      <c r="M1203" s="10"/>
      <c r="N1203" s="10"/>
    </row>
    <row r="1204" spans="1:14" x14ac:dyDescent="0.25">
      <c r="A1204" s="10"/>
      <c r="B1204" s="14" t="str">
        <f t="shared" ca="1" si="105"/>
        <v/>
      </c>
      <c r="C1204" s="14" t="str">
        <f ca="1">IF(I1203&lt;&gt;Variables!$B$1,IF(H1203&lt;&gt;0,C1203,I1203),"")</f>
        <v/>
      </c>
      <c r="D1204" s="29" t="str">
        <f t="shared" ca="1" si="102"/>
        <v/>
      </c>
      <c r="E1204" s="29" t="str">
        <f t="shared" ca="1" si="103"/>
        <v/>
      </c>
      <c r="F1204" s="29" t="str">
        <f ca="1">IF(C1204&lt;&gt;"",IF(OR(VLOOKUP(C1204,$C$3:$L$6,5,0)=Variables!$B$5,B1204&gt;VLOOKUP(C1204,$C$3:$L$6,8,0)),-D1204*VLOOKUP(C1204,$C$3:$L$6,6,0)/12,0),"")</f>
        <v/>
      </c>
      <c r="G1204" s="29" t="str">
        <f ca="1">IF(I1204&lt;&gt;Variables!$B$1,IF(C1204&lt;&gt;"",$I$9-E1204-F1204,""),-D1204)</f>
        <v/>
      </c>
      <c r="H1204" s="29" t="str">
        <f t="shared" ca="1" si="106"/>
        <v/>
      </c>
      <c r="I1204" s="31" t="str">
        <f ca="1">IF(C1204&lt;&gt;"",IF(D1204+$I$9-E1204-F1204&gt;=0,IF(ISERROR(INDEX($C$3:$C$6,MATCH(C1204,$C$3:$C$6,0)+1,0)),Variables!$B$1,INDEX($C$3:$C$6,MATCH(C1204,$C$3:$C$6,0)+1,0)),""),"")</f>
        <v/>
      </c>
      <c r="J1204" s="29" t="str">
        <f ca="1">IF(ISERROR(VLOOKUP(I1204,$C$3:$L$6,5,0)),"",IF(OR(VLOOKUP(I1204,$C$3:$L$6,5,0)=Variables!$B$5,B1204&gt;VLOOKUP(I1204,$C$3:$L$6,8,0)),IF(VLOOKUP(I1204,$C$3:$L$6,5,0)=Variables!$B$5,((YEAR(B1204)-YEAR($B$12))*12+MONTH(B1204)-MONTH($B$12)),((YEAR(B1204)-YEAR(VLOOKUP(I1204,$C$3:$L$6,8,0)))*12+MONTH(B1204)-MONTH(VLOOKUP(I1204,$C$3:$L$6,8,0))))*(VLOOKUP(I1204,$C$3:$L$6,10,0)*VLOOKUP(I1204,$C$3:$L$6,6,0)/12),0))</f>
        <v/>
      </c>
      <c r="K1204" s="29" t="str">
        <f ca="1">IF(C1204&lt;&gt;"",IF(I1204&lt;&gt;"",IF(ISERROR(VLOOKUP(I1204,$C$3:$L$6,10,0)),"",VLOOKUP(I1204,$C$3:$L$6,10,0)+J1204+IF(OR(VLOOKUP(I1204,$C$3:$L$6,5,0)=Variables!$B$5,B1204&gt;VLOOKUP(I1204,$C$3:$L$6,8,0)),IF(VLOOKUP(I1204,$C$3:$L$6,5,0)=Variables!$B$5,((YEAR(B1204)-YEAR($B$12))*12+MONTH(B1204)-MONTH($B$12)),((YEAR(B1204)-YEAR(VLOOKUP(I1204,$C$3:$L$6,8,0)))*12+MONTH(B1204)-MONTH(VLOOKUP(I1204,$C$3:$L$6,8,0))))*VLOOKUP(I1204,$C$3:$L$6,7,0),0)),""),"")</f>
        <v/>
      </c>
      <c r="L1204" s="29" t="str">
        <f t="shared" ca="1" si="104"/>
        <v/>
      </c>
      <c r="M1204" s="10"/>
      <c r="N1204" s="10"/>
    </row>
    <row r="1205" spans="1:14" x14ac:dyDescent="0.25">
      <c r="A1205" s="10"/>
      <c r="B1205" s="14" t="str">
        <f t="shared" ca="1" si="105"/>
        <v/>
      </c>
      <c r="C1205" s="14" t="str">
        <f ca="1">IF(I1204&lt;&gt;Variables!$B$1,IF(H1204&lt;&gt;0,C1204,I1204),"")</f>
        <v/>
      </c>
      <c r="D1205" s="29" t="str">
        <f t="shared" ca="1" si="102"/>
        <v/>
      </c>
      <c r="E1205" s="29" t="str">
        <f t="shared" ca="1" si="103"/>
        <v/>
      </c>
      <c r="F1205" s="29" t="str">
        <f ca="1">IF(C1205&lt;&gt;"",IF(OR(VLOOKUP(C1205,$C$3:$L$6,5,0)=Variables!$B$5,B1205&gt;VLOOKUP(C1205,$C$3:$L$6,8,0)),-D1205*VLOOKUP(C1205,$C$3:$L$6,6,0)/12,0),"")</f>
        <v/>
      </c>
      <c r="G1205" s="29" t="str">
        <f ca="1">IF(I1205&lt;&gt;Variables!$B$1,IF(C1205&lt;&gt;"",$I$9-E1205-F1205,""),-D1205)</f>
        <v/>
      </c>
      <c r="H1205" s="29" t="str">
        <f t="shared" ca="1" si="106"/>
        <v/>
      </c>
      <c r="I1205" s="31" t="str">
        <f ca="1">IF(C1205&lt;&gt;"",IF(D1205+$I$9-E1205-F1205&gt;=0,IF(ISERROR(INDEX($C$3:$C$6,MATCH(C1205,$C$3:$C$6,0)+1,0)),Variables!$B$1,INDEX($C$3:$C$6,MATCH(C1205,$C$3:$C$6,0)+1,0)),""),"")</f>
        <v/>
      </c>
      <c r="J1205" s="29" t="str">
        <f ca="1">IF(ISERROR(VLOOKUP(I1205,$C$3:$L$6,5,0)),"",IF(OR(VLOOKUP(I1205,$C$3:$L$6,5,0)=Variables!$B$5,B1205&gt;VLOOKUP(I1205,$C$3:$L$6,8,0)),IF(VLOOKUP(I1205,$C$3:$L$6,5,0)=Variables!$B$5,((YEAR(B1205)-YEAR($B$12))*12+MONTH(B1205)-MONTH($B$12)),((YEAR(B1205)-YEAR(VLOOKUP(I1205,$C$3:$L$6,8,0)))*12+MONTH(B1205)-MONTH(VLOOKUP(I1205,$C$3:$L$6,8,0))))*(VLOOKUP(I1205,$C$3:$L$6,10,0)*VLOOKUP(I1205,$C$3:$L$6,6,0)/12),0))</f>
        <v/>
      </c>
      <c r="K1205" s="29" t="str">
        <f ca="1">IF(C1205&lt;&gt;"",IF(I1205&lt;&gt;"",IF(ISERROR(VLOOKUP(I1205,$C$3:$L$6,10,0)),"",VLOOKUP(I1205,$C$3:$L$6,10,0)+J1205+IF(OR(VLOOKUP(I1205,$C$3:$L$6,5,0)=Variables!$B$5,B1205&gt;VLOOKUP(I1205,$C$3:$L$6,8,0)),IF(VLOOKUP(I1205,$C$3:$L$6,5,0)=Variables!$B$5,((YEAR(B1205)-YEAR($B$12))*12+MONTH(B1205)-MONTH($B$12)),((YEAR(B1205)-YEAR(VLOOKUP(I1205,$C$3:$L$6,8,0)))*12+MONTH(B1205)-MONTH(VLOOKUP(I1205,$C$3:$L$6,8,0))))*VLOOKUP(I1205,$C$3:$L$6,7,0),0)),""),"")</f>
        <v/>
      </c>
      <c r="L1205" s="29" t="str">
        <f t="shared" ca="1" si="104"/>
        <v/>
      </c>
      <c r="M1205" s="10"/>
      <c r="N1205" s="10"/>
    </row>
    <row r="1206" spans="1:14" x14ac:dyDescent="0.25">
      <c r="A1206" s="10"/>
      <c r="B1206" s="14" t="str">
        <f t="shared" ca="1" si="105"/>
        <v/>
      </c>
      <c r="C1206" s="14" t="str">
        <f ca="1">IF(I1205&lt;&gt;Variables!$B$1,IF(H1205&lt;&gt;0,C1205,I1205),"")</f>
        <v/>
      </c>
      <c r="D1206" s="29" t="str">
        <f t="shared" ca="1" si="102"/>
        <v/>
      </c>
      <c r="E1206" s="29" t="str">
        <f t="shared" ca="1" si="103"/>
        <v/>
      </c>
      <c r="F1206" s="29" t="str">
        <f ca="1">IF(C1206&lt;&gt;"",IF(OR(VLOOKUP(C1206,$C$3:$L$6,5,0)=Variables!$B$5,B1206&gt;VLOOKUP(C1206,$C$3:$L$6,8,0)),-D1206*VLOOKUP(C1206,$C$3:$L$6,6,0)/12,0),"")</f>
        <v/>
      </c>
      <c r="G1206" s="29" t="str">
        <f ca="1">IF(I1206&lt;&gt;Variables!$B$1,IF(C1206&lt;&gt;"",$I$9-E1206-F1206,""),-D1206)</f>
        <v/>
      </c>
      <c r="H1206" s="29" t="str">
        <f t="shared" ca="1" si="106"/>
        <v/>
      </c>
      <c r="I1206" s="31" t="str">
        <f ca="1">IF(C1206&lt;&gt;"",IF(D1206+$I$9-E1206-F1206&gt;=0,IF(ISERROR(INDEX($C$3:$C$6,MATCH(C1206,$C$3:$C$6,0)+1,0)),Variables!$B$1,INDEX($C$3:$C$6,MATCH(C1206,$C$3:$C$6,0)+1,0)),""),"")</f>
        <v/>
      </c>
      <c r="J1206" s="29" t="str">
        <f ca="1">IF(ISERROR(VLOOKUP(I1206,$C$3:$L$6,5,0)),"",IF(OR(VLOOKUP(I1206,$C$3:$L$6,5,0)=Variables!$B$5,B1206&gt;VLOOKUP(I1206,$C$3:$L$6,8,0)),IF(VLOOKUP(I1206,$C$3:$L$6,5,0)=Variables!$B$5,((YEAR(B1206)-YEAR($B$12))*12+MONTH(B1206)-MONTH($B$12)),((YEAR(B1206)-YEAR(VLOOKUP(I1206,$C$3:$L$6,8,0)))*12+MONTH(B1206)-MONTH(VLOOKUP(I1206,$C$3:$L$6,8,0))))*(VLOOKUP(I1206,$C$3:$L$6,10,0)*VLOOKUP(I1206,$C$3:$L$6,6,0)/12),0))</f>
        <v/>
      </c>
      <c r="K1206" s="29" t="str">
        <f ca="1">IF(C1206&lt;&gt;"",IF(I1206&lt;&gt;"",IF(ISERROR(VLOOKUP(I1206,$C$3:$L$6,10,0)),"",VLOOKUP(I1206,$C$3:$L$6,10,0)+J1206+IF(OR(VLOOKUP(I1206,$C$3:$L$6,5,0)=Variables!$B$5,B1206&gt;VLOOKUP(I1206,$C$3:$L$6,8,0)),IF(VLOOKUP(I1206,$C$3:$L$6,5,0)=Variables!$B$5,((YEAR(B1206)-YEAR($B$12))*12+MONTH(B1206)-MONTH($B$12)),((YEAR(B1206)-YEAR(VLOOKUP(I1206,$C$3:$L$6,8,0)))*12+MONTH(B1206)-MONTH(VLOOKUP(I1206,$C$3:$L$6,8,0))))*VLOOKUP(I1206,$C$3:$L$6,7,0),0)),""),"")</f>
        <v/>
      </c>
      <c r="L1206" s="29" t="str">
        <f t="shared" ca="1" si="104"/>
        <v/>
      </c>
      <c r="M1206" s="10"/>
      <c r="N1206" s="10"/>
    </row>
    <row r="1207" spans="1:14" x14ac:dyDescent="0.25">
      <c r="A1207" s="10"/>
      <c r="B1207" s="14" t="str">
        <f t="shared" ca="1" si="105"/>
        <v/>
      </c>
      <c r="C1207" s="14" t="str">
        <f ca="1">IF(I1206&lt;&gt;Variables!$B$1,IF(H1206&lt;&gt;0,C1206,I1206),"")</f>
        <v/>
      </c>
      <c r="D1207" s="29" t="str">
        <f t="shared" ca="1" si="102"/>
        <v/>
      </c>
      <c r="E1207" s="29" t="str">
        <f t="shared" ca="1" si="103"/>
        <v/>
      </c>
      <c r="F1207" s="29" t="str">
        <f ca="1">IF(C1207&lt;&gt;"",IF(OR(VLOOKUP(C1207,$C$3:$L$6,5,0)=Variables!$B$5,B1207&gt;VLOOKUP(C1207,$C$3:$L$6,8,0)),-D1207*VLOOKUP(C1207,$C$3:$L$6,6,0)/12,0),"")</f>
        <v/>
      </c>
      <c r="G1207" s="29" t="str">
        <f ca="1">IF(I1207&lt;&gt;Variables!$B$1,IF(C1207&lt;&gt;"",$I$9-E1207-F1207,""),-D1207)</f>
        <v/>
      </c>
      <c r="H1207" s="29" t="str">
        <f t="shared" ca="1" si="106"/>
        <v/>
      </c>
      <c r="I1207" s="31" t="str">
        <f ca="1">IF(C1207&lt;&gt;"",IF(D1207+$I$9-E1207-F1207&gt;=0,IF(ISERROR(INDEX($C$3:$C$6,MATCH(C1207,$C$3:$C$6,0)+1,0)),Variables!$B$1,INDEX($C$3:$C$6,MATCH(C1207,$C$3:$C$6,0)+1,0)),""),"")</f>
        <v/>
      </c>
      <c r="J1207" s="29" t="str">
        <f ca="1">IF(ISERROR(VLOOKUP(I1207,$C$3:$L$6,5,0)),"",IF(OR(VLOOKUP(I1207,$C$3:$L$6,5,0)=Variables!$B$5,B1207&gt;VLOOKUP(I1207,$C$3:$L$6,8,0)),IF(VLOOKUP(I1207,$C$3:$L$6,5,0)=Variables!$B$5,((YEAR(B1207)-YEAR($B$12))*12+MONTH(B1207)-MONTH($B$12)),((YEAR(B1207)-YEAR(VLOOKUP(I1207,$C$3:$L$6,8,0)))*12+MONTH(B1207)-MONTH(VLOOKUP(I1207,$C$3:$L$6,8,0))))*(VLOOKUP(I1207,$C$3:$L$6,10,0)*VLOOKUP(I1207,$C$3:$L$6,6,0)/12),0))</f>
        <v/>
      </c>
      <c r="K1207" s="29" t="str">
        <f ca="1">IF(C1207&lt;&gt;"",IF(I1207&lt;&gt;"",IF(ISERROR(VLOOKUP(I1207,$C$3:$L$6,10,0)),"",VLOOKUP(I1207,$C$3:$L$6,10,0)+J1207+IF(OR(VLOOKUP(I1207,$C$3:$L$6,5,0)=Variables!$B$5,B1207&gt;VLOOKUP(I1207,$C$3:$L$6,8,0)),IF(VLOOKUP(I1207,$C$3:$L$6,5,0)=Variables!$B$5,((YEAR(B1207)-YEAR($B$12))*12+MONTH(B1207)-MONTH($B$12)),((YEAR(B1207)-YEAR(VLOOKUP(I1207,$C$3:$L$6,8,0)))*12+MONTH(B1207)-MONTH(VLOOKUP(I1207,$C$3:$L$6,8,0))))*VLOOKUP(I1207,$C$3:$L$6,7,0),0)),""),"")</f>
        <v/>
      </c>
      <c r="L1207" s="29" t="str">
        <f t="shared" ca="1" si="104"/>
        <v/>
      </c>
      <c r="M1207" s="10"/>
      <c r="N1207" s="10"/>
    </row>
    <row r="1208" spans="1:14" x14ac:dyDescent="0.25">
      <c r="A1208" s="10"/>
      <c r="B1208" s="14" t="str">
        <f t="shared" ca="1" si="105"/>
        <v/>
      </c>
      <c r="C1208" s="14" t="str">
        <f ca="1">IF(I1207&lt;&gt;Variables!$B$1,IF(H1207&lt;&gt;0,C1207,I1207),"")</f>
        <v/>
      </c>
      <c r="D1208" s="29" t="str">
        <f t="shared" ca="1" si="102"/>
        <v/>
      </c>
      <c r="E1208" s="29" t="str">
        <f t="shared" ca="1" si="103"/>
        <v/>
      </c>
      <c r="F1208" s="29" t="str">
        <f ca="1">IF(C1208&lt;&gt;"",IF(OR(VLOOKUP(C1208,$C$3:$L$6,5,0)=Variables!$B$5,B1208&gt;VLOOKUP(C1208,$C$3:$L$6,8,0)),-D1208*VLOOKUP(C1208,$C$3:$L$6,6,0)/12,0),"")</f>
        <v/>
      </c>
      <c r="G1208" s="29" t="str">
        <f ca="1">IF(I1208&lt;&gt;Variables!$B$1,IF(C1208&lt;&gt;"",$I$9-E1208-F1208,""),-D1208)</f>
        <v/>
      </c>
      <c r="H1208" s="29" t="str">
        <f t="shared" ca="1" si="106"/>
        <v/>
      </c>
      <c r="I1208" s="31" t="str">
        <f ca="1">IF(C1208&lt;&gt;"",IF(D1208+$I$9-E1208-F1208&gt;=0,IF(ISERROR(INDEX($C$3:$C$6,MATCH(C1208,$C$3:$C$6,0)+1,0)),Variables!$B$1,INDEX($C$3:$C$6,MATCH(C1208,$C$3:$C$6,0)+1,0)),""),"")</f>
        <v/>
      </c>
      <c r="J1208" s="29" t="str">
        <f ca="1">IF(ISERROR(VLOOKUP(I1208,$C$3:$L$6,5,0)),"",IF(OR(VLOOKUP(I1208,$C$3:$L$6,5,0)=Variables!$B$5,B1208&gt;VLOOKUP(I1208,$C$3:$L$6,8,0)),IF(VLOOKUP(I1208,$C$3:$L$6,5,0)=Variables!$B$5,((YEAR(B1208)-YEAR($B$12))*12+MONTH(B1208)-MONTH($B$12)),((YEAR(B1208)-YEAR(VLOOKUP(I1208,$C$3:$L$6,8,0)))*12+MONTH(B1208)-MONTH(VLOOKUP(I1208,$C$3:$L$6,8,0))))*(VLOOKUP(I1208,$C$3:$L$6,10,0)*VLOOKUP(I1208,$C$3:$L$6,6,0)/12),0))</f>
        <v/>
      </c>
      <c r="K1208" s="29" t="str">
        <f ca="1">IF(C1208&lt;&gt;"",IF(I1208&lt;&gt;"",IF(ISERROR(VLOOKUP(I1208,$C$3:$L$6,10,0)),"",VLOOKUP(I1208,$C$3:$L$6,10,0)+J1208+IF(OR(VLOOKUP(I1208,$C$3:$L$6,5,0)=Variables!$B$5,B1208&gt;VLOOKUP(I1208,$C$3:$L$6,8,0)),IF(VLOOKUP(I1208,$C$3:$L$6,5,0)=Variables!$B$5,((YEAR(B1208)-YEAR($B$12))*12+MONTH(B1208)-MONTH($B$12)),((YEAR(B1208)-YEAR(VLOOKUP(I1208,$C$3:$L$6,8,0)))*12+MONTH(B1208)-MONTH(VLOOKUP(I1208,$C$3:$L$6,8,0))))*VLOOKUP(I1208,$C$3:$L$6,7,0),0)),""),"")</f>
        <v/>
      </c>
      <c r="L1208" s="29" t="str">
        <f t="shared" ca="1" si="104"/>
        <v/>
      </c>
      <c r="M1208" s="10"/>
      <c r="N1208" s="10"/>
    </row>
    <row r="1209" spans="1:14" x14ac:dyDescent="0.25">
      <c r="A1209" s="10"/>
      <c r="B1209" s="14" t="str">
        <f t="shared" ca="1" si="105"/>
        <v/>
      </c>
      <c r="C1209" s="14" t="str">
        <f ca="1">IF(I1208&lt;&gt;Variables!$B$1,IF(H1208&lt;&gt;0,C1208,I1208),"")</f>
        <v/>
      </c>
      <c r="D1209" s="29" t="str">
        <f t="shared" ca="1" si="102"/>
        <v/>
      </c>
      <c r="E1209" s="29" t="str">
        <f t="shared" ca="1" si="103"/>
        <v/>
      </c>
      <c r="F1209" s="29" t="str">
        <f ca="1">IF(C1209&lt;&gt;"",IF(OR(VLOOKUP(C1209,$C$3:$L$6,5,0)=Variables!$B$5,B1209&gt;VLOOKUP(C1209,$C$3:$L$6,8,0)),-D1209*VLOOKUP(C1209,$C$3:$L$6,6,0)/12,0),"")</f>
        <v/>
      </c>
      <c r="G1209" s="29" t="str">
        <f ca="1">IF(I1209&lt;&gt;Variables!$B$1,IF(C1209&lt;&gt;"",$I$9-E1209-F1209,""),-D1209)</f>
        <v/>
      </c>
      <c r="H1209" s="29" t="str">
        <f t="shared" ca="1" si="106"/>
        <v/>
      </c>
      <c r="I1209" s="31" t="str">
        <f ca="1">IF(C1209&lt;&gt;"",IF(D1209+$I$9-E1209-F1209&gt;=0,IF(ISERROR(INDEX($C$3:$C$6,MATCH(C1209,$C$3:$C$6,0)+1,0)),Variables!$B$1,INDEX($C$3:$C$6,MATCH(C1209,$C$3:$C$6,0)+1,0)),""),"")</f>
        <v/>
      </c>
      <c r="J1209" s="29" t="str">
        <f ca="1">IF(ISERROR(VLOOKUP(I1209,$C$3:$L$6,5,0)),"",IF(OR(VLOOKUP(I1209,$C$3:$L$6,5,0)=Variables!$B$5,B1209&gt;VLOOKUP(I1209,$C$3:$L$6,8,0)),IF(VLOOKUP(I1209,$C$3:$L$6,5,0)=Variables!$B$5,((YEAR(B1209)-YEAR($B$12))*12+MONTH(B1209)-MONTH($B$12)),((YEAR(B1209)-YEAR(VLOOKUP(I1209,$C$3:$L$6,8,0)))*12+MONTH(B1209)-MONTH(VLOOKUP(I1209,$C$3:$L$6,8,0))))*(VLOOKUP(I1209,$C$3:$L$6,10,0)*VLOOKUP(I1209,$C$3:$L$6,6,0)/12),0))</f>
        <v/>
      </c>
      <c r="K1209" s="29" t="str">
        <f ca="1">IF(C1209&lt;&gt;"",IF(I1209&lt;&gt;"",IF(ISERROR(VLOOKUP(I1209,$C$3:$L$6,10,0)),"",VLOOKUP(I1209,$C$3:$L$6,10,0)+J1209+IF(OR(VLOOKUP(I1209,$C$3:$L$6,5,0)=Variables!$B$5,B1209&gt;VLOOKUP(I1209,$C$3:$L$6,8,0)),IF(VLOOKUP(I1209,$C$3:$L$6,5,0)=Variables!$B$5,((YEAR(B1209)-YEAR($B$12))*12+MONTH(B1209)-MONTH($B$12)),((YEAR(B1209)-YEAR(VLOOKUP(I1209,$C$3:$L$6,8,0)))*12+MONTH(B1209)-MONTH(VLOOKUP(I1209,$C$3:$L$6,8,0))))*VLOOKUP(I1209,$C$3:$L$6,7,0),0)),""),"")</f>
        <v/>
      </c>
      <c r="L1209" s="29" t="str">
        <f t="shared" ca="1" si="104"/>
        <v/>
      </c>
      <c r="M1209" s="10"/>
      <c r="N1209" s="10"/>
    </row>
    <row r="1210" spans="1:14" x14ac:dyDescent="0.25">
      <c r="A1210" s="10"/>
      <c r="B1210" s="14" t="str">
        <f t="shared" ca="1" si="105"/>
        <v/>
      </c>
      <c r="C1210" s="14" t="str">
        <f ca="1">IF(I1209&lt;&gt;Variables!$B$1,IF(H1209&lt;&gt;0,C1209,I1209),"")</f>
        <v/>
      </c>
      <c r="D1210" s="29" t="str">
        <f t="shared" ca="1" si="102"/>
        <v/>
      </c>
      <c r="E1210" s="29" t="str">
        <f t="shared" ca="1" si="103"/>
        <v/>
      </c>
      <c r="F1210" s="29" t="str">
        <f ca="1">IF(C1210&lt;&gt;"",IF(OR(VLOOKUP(C1210,$C$3:$L$6,5,0)=Variables!$B$5,B1210&gt;VLOOKUP(C1210,$C$3:$L$6,8,0)),-D1210*VLOOKUP(C1210,$C$3:$L$6,6,0)/12,0),"")</f>
        <v/>
      </c>
      <c r="G1210" s="29" t="str">
        <f ca="1">IF(I1210&lt;&gt;Variables!$B$1,IF(C1210&lt;&gt;"",$I$9-E1210-F1210,""),-D1210)</f>
        <v/>
      </c>
      <c r="H1210" s="29" t="str">
        <f t="shared" ca="1" si="106"/>
        <v/>
      </c>
      <c r="I1210" s="31" t="str">
        <f ca="1">IF(C1210&lt;&gt;"",IF(D1210+$I$9-E1210-F1210&gt;=0,IF(ISERROR(INDEX($C$3:$C$6,MATCH(C1210,$C$3:$C$6,0)+1,0)),Variables!$B$1,INDEX($C$3:$C$6,MATCH(C1210,$C$3:$C$6,0)+1,0)),""),"")</f>
        <v/>
      </c>
      <c r="J1210" s="29" t="str">
        <f ca="1">IF(ISERROR(VLOOKUP(I1210,$C$3:$L$6,5,0)),"",IF(OR(VLOOKUP(I1210,$C$3:$L$6,5,0)=Variables!$B$5,B1210&gt;VLOOKUP(I1210,$C$3:$L$6,8,0)),IF(VLOOKUP(I1210,$C$3:$L$6,5,0)=Variables!$B$5,((YEAR(B1210)-YEAR($B$12))*12+MONTH(B1210)-MONTH($B$12)),((YEAR(B1210)-YEAR(VLOOKUP(I1210,$C$3:$L$6,8,0)))*12+MONTH(B1210)-MONTH(VLOOKUP(I1210,$C$3:$L$6,8,0))))*(VLOOKUP(I1210,$C$3:$L$6,10,0)*VLOOKUP(I1210,$C$3:$L$6,6,0)/12),0))</f>
        <v/>
      </c>
      <c r="K1210" s="29" t="str">
        <f ca="1">IF(C1210&lt;&gt;"",IF(I1210&lt;&gt;"",IF(ISERROR(VLOOKUP(I1210,$C$3:$L$6,10,0)),"",VLOOKUP(I1210,$C$3:$L$6,10,0)+J1210+IF(OR(VLOOKUP(I1210,$C$3:$L$6,5,0)=Variables!$B$5,B1210&gt;VLOOKUP(I1210,$C$3:$L$6,8,0)),IF(VLOOKUP(I1210,$C$3:$L$6,5,0)=Variables!$B$5,((YEAR(B1210)-YEAR($B$12))*12+MONTH(B1210)-MONTH($B$12)),((YEAR(B1210)-YEAR(VLOOKUP(I1210,$C$3:$L$6,8,0)))*12+MONTH(B1210)-MONTH(VLOOKUP(I1210,$C$3:$L$6,8,0))))*VLOOKUP(I1210,$C$3:$L$6,7,0),0)),""),"")</f>
        <v/>
      </c>
      <c r="L1210" s="29" t="str">
        <f t="shared" ca="1" si="104"/>
        <v/>
      </c>
      <c r="M1210" s="10"/>
      <c r="N1210" s="10"/>
    </row>
    <row r="1211" spans="1:14" x14ac:dyDescent="0.25">
      <c r="A1211" s="10"/>
      <c r="B1211" s="14" t="str">
        <f t="shared" ca="1" si="105"/>
        <v/>
      </c>
      <c r="C1211" s="14" t="str">
        <f ca="1">IF(I1210&lt;&gt;Variables!$B$1,IF(H1210&lt;&gt;0,C1210,I1210),"")</f>
        <v/>
      </c>
      <c r="D1211" s="29" t="str">
        <f t="shared" ca="1" si="102"/>
        <v/>
      </c>
      <c r="E1211" s="29" t="str">
        <f t="shared" ca="1" si="103"/>
        <v/>
      </c>
      <c r="F1211" s="29" t="str">
        <f ca="1">IF(C1211&lt;&gt;"",IF(OR(VLOOKUP(C1211,$C$3:$L$6,5,0)=Variables!$B$5,B1211&gt;VLOOKUP(C1211,$C$3:$L$6,8,0)),-D1211*VLOOKUP(C1211,$C$3:$L$6,6,0)/12,0),"")</f>
        <v/>
      </c>
      <c r="G1211" s="29" t="str">
        <f ca="1">IF(I1211&lt;&gt;Variables!$B$1,IF(C1211&lt;&gt;"",$I$9-E1211-F1211,""),-D1211)</f>
        <v/>
      </c>
      <c r="H1211" s="29" t="str">
        <f t="shared" ca="1" si="106"/>
        <v/>
      </c>
      <c r="I1211" s="31" t="str">
        <f ca="1">IF(C1211&lt;&gt;"",IF(D1211+$I$9-E1211-F1211&gt;=0,IF(ISERROR(INDEX($C$3:$C$6,MATCH(C1211,$C$3:$C$6,0)+1,0)),Variables!$B$1,INDEX($C$3:$C$6,MATCH(C1211,$C$3:$C$6,0)+1,0)),""),"")</f>
        <v/>
      </c>
      <c r="J1211" s="29" t="str">
        <f ca="1">IF(ISERROR(VLOOKUP(I1211,$C$3:$L$6,5,0)),"",IF(OR(VLOOKUP(I1211,$C$3:$L$6,5,0)=Variables!$B$5,B1211&gt;VLOOKUP(I1211,$C$3:$L$6,8,0)),IF(VLOOKUP(I1211,$C$3:$L$6,5,0)=Variables!$B$5,((YEAR(B1211)-YEAR($B$12))*12+MONTH(B1211)-MONTH($B$12)),((YEAR(B1211)-YEAR(VLOOKUP(I1211,$C$3:$L$6,8,0)))*12+MONTH(B1211)-MONTH(VLOOKUP(I1211,$C$3:$L$6,8,0))))*(VLOOKUP(I1211,$C$3:$L$6,10,0)*VLOOKUP(I1211,$C$3:$L$6,6,0)/12),0))</f>
        <v/>
      </c>
      <c r="K1211" s="29" t="str">
        <f ca="1">IF(C1211&lt;&gt;"",IF(I1211&lt;&gt;"",IF(ISERROR(VLOOKUP(I1211,$C$3:$L$6,10,0)),"",VLOOKUP(I1211,$C$3:$L$6,10,0)+J1211+IF(OR(VLOOKUP(I1211,$C$3:$L$6,5,0)=Variables!$B$5,B1211&gt;VLOOKUP(I1211,$C$3:$L$6,8,0)),IF(VLOOKUP(I1211,$C$3:$L$6,5,0)=Variables!$B$5,((YEAR(B1211)-YEAR($B$12))*12+MONTH(B1211)-MONTH($B$12)),((YEAR(B1211)-YEAR(VLOOKUP(I1211,$C$3:$L$6,8,0)))*12+MONTH(B1211)-MONTH(VLOOKUP(I1211,$C$3:$L$6,8,0))))*VLOOKUP(I1211,$C$3:$L$6,7,0),0)),""),"")</f>
        <v/>
      </c>
      <c r="L1211" s="29" t="str">
        <f t="shared" ca="1" si="104"/>
        <v/>
      </c>
      <c r="M1211" s="10"/>
      <c r="N1211" s="10"/>
    </row>
    <row r="1212" spans="1:14" x14ac:dyDescent="0.25">
      <c r="A1212" s="10"/>
      <c r="B1212" s="14" t="str">
        <f t="shared" ca="1" si="105"/>
        <v/>
      </c>
      <c r="C1212" s="14" t="str">
        <f ca="1">IF(I1211&lt;&gt;Variables!$B$1,IF(H1211&lt;&gt;0,C1211,I1211),"")</f>
        <v/>
      </c>
      <c r="D1212" s="29" t="str">
        <f t="shared" ca="1" si="102"/>
        <v/>
      </c>
      <c r="E1212" s="29" t="str">
        <f t="shared" ca="1" si="103"/>
        <v/>
      </c>
      <c r="F1212" s="29" t="str">
        <f ca="1">IF(C1212&lt;&gt;"",IF(OR(VLOOKUP(C1212,$C$3:$L$6,5,0)=Variables!$B$5,B1212&gt;VLOOKUP(C1212,$C$3:$L$6,8,0)),-D1212*VLOOKUP(C1212,$C$3:$L$6,6,0)/12,0),"")</f>
        <v/>
      </c>
      <c r="G1212" s="29" t="str">
        <f ca="1">IF(I1212&lt;&gt;Variables!$B$1,IF(C1212&lt;&gt;"",$I$9-E1212-F1212,""),-D1212)</f>
        <v/>
      </c>
      <c r="H1212" s="29" t="str">
        <f t="shared" ca="1" si="106"/>
        <v/>
      </c>
      <c r="I1212" s="31" t="str">
        <f ca="1">IF(C1212&lt;&gt;"",IF(D1212+$I$9-E1212-F1212&gt;=0,IF(ISERROR(INDEX($C$3:$C$6,MATCH(C1212,$C$3:$C$6,0)+1,0)),Variables!$B$1,INDEX($C$3:$C$6,MATCH(C1212,$C$3:$C$6,0)+1,0)),""),"")</f>
        <v/>
      </c>
      <c r="J1212" s="29" t="str">
        <f ca="1">IF(ISERROR(VLOOKUP(I1212,$C$3:$L$6,5,0)),"",IF(OR(VLOOKUP(I1212,$C$3:$L$6,5,0)=Variables!$B$5,B1212&gt;VLOOKUP(I1212,$C$3:$L$6,8,0)),IF(VLOOKUP(I1212,$C$3:$L$6,5,0)=Variables!$B$5,((YEAR(B1212)-YEAR($B$12))*12+MONTH(B1212)-MONTH($B$12)),((YEAR(B1212)-YEAR(VLOOKUP(I1212,$C$3:$L$6,8,0)))*12+MONTH(B1212)-MONTH(VLOOKUP(I1212,$C$3:$L$6,8,0))))*(VLOOKUP(I1212,$C$3:$L$6,10,0)*VLOOKUP(I1212,$C$3:$L$6,6,0)/12),0))</f>
        <v/>
      </c>
      <c r="K1212" s="29" t="str">
        <f ca="1">IF(C1212&lt;&gt;"",IF(I1212&lt;&gt;"",IF(ISERROR(VLOOKUP(I1212,$C$3:$L$6,10,0)),"",VLOOKUP(I1212,$C$3:$L$6,10,0)+J1212+IF(OR(VLOOKUP(I1212,$C$3:$L$6,5,0)=Variables!$B$5,B1212&gt;VLOOKUP(I1212,$C$3:$L$6,8,0)),IF(VLOOKUP(I1212,$C$3:$L$6,5,0)=Variables!$B$5,((YEAR(B1212)-YEAR($B$12))*12+MONTH(B1212)-MONTH($B$12)),((YEAR(B1212)-YEAR(VLOOKUP(I1212,$C$3:$L$6,8,0)))*12+MONTH(B1212)-MONTH(VLOOKUP(I1212,$C$3:$L$6,8,0))))*VLOOKUP(I1212,$C$3:$L$6,7,0),0)),""),"")</f>
        <v/>
      </c>
      <c r="L1212" s="29" t="str">
        <f t="shared" ca="1" si="104"/>
        <v/>
      </c>
      <c r="M1212" s="10"/>
      <c r="N1212" s="10"/>
    </row>
    <row r="1213" spans="1:14" x14ac:dyDescent="0.25">
      <c r="B1213" s="14" t="str">
        <f t="shared" ca="1" si="105"/>
        <v/>
      </c>
      <c r="C1213" s="14" t="str">
        <f ca="1">IF(I1212&lt;&gt;Variables!$B$1,IF(H1212&lt;&gt;0,C1212,I1212),"")</f>
        <v/>
      </c>
      <c r="D1213" s="29" t="str">
        <f t="shared" ca="1" si="102"/>
        <v/>
      </c>
      <c r="E1213" s="29" t="str">
        <f t="shared" ca="1" si="103"/>
        <v/>
      </c>
      <c r="F1213" s="29" t="str">
        <f ca="1">IF(C1213&lt;&gt;"",IF(OR(VLOOKUP(C1213,$C$3:$L$6,5,0)=Variables!$B$5,B1213&gt;VLOOKUP(C1213,$C$3:$L$6,8,0)),-D1213*VLOOKUP(C1213,$C$3:$L$6,6,0)/12,0),"")</f>
        <v/>
      </c>
      <c r="G1213" s="29" t="str">
        <f ca="1">IF(I1213&lt;&gt;Variables!$B$1,IF(C1213&lt;&gt;"",$I$9-E1213-F1213,""),-D1213)</f>
        <v/>
      </c>
      <c r="H1213" s="29" t="str">
        <f t="shared" ca="1" si="106"/>
        <v/>
      </c>
      <c r="I1213" s="31" t="str">
        <f ca="1">IF(C1213&lt;&gt;"",IF(D1213+$I$9-E1213-F1213&gt;=0,IF(ISERROR(INDEX($C$3:$C$6,MATCH(C1213,$C$3:$C$6,0)+1,0)),Variables!$B$1,INDEX($C$3:$C$6,MATCH(C1213,$C$3:$C$6,0)+1,0)),""),"")</f>
        <v/>
      </c>
      <c r="J1213" s="29" t="str">
        <f ca="1">IF(ISERROR(VLOOKUP(I1213,$C$3:$L$6,5,0)),"",IF(OR(VLOOKUP(I1213,$C$3:$L$6,5,0)=Variables!$B$5,B1213&gt;VLOOKUP(I1213,$C$3:$L$6,8,0)),IF(VLOOKUP(I1213,$C$3:$L$6,5,0)=Variables!$B$5,((YEAR(B1213)-YEAR($B$12))*12+MONTH(B1213)-MONTH($B$12)),((YEAR(B1213)-YEAR(VLOOKUP(I1213,$C$3:$L$6,8,0)))*12+MONTH(B1213)-MONTH(VLOOKUP(I1213,$C$3:$L$6,8,0))))*(VLOOKUP(I1213,$C$3:$L$6,10,0)*VLOOKUP(I1213,$C$3:$L$6,6,0)/12),0))</f>
        <v/>
      </c>
      <c r="K1213" s="29" t="str">
        <f ca="1">IF(C1213&lt;&gt;"",IF(I1213&lt;&gt;"",IF(ISERROR(VLOOKUP(I1213,$C$3:$L$6,10,0)),"",VLOOKUP(I1213,$C$3:$L$6,10,0)+J1213+IF(OR(VLOOKUP(I1213,$C$3:$L$6,5,0)=Variables!$B$5,B1213&gt;VLOOKUP(I1213,$C$3:$L$6,8,0)),IF(VLOOKUP(I1213,$C$3:$L$6,5,0)=Variables!$B$5,((YEAR(B1213)-YEAR($B$12))*12+MONTH(B1213)-MONTH($B$12)),((YEAR(B1213)-YEAR(VLOOKUP(I1213,$C$3:$L$6,8,0)))*12+MONTH(B1213)-MONTH(VLOOKUP(I1213,$C$3:$L$6,8,0))))*VLOOKUP(I1213,$C$3:$L$6,7,0),0)),""),"")</f>
        <v/>
      </c>
      <c r="L1213" s="29" t="str">
        <f t="shared" ca="1" si="104"/>
        <v/>
      </c>
    </row>
    <row r="1214" spans="1:14" x14ac:dyDescent="0.25">
      <c r="B1214" s="14" t="str">
        <f t="shared" ca="1" si="105"/>
        <v/>
      </c>
      <c r="C1214" s="14" t="str">
        <f ca="1">IF(I1213&lt;&gt;Variables!$B$1,IF(H1213&lt;&gt;0,C1213,I1213),"")</f>
        <v/>
      </c>
      <c r="D1214" s="29" t="str">
        <f t="shared" ca="1" si="102"/>
        <v/>
      </c>
      <c r="E1214" s="29" t="str">
        <f t="shared" ca="1" si="103"/>
        <v/>
      </c>
      <c r="F1214" s="29" t="str">
        <f ca="1">IF(C1214&lt;&gt;"",IF(OR(VLOOKUP(C1214,$C$3:$L$6,5,0)=Variables!$B$5,B1214&gt;VLOOKUP(C1214,$C$3:$L$6,8,0)),-D1214*VLOOKUP(C1214,$C$3:$L$6,6,0)/12,0),"")</f>
        <v/>
      </c>
      <c r="G1214" s="29" t="str">
        <f ca="1">IF(I1214&lt;&gt;Variables!$B$1,IF(C1214&lt;&gt;"",$I$9-E1214-F1214,""),-D1214)</f>
        <v/>
      </c>
      <c r="H1214" s="29" t="str">
        <f t="shared" ca="1" si="106"/>
        <v/>
      </c>
      <c r="I1214" s="31" t="str">
        <f ca="1">IF(C1214&lt;&gt;"",IF(D1214+$I$9-E1214-F1214&gt;=0,IF(ISERROR(INDEX($C$3:$C$6,MATCH(C1214,$C$3:$C$6,0)+1,0)),Variables!$B$1,INDEX($C$3:$C$6,MATCH(C1214,$C$3:$C$6,0)+1,0)),""),"")</f>
        <v/>
      </c>
      <c r="J1214" s="29" t="str">
        <f ca="1">IF(ISERROR(VLOOKUP(I1214,$C$3:$L$6,5,0)),"",IF(OR(VLOOKUP(I1214,$C$3:$L$6,5,0)=Variables!$B$5,B1214&gt;VLOOKUP(I1214,$C$3:$L$6,8,0)),IF(VLOOKUP(I1214,$C$3:$L$6,5,0)=Variables!$B$5,((YEAR(B1214)-YEAR($B$12))*12+MONTH(B1214)-MONTH($B$12)),((YEAR(B1214)-YEAR(VLOOKUP(I1214,$C$3:$L$6,8,0)))*12+MONTH(B1214)-MONTH(VLOOKUP(I1214,$C$3:$L$6,8,0))))*(VLOOKUP(I1214,$C$3:$L$6,10,0)*VLOOKUP(I1214,$C$3:$L$6,6,0)/12),0))</f>
        <v/>
      </c>
      <c r="K1214" s="29" t="str">
        <f ca="1">IF(C1214&lt;&gt;"",IF(I1214&lt;&gt;"",IF(ISERROR(VLOOKUP(I1214,$C$3:$L$6,10,0)),"",VLOOKUP(I1214,$C$3:$L$6,10,0)+J1214+IF(OR(VLOOKUP(I1214,$C$3:$L$6,5,0)=Variables!$B$5,B1214&gt;VLOOKUP(I1214,$C$3:$L$6,8,0)),IF(VLOOKUP(I1214,$C$3:$L$6,5,0)=Variables!$B$5,((YEAR(B1214)-YEAR($B$12))*12+MONTH(B1214)-MONTH($B$12)),((YEAR(B1214)-YEAR(VLOOKUP(I1214,$C$3:$L$6,8,0)))*12+MONTH(B1214)-MONTH(VLOOKUP(I1214,$C$3:$L$6,8,0))))*VLOOKUP(I1214,$C$3:$L$6,7,0),0)),""),"")</f>
        <v/>
      </c>
      <c r="L1214" s="29" t="str">
        <f t="shared" ca="1" si="104"/>
        <v/>
      </c>
    </row>
    <row r="1215" spans="1:14" x14ac:dyDescent="0.25">
      <c r="B1215" s="14" t="str">
        <f t="shared" ca="1" si="105"/>
        <v/>
      </c>
      <c r="C1215" s="14" t="str">
        <f ca="1">IF(I1214&lt;&gt;Variables!$B$1,IF(H1214&lt;&gt;0,C1214,I1214),"")</f>
        <v/>
      </c>
      <c r="D1215" s="29" t="str">
        <f t="shared" ca="1" si="102"/>
        <v/>
      </c>
      <c r="E1215" s="29" t="str">
        <f t="shared" ca="1" si="103"/>
        <v/>
      </c>
      <c r="F1215" s="29" t="str">
        <f ca="1">IF(C1215&lt;&gt;"",IF(OR(VLOOKUP(C1215,$C$3:$L$6,5,0)=Variables!$B$5,B1215&gt;VLOOKUP(C1215,$C$3:$L$6,8,0)),-D1215*VLOOKUP(C1215,$C$3:$L$6,6,0)/12,0),"")</f>
        <v/>
      </c>
      <c r="G1215" s="29" t="str">
        <f ca="1">IF(I1215&lt;&gt;Variables!$B$1,IF(C1215&lt;&gt;"",$I$9-E1215-F1215,""),-D1215)</f>
        <v/>
      </c>
      <c r="H1215" s="29" t="str">
        <f t="shared" ca="1" si="106"/>
        <v/>
      </c>
      <c r="I1215" s="31" t="str">
        <f ca="1">IF(C1215&lt;&gt;"",IF(D1215+$I$9-E1215-F1215&gt;=0,IF(ISERROR(INDEX($C$3:$C$6,MATCH(C1215,$C$3:$C$6,0)+1,0)),Variables!$B$1,INDEX($C$3:$C$6,MATCH(C1215,$C$3:$C$6,0)+1,0)),""),"")</f>
        <v/>
      </c>
      <c r="J1215" s="29" t="str">
        <f ca="1">IF(ISERROR(VLOOKUP(I1215,$C$3:$L$6,5,0)),"",IF(OR(VLOOKUP(I1215,$C$3:$L$6,5,0)=Variables!$B$5,B1215&gt;VLOOKUP(I1215,$C$3:$L$6,8,0)),IF(VLOOKUP(I1215,$C$3:$L$6,5,0)=Variables!$B$5,((YEAR(B1215)-YEAR($B$12))*12+MONTH(B1215)-MONTH($B$12)),((YEAR(B1215)-YEAR(VLOOKUP(I1215,$C$3:$L$6,8,0)))*12+MONTH(B1215)-MONTH(VLOOKUP(I1215,$C$3:$L$6,8,0))))*(VLOOKUP(I1215,$C$3:$L$6,10,0)*VLOOKUP(I1215,$C$3:$L$6,6,0)/12),0))</f>
        <v/>
      </c>
      <c r="K1215" s="29" t="str">
        <f ca="1">IF(C1215&lt;&gt;"",IF(I1215&lt;&gt;"",IF(ISERROR(VLOOKUP(I1215,$C$3:$L$6,10,0)),"",VLOOKUP(I1215,$C$3:$L$6,10,0)+J1215+IF(OR(VLOOKUP(I1215,$C$3:$L$6,5,0)=Variables!$B$5,B1215&gt;VLOOKUP(I1215,$C$3:$L$6,8,0)),IF(VLOOKUP(I1215,$C$3:$L$6,5,0)=Variables!$B$5,((YEAR(B1215)-YEAR($B$12))*12+MONTH(B1215)-MONTH($B$12)),((YEAR(B1215)-YEAR(VLOOKUP(I1215,$C$3:$L$6,8,0)))*12+MONTH(B1215)-MONTH(VLOOKUP(I1215,$C$3:$L$6,8,0))))*VLOOKUP(I1215,$C$3:$L$6,7,0),0)),""),"")</f>
        <v/>
      </c>
      <c r="L1215" s="29" t="str">
        <f t="shared" ca="1" si="104"/>
        <v/>
      </c>
    </row>
    <row r="1216" spans="1:14" x14ac:dyDescent="0.25">
      <c r="B1216" s="14" t="str">
        <f t="shared" ca="1" si="105"/>
        <v/>
      </c>
      <c r="C1216" s="14" t="str">
        <f ca="1">IF(I1215&lt;&gt;Variables!$B$1,IF(H1215&lt;&gt;0,C1215,I1215),"")</f>
        <v/>
      </c>
      <c r="D1216" s="29" t="str">
        <f t="shared" ca="1" si="102"/>
        <v/>
      </c>
      <c r="E1216" s="29" t="str">
        <f t="shared" ca="1" si="103"/>
        <v/>
      </c>
      <c r="F1216" s="29" t="str">
        <f ca="1">IF(C1216&lt;&gt;"",IF(OR(VLOOKUP(C1216,$C$3:$L$6,5,0)=Variables!$B$5,B1216&gt;VLOOKUP(C1216,$C$3:$L$6,8,0)),-D1216*VLOOKUP(C1216,$C$3:$L$6,6,0)/12,0),"")</f>
        <v/>
      </c>
      <c r="G1216" s="29" t="str">
        <f ca="1">IF(I1216&lt;&gt;Variables!$B$1,IF(C1216&lt;&gt;"",$I$9-E1216-F1216,""),-D1216)</f>
        <v/>
      </c>
      <c r="H1216" s="29" t="str">
        <f t="shared" ca="1" si="106"/>
        <v/>
      </c>
      <c r="I1216" s="31" t="str">
        <f ca="1">IF(C1216&lt;&gt;"",IF(D1216+$I$9-E1216-F1216&gt;=0,IF(ISERROR(INDEX($C$3:$C$6,MATCH(C1216,$C$3:$C$6,0)+1,0)),Variables!$B$1,INDEX($C$3:$C$6,MATCH(C1216,$C$3:$C$6,0)+1,0)),""),"")</f>
        <v/>
      </c>
      <c r="J1216" s="29" t="str">
        <f ca="1">IF(ISERROR(VLOOKUP(I1216,$C$3:$L$6,5,0)),"",IF(OR(VLOOKUP(I1216,$C$3:$L$6,5,0)=Variables!$B$5,B1216&gt;VLOOKUP(I1216,$C$3:$L$6,8,0)),IF(VLOOKUP(I1216,$C$3:$L$6,5,0)=Variables!$B$5,((YEAR(B1216)-YEAR($B$12))*12+MONTH(B1216)-MONTH($B$12)),((YEAR(B1216)-YEAR(VLOOKUP(I1216,$C$3:$L$6,8,0)))*12+MONTH(B1216)-MONTH(VLOOKUP(I1216,$C$3:$L$6,8,0))))*(VLOOKUP(I1216,$C$3:$L$6,10,0)*VLOOKUP(I1216,$C$3:$L$6,6,0)/12),0))</f>
        <v/>
      </c>
      <c r="K1216" s="29" t="str">
        <f ca="1">IF(C1216&lt;&gt;"",IF(I1216&lt;&gt;"",IF(ISERROR(VLOOKUP(I1216,$C$3:$L$6,10,0)),"",VLOOKUP(I1216,$C$3:$L$6,10,0)+J1216+IF(OR(VLOOKUP(I1216,$C$3:$L$6,5,0)=Variables!$B$5,B1216&gt;VLOOKUP(I1216,$C$3:$L$6,8,0)),IF(VLOOKUP(I1216,$C$3:$L$6,5,0)=Variables!$B$5,((YEAR(B1216)-YEAR($B$12))*12+MONTH(B1216)-MONTH($B$12)),((YEAR(B1216)-YEAR(VLOOKUP(I1216,$C$3:$L$6,8,0)))*12+MONTH(B1216)-MONTH(VLOOKUP(I1216,$C$3:$L$6,8,0))))*VLOOKUP(I1216,$C$3:$L$6,7,0),0)),""),"")</f>
        <v/>
      </c>
      <c r="L1216" s="29" t="str">
        <f t="shared" ca="1" si="104"/>
        <v/>
      </c>
    </row>
    <row r="1217" spans="2:12" x14ac:dyDescent="0.25">
      <c r="B1217" s="14" t="str">
        <f t="shared" ca="1" si="105"/>
        <v/>
      </c>
      <c r="C1217" s="14" t="str">
        <f ca="1">IF(I1216&lt;&gt;Variables!$B$1,IF(H1216&lt;&gt;0,C1216,I1216),"")</f>
        <v/>
      </c>
      <c r="D1217" s="29" t="str">
        <f t="shared" ca="1" si="102"/>
        <v/>
      </c>
      <c r="E1217" s="29" t="str">
        <f t="shared" ca="1" si="103"/>
        <v/>
      </c>
      <c r="F1217" s="29" t="str">
        <f ca="1">IF(C1217&lt;&gt;"",IF(OR(VLOOKUP(C1217,$C$3:$L$6,5,0)=Variables!$B$5,B1217&gt;VLOOKUP(C1217,$C$3:$L$6,8,0)),-D1217*VLOOKUP(C1217,$C$3:$L$6,6,0)/12,0),"")</f>
        <v/>
      </c>
      <c r="G1217" s="29" t="str">
        <f ca="1">IF(I1217&lt;&gt;Variables!$B$1,IF(C1217&lt;&gt;"",$I$9-E1217-F1217,""),-D1217)</f>
        <v/>
      </c>
      <c r="H1217" s="29" t="str">
        <f t="shared" ca="1" si="106"/>
        <v/>
      </c>
      <c r="I1217" s="31" t="str">
        <f ca="1">IF(C1217&lt;&gt;"",IF(D1217+$I$9-E1217-F1217&gt;=0,IF(ISERROR(INDEX($C$3:$C$6,MATCH(C1217,$C$3:$C$6,0)+1,0)),Variables!$B$1,INDEX($C$3:$C$6,MATCH(C1217,$C$3:$C$6,0)+1,0)),""),"")</f>
        <v/>
      </c>
      <c r="J1217" s="29" t="str">
        <f ca="1">IF(ISERROR(VLOOKUP(I1217,$C$3:$L$6,5,0)),"",IF(OR(VLOOKUP(I1217,$C$3:$L$6,5,0)=Variables!$B$5,B1217&gt;VLOOKUP(I1217,$C$3:$L$6,8,0)),IF(VLOOKUP(I1217,$C$3:$L$6,5,0)=Variables!$B$5,((YEAR(B1217)-YEAR($B$12))*12+MONTH(B1217)-MONTH($B$12)),((YEAR(B1217)-YEAR(VLOOKUP(I1217,$C$3:$L$6,8,0)))*12+MONTH(B1217)-MONTH(VLOOKUP(I1217,$C$3:$L$6,8,0))))*(VLOOKUP(I1217,$C$3:$L$6,10,0)*VLOOKUP(I1217,$C$3:$L$6,6,0)/12),0))</f>
        <v/>
      </c>
      <c r="K1217" s="29" t="str">
        <f ca="1">IF(C1217&lt;&gt;"",IF(I1217&lt;&gt;"",IF(ISERROR(VLOOKUP(I1217,$C$3:$L$6,10,0)),"",VLOOKUP(I1217,$C$3:$L$6,10,0)+J1217+IF(OR(VLOOKUP(I1217,$C$3:$L$6,5,0)=Variables!$B$5,B1217&gt;VLOOKUP(I1217,$C$3:$L$6,8,0)),IF(VLOOKUP(I1217,$C$3:$L$6,5,0)=Variables!$B$5,((YEAR(B1217)-YEAR($B$12))*12+MONTH(B1217)-MONTH($B$12)),((YEAR(B1217)-YEAR(VLOOKUP(I1217,$C$3:$L$6,8,0)))*12+MONTH(B1217)-MONTH(VLOOKUP(I1217,$C$3:$L$6,8,0))))*VLOOKUP(I1217,$C$3:$L$6,7,0),0)),""),"")</f>
        <v/>
      </c>
      <c r="L1217" s="29" t="str">
        <f t="shared" ca="1" si="104"/>
        <v/>
      </c>
    </row>
    <row r="1218" spans="2:12" x14ac:dyDescent="0.25">
      <c r="B1218" s="14" t="str">
        <f t="shared" ca="1" si="105"/>
        <v/>
      </c>
      <c r="C1218" s="14" t="str">
        <f ca="1">IF(I1217&lt;&gt;Variables!$B$1,IF(H1217&lt;&gt;0,C1217,I1217),"")</f>
        <v/>
      </c>
      <c r="D1218" s="29" t="str">
        <f t="shared" ca="1" si="102"/>
        <v/>
      </c>
      <c r="E1218" s="29" t="str">
        <f t="shared" ca="1" si="103"/>
        <v/>
      </c>
      <c r="F1218" s="29" t="str">
        <f ca="1">IF(C1218&lt;&gt;"",IF(OR(VLOOKUP(C1218,$C$3:$L$6,5,0)=Variables!$B$5,B1218&gt;VLOOKUP(C1218,$C$3:$L$6,8,0)),-D1218*VLOOKUP(C1218,$C$3:$L$6,6,0)/12,0),"")</f>
        <v/>
      </c>
      <c r="G1218" s="29" t="str">
        <f ca="1">IF(I1218&lt;&gt;Variables!$B$1,IF(C1218&lt;&gt;"",$I$9-E1218-F1218,""),-D1218)</f>
        <v/>
      </c>
      <c r="H1218" s="29" t="str">
        <f t="shared" ca="1" si="106"/>
        <v/>
      </c>
      <c r="I1218" s="31" t="str">
        <f ca="1">IF(C1218&lt;&gt;"",IF(D1218+$I$9-E1218-F1218&gt;=0,IF(ISERROR(INDEX($C$3:$C$6,MATCH(C1218,$C$3:$C$6,0)+1,0)),Variables!$B$1,INDEX($C$3:$C$6,MATCH(C1218,$C$3:$C$6,0)+1,0)),""),"")</f>
        <v/>
      </c>
      <c r="J1218" s="29" t="str">
        <f ca="1">IF(ISERROR(VLOOKUP(I1218,$C$3:$L$6,5,0)),"",IF(OR(VLOOKUP(I1218,$C$3:$L$6,5,0)=Variables!$B$5,B1218&gt;VLOOKUP(I1218,$C$3:$L$6,8,0)),IF(VLOOKUP(I1218,$C$3:$L$6,5,0)=Variables!$B$5,((YEAR(B1218)-YEAR($B$12))*12+MONTH(B1218)-MONTH($B$12)),((YEAR(B1218)-YEAR(VLOOKUP(I1218,$C$3:$L$6,8,0)))*12+MONTH(B1218)-MONTH(VLOOKUP(I1218,$C$3:$L$6,8,0))))*(VLOOKUP(I1218,$C$3:$L$6,10,0)*VLOOKUP(I1218,$C$3:$L$6,6,0)/12),0))</f>
        <v/>
      </c>
      <c r="K1218" s="29" t="str">
        <f ca="1">IF(C1218&lt;&gt;"",IF(I1218&lt;&gt;"",IF(ISERROR(VLOOKUP(I1218,$C$3:$L$6,10,0)),"",VLOOKUP(I1218,$C$3:$L$6,10,0)+J1218+IF(OR(VLOOKUP(I1218,$C$3:$L$6,5,0)=Variables!$B$5,B1218&gt;VLOOKUP(I1218,$C$3:$L$6,8,0)),IF(VLOOKUP(I1218,$C$3:$L$6,5,0)=Variables!$B$5,((YEAR(B1218)-YEAR($B$12))*12+MONTH(B1218)-MONTH($B$12)),((YEAR(B1218)-YEAR(VLOOKUP(I1218,$C$3:$L$6,8,0)))*12+MONTH(B1218)-MONTH(VLOOKUP(I1218,$C$3:$L$6,8,0))))*VLOOKUP(I1218,$C$3:$L$6,7,0),0)),""),"")</f>
        <v/>
      </c>
      <c r="L1218" s="29" t="str">
        <f t="shared" ca="1" si="104"/>
        <v/>
      </c>
    </row>
    <row r="1219" spans="2:12" x14ac:dyDescent="0.25">
      <c r="B1219" s="14" t="str">
        <f t="shared" ca="1" si="105"/>
        <v/>
      </c>
      <c r="C1219" s="14" t="str">
        <f ca="1">IF(I1218&lt;&gt;Variables!$B$1,IF(H1218&lt;&gt;0,C1218,I1218),"")</f>
        <v/>
      </c>
      <c r="D1219" s="29" t="str">
        <f t="shared" ca="1" si="102"/>
        <v/>
      </c>
      <c r="E1219" s="29" t="str">
        <f t="shared" ca="1" si="103"/>
        <v/>
      </c>
      <c r="F1219" s="29" t="str">
        <f ca="1">IF(C1219&lt;&gt;"",IF(OR(VLOOKUP(C1219,$C$3:$L$6,5,0)=Variables!$B$5,B1219&gt;VLOOKUP(C1219,$C$3:$L$6,8,0)),-D1219*VLOOKUP(C1219,$C$3:$L$6,6,0)/12,0),"")</f>
        <v/>
      </c>
      <c r="G1219" s="29" t="str">
        <f ca="1">IF(I1219&lt;&gt;Variables!$B$1,IF(C1219&lt;&gt;"",$I$9-E1219-F1219,""),-D1219)</f>
        <v/>
      </c>
      <c r="H1219" s="29" t="str">
        <f t="shared" ca="1" si="106"/>
        <v/>
      </c>
      <c r="I1219" s="31" t="str">
        <f ca="1">IF(C1219&lt;&gt;"",IF(D1219+$I$9-E1219-F1219&gt;=0,IF(ISERROR(INDEX($C$3:$C$6,MATCH(C1219,$C$3:$C$6,0)+1,0)),Variables!$B$1,INDEX($C$3:$C$6,MATCH(C1219,$C$3:$C$6,0)+1,0)),""),"")</f>
        <v/>
      </c>
      <c r="J1219" s="29" t="str">
        <f ca="1">IF(ISERROR(VLOOKUP(I1219,$C$3:$L$6,5,0)),"",IF(OR(VLOOKUP(I1219,$C$3:$L$6,5,0)=Variables!$B$5,B1219&gt;VLOOKUP(I1219,$C$3:$L$6,8,0)),IF(VLOOKUP(I1219,$C$3:$L$6,5,0)=Variables!$B$5,((YEAR(B1219)-YEAR($B$12))*12+MONTH(B1219)-MONTH($B$12)),((YEAR(B1219)-YEAR(VLOOKUP(I1219,$C$3:$L$6,8,0)))*12+MONTH(B1219)-MONTH(VLOOKUP(I1219,$C$3:$L$6,8,0))))*(VLOOKUP(I1219,$C$3:$L$6,10,0)*VLOOKUP(I1219,$C$3:$L$6,6,0)/12),0))</f>
        <v/>
      </c>
      <c r="K1219" s="29" t="str">
        <f ca="1">IF(C1219&lt;&gt;"",IF(I1219&lt;&gt;"",IF(ISERROR(VLOOKUP(I1219,$C$3:$L$6,10,0)),"",VLOOKUP(I1219,$C$3:$L$6,10,0)+J1219+IF(OR(VLOOKUP(I1219,$C$3:$L$6,5,0)=Variables!$B$5,B1219&gt;VLOOKUP(I1219,$C$3:$L$6,8,0)),IF(VLOOKUP(I1219,$C$3:$L$6,5,0)=Variables!$B$5,((YEAR(B1219)-YEAR($B$12))*12+MONTH(B1219)-MONTH($B$12)),((YEAR(B1219)-YEAR(VLOOKUP(I1219,$C$3:$L$6,8,0)))*12+MONTH(B1219)-MONTH(VLOOKUP(I1219,$C$3:$L$6,8,0))))*VLOOKUP(I1219,$C$3:$L$6,7,0),0)),""),"")</f>
        <v/>
      </c>
      <c r="L1219" s="29" t="str">
        <f t="shared" ca="1" si="104"/>
        <v/>
      </c>
    </row>
    <row r="1220" spans="2:12" x14ac:dyDescent="0.25">
      <c r="B1220" s="14" t="str">
        <f t="shared" ca="1" si="105"/>
        <v/>
      </c>
      <c r="C1220" s="14" t="str">
        <f ca="1">IF(I1219&lt;&gt;Variables!$B$1,IF(H1219&lt;&gt;0,C1219,I1219),"")</f>
        <v/>
      </c>
      <c r="D1220" s="29" t="str">
        <f t="shared" ca="1" si="102"/>
        <v/>
      </c>
      <c r="E1220" s="29" t="str">
        <f t="shared" ca="1" si="103"/>
        <v/>
      </c>
      <c r="F1220" s="29" t="str">
        <f ca="1">IF(C1220&lt;&gt;"",IF(OR(VLOOKUP(C1220,$C$3:$L$6,5,0)=Variables!$B$5,B1220&gt;VLOOKUP(C1220,$C$3:$L$6,8,0)),-D1220*VLOOKUP(C1220,$C$3:$L$6,6,0)/12,0),"")</f>
        <v/>
      </c>
      <c r="G1220" s="29" t="str">
        <f ca="1">IF(I1220&lt;&gt;Variables!$B$1,IF(C1220&lt;&gt;"",$I$9-E1220-F1220,""),-D1220)</f>
        <v/>
      </c>
      <c r="H1220" s="29" t="str">
        <f t="shared" ca="1" si="106"/>
        <v/>
      </c>
      <c r="I1220" s="31" t="str">
        <f ca="1">IF(C1220&lt;&gt;"",IF(D1220+$I$9-E1220-F1220&gt;=0,IF(ISERROR(INDEX($C$3:$C$6,MATCH(C1220,$C$3:$C$6,0)+1,0)),Variables!$B$1,INDEX($C$3:$C$6,MATCH(C1220,$C$3:$C$6,0)+1,0)),""),"")</f>
        <v/>
      </c>
      <c r="J1220" s="29" t="str">
        <f ca="1">IF(ISERROR(VLOOKUP(I1220,$C$3:$L$6,5,0)),"",IF(OR(VLOOKUP(I1220,$C$3:$L$6,5,0)=Variables!$B$5,B1220&gt;VLOOKUP(I1220,$C$3:$L$6,8,0)),IF(VLOOKUP(I1220,$C$3:$L$6,5,0)=Variables!$B$5,((YEAR(B1220)-YEAR($B$12))*12+MONTH(B1220)-MONTH($B$12)),((YEAR(B1220)-YEAR(VLOOKUP(I1220,$C$3:$L$6,8,0)))*12+MONTH(B1220)-MONTH(VLOOKUP(I1220,$C$3:$L$6,8,0))))*(VLOOKUP(I1220,$C$3:$L$6,10,0)*VLOOKUP(I1220,$C$3:$L$6,6,0)/12),0))</f>
        <v/>
      </c>
      <c r="K1220" s="29" t="str">
        <f ca="1">IF(C1220&lt;&gt;"",IF(I1220&lt;&gt;"",IF(ISERROR(VLOOKUP(I1220,$C$3:$L$6,10,0)),"",VLOOKUP(I1220,$C$3:$L$6,10,0)+J1220+IF(OR(VLOOKUP(I1220,$C$3:$L$6,5,0)=Variables!$B$5,B1220&gt;VLOOKUP(I1220,$C$3:$L$6,8,0)),IF(VLOOKUP(I1220,$C$3:$L$6,5,0)=Variables!$B$5,((YEAR(B1220)-YEAR($B$12))*12+MONTH(B1220)-MONTH($B$12)),((YEAR(B1220)-YEAR(VLOOKUP(I1220,$C$3:$L$6,8,0)))*12+MONTH(B1220)-MONTH(VLOOKUP(I1220,$C$3:$L$6,8,0))))*VLOOKUP(I1220,$C$3:$L$6,7,0),0)),""),"")</f>
        <v/>
      </c>
      <c r="L1220" s="29" t="str">
        <f t="shared" ca="1" si="104"/>
        <v/>
      </c>
    </row>
    <row r="1221" spans="2:12" x14ac:dyDescent="0.25">
      <c r="B1221" s="14" t="str">
        <f t="shared" ca="1" si="105"/>
        <v/>
      </c>
      <c r="C1221" s="14" t="str">
        <f ca="1">IF(I1220&lt;&gt;Variables!$B$1,IF(H1220&lt;&gt;0,C1220,I1220),"")</f>
        <v/>
      </c>
      <c r="D1221" s="29" t="str">
        <f t="shared" ca="1" si="102"/>
        <v/>
      </c>
      <c r="E1221" s="29" t="str">
        <f t="shared" ca="1" si="103"/>
        <v/>
      </c>
      <c r="F1221" s="29" t="str">
        <f ca="1">IF(C1221&lt;&gt;"",IF(OR(VLOOKUP(C1221,$C$3:$L$6,5,0)=Variables!$B$5,B1221&gt;VLOOKUP(C1221,$C$3:$L$6,8,0)),-D1221*VLOOKUP(C1221,$C$3:$L$6,6,0)/12,0),"")</f>
        <v/>
      </c>
      <c r="G1221" s="29" t="str">
        <f ca="1">IF(I1221&lt;&gt;Variables!$B$1,IF(C1221&lt;&gt;"",$I$9-E1221-F1221,""),-D1221)</f>
        <v/>
      </c>
      <c r="H1221" s="29" t="str">
        <f t="shared" ca="1" si="106"/>
        <v/>
      </c>
      <c r="I1221" s="31" t="str">
        <f ca="1">IF(C1221&lt;&gt;"",IF(D1221+$I$9-E1221-F1221&gt;=0,IF(ISERROR(INDEX($C$3:$C$6,MATCH(C1221,$C$3:$C$6,0)+1,0)),Variables!$B$1,INDEX($C$3:$C$6,MATCH(C1221,$C$3:$C$6,0)+1,0)),""),"")</f>
        <v/>
      </c>
      <c r="J1221" s="29" t="str">
        <f ca="1">IF(ISERROR(VLOOKUP(I1221,$C$3:$L$6,5,0)),"",IF(OR(VLOOKUP(I1221,$C$3:$L$6,5,0)=Variables!$B$5,B1221&gt;VLOOKUP(I1221,$C$3:$L$6,8,0)),IF(VLOOKUP(I1221,$C$3:$L$6,5,0)=Variables!$B$5,((YEAR(B1221)-YEAR($B$12))*12+MONTH(B1221)-MONTH($B$12)),((YEAR(B1221)-YEAR(VLOOKUP(I1221,$C$3:$L$6,8,0)))*12+MONTH(B1221)-MONTH(VLOOKUP(I1221,$C$3:$L$6,8,0))))*(VLOOKUP(I1221,$C$3:$L$6,10,0)*VLOOKUP(I1221,$C$3:$L$6,6,0)/12),0))</f>
        <v/>
      </c>
      <c r="K1221" s="29" t="str">
        <f ca="1">IF(C1221&lt;&gt;"",IF(I1221&lt;&gt;"",IF(ISERROR(VLOOKUP(I1221,$C$3:$L$6,10,0)),"",VLOOKUP(I1221,$C$3:$L$6,10,0)+J1221+IF(OR(VLOOKUP(I1221,$C$3:$L$6,5,0)=Variables!$B$5,B1221&gt;VLOOKUP(I1221,$C$3:$L$6,8,0)),IF(VLOOKUP(I1221,$C$3:$L$6,5,0)=Variables!$B$5,((YEAR(B1221)-YEAR($B$12))*12+MONTH(B1221)-MONTH($B$12)),((YEAR(B1221)-YEAR(VLOOKUP(I1221,$C$3:$L$6,8,0)))*12+MONTH(B1221)-MONTH(VLOOKUP(I1221,$C$3:$L$6,8,0))))*VLOOKUP(I1221,$C$3:$L$6,7,0),0)),""),"")</f>
        <v/>
      </c>
      <c r="L1221" s="29" t="str">
        <f t="shared" ca="1" si="104"/>
        <v/>
      </c>
    </row>
    <row r="1222" spans="2:12" x14ac:dyDescent="0.25">
      <c r="B1222" s="14" t="str">
        <f t="shared" ca="1" si="105"/>
        <v/>
      </c>
      <c r="C1222" s="14" t="str">
        <f ca="1">IF(I1221&lt;&gt;Variables!$B$1,IF(H1221&lt;&gt;0,C1221,I1221),"")</f>
        <v/>
      </c>
      <c r="D1222" s="29" t="str">
        <f t="shared" ca="1" si="102"/>
        <v/>
      </c>
      <c r="E1222" s="29" t="str">
        <f t="shared" ca="1" si="103"/>
        <v/>
      </c>
      <c r="F1222" s="29" t="str">
        <f ca="1">IF(C1222&lt;&gt;"",IF(OR(VLOOKUP(C1222,$C$3:$L$6,5,0)=Variables!$B$5,B1222&gt;VLOOKUP(C1222,$C$3:$L$6,8,0)),-D1222*VLOOKUP(C1222,$C$3:$L$6,6,0)/12,0),"")</f>
        <v/>
      </c>
      <c r="G1222" s="29" t="str">
        <f ca="1">IF(I1222&lt;&gt;Variables!$B$1,IF(C1222&lt;&gt;"",$I$9-E1222-F1222,""),-D1222)</f>
        <v/>
      </c>
      <c r="H1222" s="29" t="str">
        <f t="shared" ca="1" si="106"/>
        <v/>
      </c>
      <c r="I1222" s="31" t="str">
        <f ca="1">IF(C1222&lt;&gt;"",IF(D1222+$I$9-E1222-F1222&gt;=0,IF(ISERROR(INDEX($C$3:$C$6,MATCH(C1222,$C$3:$C$6,0)+1,0)),Variables!$B$1,INDEX($C$3:$C$6,MATCH(C1222,$C$3:$C$6,0)+1,0)),""),"")</f>
        <v/>
      </c>
      <c r="J1222" s="29" t="str">
        <f ca="1">IF(ISERROR(VLOOKUP(I1222,$C$3:$L$6,5,0)),"",IF(OR(VLOOKUP(I1222,$C$3:$L$6,5,0)=Variables!$B$5,B1222&gt;VLOOKUP(I1222,$C$3:$L$6,8,0)),IF(VLOOKUP(I1222,$C$3:$L$6,5,0)=Variables!$B$5,((YEAR(B1222)-YEAR($B$12))*12+MONTH(B1222)-MONTH($B$12)),((YEAR(B1222)-YEAR(VLOOKUP(I1222,$C$3:$L$6,8,0)))*12+MONTH(B1222)-MONTH(VLOOKUP(I1222,$C$3:$L$6,8,0))))*(VLOOKUP(I1222,$C$3:$L$6,10,0)*VLOOKUP(I1222,$C$3:$L$6,6,0)/12),0))</f>
        <v/>
      </c>
      <c r="K1222" s="29" t="str">
        <f ca="1">IF(C1222&lt;&gt;"",IF(I1222&lt;&gt;"",IF(ISERROR(VLOOKUP(I1222,$C$3:$L$6,10,0)),"",VLOOKUP(I1222,$C$3:$L$6,10,0)+J1222+IF(OR(VLOOKUP(I1222,$C$3:$L$6,5,0)=Variables!$B$5,B1222&gt;VLOOKUP(I1222,$C$3:$L$6,8,0)),IF(VLOOKUP(I1222,$C$3:$L$6,5,0)=Variables!$B$5,((YEAR(B1222)-YEAR($B$12))*12+MONTH(B1222)-MONTH($B$12)),((YEAR(B1222)-YEAR(VLOOKUP(I1222,$C$3:$L$6,8,0)))*12+MONTH(B1222)-MONTH(VLOOKUP(I1222,$C$3:$L$6,8,0))))*VLOOKUP(I1222,$C$3:$L$6,7,0),0)),""),"")</f>
        <v/>
      </c>
      <c r="L1222" s="29" t="str">
        <f t="shared" ca="1" si="104"/>
        <v/>
      </c>
    </row>
    <row r="1223" spans="2:12" x14ac:dyDescent="0.25">
      <c r="B1223" s="14" t="str">
        <f t="shared" ca="1" si="105"/>
        <v/>
      </c>
      <c r="C1223" s="14" t="str">
        <f ca="1">IF(I1222&lt;&gt;Variables!$B$1,IF(H1222&lt;&gt;0,C1222,I1222),"")</f>
        <v/>
      </c>
      <c r="D1223" s="29" t="str">
        <f t="shared" ca="1" si="102"/>
        <v/>
      </c>
      <c r="E1223" s="29" t="str">
        <f t="shared" ca="1" si="103"/>
        <v/>
      </c>
      <c r="F1223" s="29" t="str">
        <f ca="1">IF(C1223&lt;&gt;"",IF(OR(VLOOKUP(C1223,$C$3:$L$6,5,0)=Variables!$B$5,B1223&gt;VLOOKUP(C1223,$C$3:$L$6,8,0)),-D1223*VLOOKUP(C1223,$C$3:$L$6,6,0)/12,0),"")</f>
        <v/>
      </c>
      <c r="G1223" s="29" t="str">
        <f ca="1">IF(I1223&lt;&gt;Variables!$B$1,IF(C1223&lt;&gt;"",$I$9-E1223-F1223,""),-D1223)</f>
        <v/>
      </c>
      <c r="H1223" s="29" t="str">
        <f t="shared" ca="1" si="106"/>
        <v/>
      </c>
      <c r="I1223" s="31" t="str">
        <f ca="1">IF(C1223&lt;&gt;"",IF(D1223+$I$9-E1223-F1223&gt;=0,IF(ISERROR(INDEX($C$3:$C$6,MATCH(C1223,$C$3:$C$6,0)+1,0)),Variables!$B$1,INDEX($C$3:$C$6,MATCH(C1223,$C$3:$C$6,0)+1,0)),""),"")</f>
        <v/>
      </c>
      <c r="J1223" s="29" t="str">
        <f ca="1">IF(ISERROR(VLOOKUP(I1223,$C$3:$L$6,5,0)),"",IF(OR(VLOOKUP(I1223,$C$3:$L$6,5,0)=Variables!$B$5,B1223&gt;VLOOKUP(I1223,$C$3:$L$6,8,0)),IF(VLOOKUP(I1223,$C$3:$L$6,5,0)=Variables!$B$5,((YEAR(B1223)-YEAR($B$12))*12+MONTH(B1223)-MONTH($B$12)),((YEAR(B1223)-YEAR(VLOOKUP(I1223,$C$3:$L$6,8,0)))*12+MONTH(B1223)-MONTH(VLOOKUP(I1223,$C$3:$L$6,8,0))))*(VLOOKUP(I1223,$C$3:$L$6,10,0)*VLOOKUP(I1223,$C$3:$L$6,6,0)/12),0))</f>
        <v/>
      </c>
      <c r="K1223" s="29" t="str">
        <f ca="1">IF(C1223&lt;&gt;"",IF(I1223&lt;&gt;"",IF(ISERROR(VLOOKUP(I1223,$C$3:$L$6,10,0)),"",VLOOKUP(I1223,$C$3:$L$6,10,0)+J1223+IF(OR(VLOOKUP(I1223,$C$3:$L$6,5,0)=Variables!$B$5,B1223&gt;VLOOKUP(I1223,$C$3:$L$6,8,0)),IF(VLOOKUP(I1223,$C$3:$L$6,5,0)=Variables!$B$5,((YEAR(B1223)-YEAR($B$12))*12+MONTH(B1223)-MONTH($B$12)),((YEAR(B1223)-YEAR(VLOOKUP(I1223,$C$3:$L$6,8,0)))*12+MONTH(B1223)-MONTH(VLOOKUP(I1223,$C$3:$L$6,8,0))))*VLOOKUP(I1223,$C$3:$L$6,7,0),0)),""),"")</f>
        <v/>
      </c>
      <c r="L1223" s="29" t="str">
        <f t="shared" ca="1" si="104"/>
        <v/>
      </c>
    </row>
    <row r="1224" spans="2:12" x14ac:dyDescent="0.25">
      <c r="B1224" s="14" t="str">
        <f t="shared" ca="1" si="105"/>
        <v/>
      </c>
      <c r="C1224" s="14" t="str">
        <f ca="1">IF(I1223&lt;&gt;Variables!$B$1,IF(H1223&lt;&gt;0,C1223,I1223),"")</f>
        <v/>
      </c>
      <c r="D1224" s="29" t="str">
        <f t="shared" ca="1" si="102"/>
        <v/>
      </c>
      <c r="E1224" s="29" t="str">
        <f t="shared" ca="1" si="103"/>
        <v/>
      </c>
      <c r="F1224" s="29" t="str">
        <f ca="1">IF(C1224&lt;&gt;"",IF(OR(VLOOKUP(C1224,$C$3:$L$6,5,0)=Variables!$B$5,B1224&gt;VLOOKUP(C1224,$C$3:$L$6,8,0)),-D1224*VLOOKUP(C1224,$C$3:$L$6,6,0)/12,0),"")</f>
        <v/>
      </c>
      <c r="G1224" s="29" t="str">
        <f ca="1">IF(I1224&lt;&gt;Variables!$B$1,IF(C1224&lt;&gt;"",$I$9-E1224-F1224,""),-D1224)</f>
        <v/>
      </c>
      <c r="H1224" s="29" t="str">
        <f t="shared" ca="1" si="106"/>
        <v/>
      </c>
      <c r="I1224" s="31" t="str">
        <f ca="1">IF(C1224&lt;&gt;"",IF(D1224+$I$9-E1224-F1224&gt;=0,IF(ISERROR(INDEX($C$3:$C$6,MATCH(C1224,$C$3:$C$6,0)+1,0)),Variables!$B$1,INDEX($C$3:$C$6,MATCH(C1224,$C$3:$C$6,0)+1,0)),""),"")</f>
        <v/>
      </c>
      <c r="J1224" s="29" t="str">
        <f ca="1">IF(ISERROR(VLOOKUP(I1224,$C$3:$L$6,5,0)),"",IF(OR(VLOOKUP(I1224,$C$3:$L$6,5,0)=Variables!$B$5,B1224&gt;VLOOKUP(I1224,$C$3:$L$6,8,0)),IF(VLOOKUP(I1224,$C$3:$L$6,5,0)=Variables!$B$5,((YEAR(B1224)-YEAR($B$12))*12+MONTH(B1224)-MONTH($B$12)),((YEAR(B1224)-YEAR(VLOOKUP(I1224,$C$3:$L$6,8,0)))*12+MONTH(B1224)-MONTH(VLOOKUP(I1224,$C$3:$L$6,8,0))))*(VLOOKUP(I1224,$C$3:$L$6,10,0)*VLOOKUP(I1224,$C$3:$L$6,6,0)/12),0))</f>
        <v/>
      </c>
      <c r="K1224" s="29" t="str">
        <f ca="1">IF(C1224&lt;&gt;"",IF(I1224&lt;&gt;"",IF(ISERROR(VLOOKUP(I1224,$C$3:$L$6,10,0)),"",VLOOKUP(I1224,$C$3:$L$6,10,0)+J1224+IF(OR(VLOOKUP(I1224,$C$3:$L$6,5,0)=Variables!$B$5,B1224&gt;VLOOKUP(I1224,$C$3:$L$6,8,0)),IF(VLOOKUP(I1224,$C$3:$L$6,5,0)=Variables!$B$5,((YEAR(B1224)-YEAR($B$12))*12+MONTH(B1224)-MONTH($B$12)),((YEAR(B1224)-YEAR(VLOOKUP(I1224,$C$3:$L$6,8,0)))*12+MONTH(B1224)-MONTH(VLOOKUP(I1224,$C$3:$L$6,8,0))))*VLOOKUP(I1224,$C$3:$L$6,7,0),0)),""),"")</f>
        <v/>
      </c>
      <c r="L1224" s="29" t="str">
        <f t="shared" ca="1" si="104"/>
        <v/>
      </c>
    </row>
    <row r="1225" spans="2:12" x14ac:dyDescent="0.25">
      <c r="B1225" s="14" t="str">
        <f t="shared" ca="1" si="105"/>
        <v/>
      </c>
      <c r="C1225" s="14" t="str">
        <f ca="1">IF(I1224&lt;&gt;Variables!$B$1,IF(H1224&lt;&gt;0,C1224,I1224),"")</f>
        <v/>
      </c>
      <c r="D1225" s="29" t="str">
        <f t="shared" ca="1" si="102"/>
        <v/>
      </c>
      <c r="E1225" s="29" t="str">
        <f t="shared" ca="1" si="103"/>
        <v/>
      </c>
      <c r="F1225" s="29" t="str">
        <f ca="1">IF(C1225&lt;&gt;"",IF(OR(VLOOKUP(C1225,$C$3:$L$6,5,0)=Variables!$B$5,B1225&gt;VLOOKUP(C1225,$C$3:$L$6,8,0)),-D1225*VLOOKUP(C1225,$C$3:$L$6,6,0)/12,0),"")</f>
        <v/>
      </c>
      <c r="G1225" s="29" t="str">
        <f ca="1">IF(I1225&lt;&gt;Variables!$B$1,IF(C1225&lt;&gt;"",$I$9-E1225-F1225,""),-D1225)</f>
        <v/>
      </c>
      <c r="H1225" s="29" t="str">
        <f t="shared" ca="1" si="106"/>
        <v/>
      </c>
      <c r="I1225" s="31" t="str">
        <f ca="1">IF(C1225&lt;&gt;"",IF(D1225+$I$9-E1225-F1225&gt;=0,IF(ISERROR(INDEX($C$3:$C$6,MATCH(C1225,$C$3:$C$6,0)+1,0)),Variables!$B$1,INDEX($C$3:$C$6,MATCH(C1225,$C$3:$C$6,0)+1,0)),""),"")</f>
        <v/>
      </c>
      <c r="J1225" s="29" t="str">
        <f ca="1">IF(ISERROR(VLOOKUP(I1225,$C$3:$L$6,5,0)),"",IF(OR(VLOOKUP(I1225,$C$3:$L$6,5,0)=Variables!$B$5,B1225&gt;VLOOKUP(I1225,$C$3:$L$6,8,0)),IF(VLOOKUP(I1225,$C$3:$L$6,5,0)=Variables!$B$5,((YEAR(B1225)-YEAR($B$12))*12+MONTH(B1225)-MONTH($B$12)),((YEAR(B1225)-YEAR(VLOOKUP(I1225,$C$3:$L$6,8,0)))*12+MONTH(B1225)-MONTH(VLOOKUP(I1225,$C$3:$L$6,8,0))))*(VLOOKUP(I1225,$C$3:$L$6,10,0)*VLOOKUP(I1225,$C$3:$L$6,6,0)/12),0))</f>
        <v/>
      </c>
      <c r="K1225" s="29" t="str">
        <f ca="1">IF(C1225&lt;&gt;"",IF(I1225&lt;&gt;"",IF(ISERROR(VLOOKUP(I1225,$C$3:$L$6,10,0)),"",VLOOKUP(I1225,$C$3:$L$6,10,0)+J1225+IF(OR(VLOOKUP(I1225,$C$3:$L$6,5,0)=Variables!$B$5,B1225&gt;VLOOKUP(I1225,$C$3:$L$6,8,0)),IF(VLOOKUP(I1225,$C$3:$L$6,5,0)=Variables!$B$5,((YEAR(B1225)-YEAR($B$12))*12+MONTH(B1225)-MONTH($B$12)),((YEAR(B1225)-YEAR(VLOOKUP(I1225,$C$3:$L$6,8,0)))*12+MONTH(B1225)-MONTH(VLOOKUP(I1225,$C$3:$L$6,8,0))))*VLOOKUP(I1225,$C$3:$L$6,7,0),0)),""),"")</f>
        <v/>
      </c>
      <c r="L1225" s="29" t="str">
        <f t="shared" ca="1" si="104"/>
        <v/>
      </c>
    </row>
    <row r="1226" spans="2:12" x14ac:dyDescent="0.25">
      <c r="B1226" s="14" t="str">
        <f t="shared" ca="1" si="105"/>
        <v/>
      </c>
      <c r="C1226" s="14" t="str">
        <f ca="1">IF(I1225&lt;&gt;Variables!$B$1,IF(H1225&lt;&gt;0,C1225,I1225),"")</f>
        <v/>
      </c>
      <c r="D1226" s="29" t="str">
        <f t="shared" ca="1" si="102"/>
        <v/>
      </c>
      <c r="E1226" s="29" t="str">
        <f t="shared" ca="1" si="103"/>
        <v/>
      </c>
      <c r="F1226" s="29" t="str">
        <f ca="1">IF(C1226&lt;&gt;"",IF(OR(VLOOKUP(C1226,$C$3:$L$6,5,0)=Variables!$B$5,B1226&gt;VLOOKUP(C1226,$C$3:$L$6,8,0)),-D1226*VLOOKUP(C1226,$C$3:$L$6,6,0)/12,0),"")</f>
        <v/>
      </c>
      <c r="G1226" s="29" t="str">
        <f ca="1">IF(I1226&lt;&gt;Variables!$B$1,IF(C1226&lt;&gt;"",$I$9-E1226-F1226,""),-D1226)</f>
        <v/>
      </c>
      <c r="H1226" s="29" t="str">
        <f t="shared" ca="1" si="106"/>
        <v/>
      </c>
      <c r="I1226" s="31" t="str">
        <f ca="1">IF(C1226&lt;&gt;"",IF(D1226+$I$9-E1226-F1226&gt;=0,IF(ISERROR(INDEX($C$3:$C$6,MATCH(C1226,$C$3:$C$6,0)+1,0)),Variables!$B$1,INDEX($C$3:$C$6,MATCH(C1226,$C$3:$C$6,0)+1,0)),""),"")</f>
        <v/>
      </c>
      <c r="J1226" s="29" t="str">
        <f ca="1">IF(ISERROR(VLOOKUP(I1226,$C$3:$L$6,5,0)),"",IF(OR(VLOOKUP(I1226,$C$3:$L$6,5,0)=Variables!$B$5,B1226&gt;VLOOKUP(I1226,$C$3:$L$6,8,0)),IF(VLOOKUP(I1226,$C$3:$L$6,5,0)=Variables!$B$5,((YEAR(B1226)-YEAR($B$12))*12+MONTH(B1226)-MONTH($B$12)),((YEAR(B1226)-YEAR(VLOOKUP(I1226,$C$3:$L$6,8,0)))*12+MONTH(B1226)-MONTH(VLOOKUP(I1226,$C$3:$L$6,8,0))))*(VLOOKUP(I1226,$C$3:$L$6,10,0)*VLOOKUP(I1226,$C$3:$L$6,6,0)/12),0))</f>
        <v/>
      </c>
      <c r="K1226" s="29" t="str">
        <f ca="1">IF(C1226&lt;&gt;"",IF(I1226&lt;&gt;"",IF(ISERROR(VLOOKUP(I1226,$C$3:$L$6,10,0)),"",VLOOKUP(I1226,$C$3:$L$6,10,0)+J1226+IF(OR(VLOOKUP(I1226,$C$3:$L$6,5,0)=Variables!$B$5,B1226&gt;VLOOKUP(I1226,$C$3:$L$6,8,0)),IF(VLOOKUP(I1226,$C$3:$L$6,5,0)=Variables!$B$5,((YEAR(B1226)-YEAR($B$12))*12+MONTH(B1226)-MONTH($B$12)),((YEAR(B1226)-YEAR(VLOOKUP(I1226,$C$3:$L$6,8,0)))*12+MONTH(B1226)-MONTH(VLOOKUP(I1226,$C$3:$L$6,8,0))))*VLOOKUP(I1226,$C$3:$L$6,7,0),0)),""),"")</f>
        <v/>
      </c>
      <c r="L1226" s="29" t="str">
        <f t="shared" ca="1" si="104"/>
        <v/>
      </c>
    </row>
    <row r="1227" spans="2:12" x14ac:dyDescent="0.25">
      <c r="B1227" s="14" t="str">
        <f t="shared" ca="1" si="105"/>
        <v/>
      </c>
      <c r="C1227" s="14" t="str">
        <f ca="1">IF(I1226&lt;&gt;Variables!$B$1,IF(H1226&lt;&gt;0,C1226,I1226),"")</f>
        <v/>
      </c>
      <c r="D1227" s="29" t="str">
        <f t="shared" ca="1" si="102"/>
        <v/>
      </c>
      <c r="E1227" s="29" t="str">
        <f t="shared" ca="1" si="103"/>
        <v/>
      </c>
      <c r="F1227" s="29" t="str">
        <f ca="1">IF(C1227&lt;&gt;"",IF(OR(VLOOKUP(C1227,$C$3:$L$6,5,0)=Variables!$B$5,B1227&gt;VLOOKUP(C1227,$C$3:$L$6,8,0)),-D1227*VLOOKUP(C1227,$C$3:$L$6,6,0)/12,0),"")</f>
        <v/>
      </c>
      <c r="G1227" s="29" t="str">
        <f ca="1">IF(I1227&lt;&gt;Variables!$B$1,IF(C1227&lt;&gt;"",$I$9-E1227-F1227,""),-D1227)</f>
        <v/>
      </c>
      <c r="H1227" s="29" t="str">
        <f t="shared" ca="1" si="106"/>
        <v/>
      </c>
      <c r="I1227" s="31" t="str">
        <f ca="1">IF(C1227&lt;&gt;"",IF(D1227+$I$9-E1227-F1227&gt;=0,IF(ISERROR(INDEX($C$3:$C$6,MATCH(C1227,$C$3:$C$6,0)+1,0)),Variables!$B$1,INDEX($C$3:$C$6,MATCH(C1227,$C$3:$C$6,0)+1,0)),""),"")</f>
        <v/>
      </c>
      <c r="J1227" s="29" t="str">
        <f ca="1">IF(ISERROR(VLOOKUP(I1227,$C$3:$L$6,5,0)),"",IF(OR(VLOOKUP(I1227,$C$3:$L$6,5,0)=Variables!$B$5,B1227&gt;VLOOKUP(I1227,$C$3:$L$6,8,0)),IF(VLOOKUP(I1227,$C$3:$L$6,5,0)=Variables!$B$5,((YEAR(B1227)-YEAR($B$12))*12+MONTH(B1227)-MONTH($B$12)),((YEAR(B1227)-YEAR(VLOOKUP(I1227,$C$3:$L$6,8,0)))*12+MONTH(B1227)-MONTH(VLOOKUP(I1227,$C$3:$L$6,8,0))))*(VLOOKUP(I1227,$C$3:$L$6,10,0)*VLOOKUP(I1227,$C$3:$L$6,6,0)/12),0))</f>
        <v/>
      </c>
      <c r="K1227" s="29" t="str">
        <f ca="1">IF(C1227&lt;&gt;"",IF(I1227&lt;&gt;"",IF(ISERROR(VLOOKUP(I1227,$C$3:$L$6,10,0)),"",VLOOKUP(I1227,$C$3:$L$6,10,0)+J1227+IF(OR(VLOOKUP(I1227,$C$3:$L$6,5,0)=Variables!$B$5,B1227&gt;VLOOKUP(I1227,$C$3:$L$6,8,0)),IF(VLOOKUP(I1227,$C$3:$L$6,5,0)=Variables!$B$5,((YEAR(B1227)-YEAR($B$12))*12+MONTH(B1227)-MONTH($B$12)),((YEAR(B1227)-YEAR(VLOOKUP(I1227,$C$3:$L$6,8,0)))*12+MONTH(B1227)-MONTH(VLOOKUP(I1227,$C$3:$L$6,8,0))))*VLOOKUP(I1227,$C$3:$L$6,7,0),0)),""),"")</f>
        <v/>
      </c>
      <c r="L1227" s="29" t="str">
        <f t="shared" ca="1" si="104"/>
        <v/>
      </c>
    </row>
    <row r="1228" spans="2:12" x14ac:dyDescent="0.25">
      <c r="B1228" s="14" t="str">
        <f t="shared" ca="1" si="105"/>
        <v/>
      </c>
      <c r="C1228" s="14" t="str">
        <f ca="1">IF(I1227&lt;&gt;Variables!$B$1,IF(H1227&lt;&gt;0,C1227,I1227),"")</f>
        <v/>
      </c>
      <c r="D1228" s="29" t="str">
        <f t="shared" ca="1" si="102"/>
        <v/>
      </c>
      <c r="E1228" s="29" t="str">
        <f t="shared" ca="1" si="103"/>
        <v/>
      </c>
      <c r="F1228" s="29" t="str">
        <f ca="1">IF(C1228&lt;&gt;"",IF(OR(VLOOKUP(C1228,$C$3:$L$6,5,0)=Variables!$B$5,B1228&gt;VLOOKUP(C1228,$C$3:$L$6,8,0)),-D1228*VLOOKUP(C1228,$C$3:$L$6,6,0)/12,0),"")</f>
        <v/>
      </c>
      <c r="G1228" s="29" t="str">
        <f ca="1">IF(I1228&lt;&gt;Variables!$B$1,IF(C1228&lt;&gt;"",$I$9-E1228-F1228,""),-D1228)</f>
        <v/>
      </c>
      <c r="H1228" s="29" t="str">
        <f t="shared" ca="1" si="106"/>
        <v/>
      </c>
      <c r="I1228" s="31" t="str">
        <f ca="1">IF(C1228&lt;&gt;"",IF(D1228+$I$9-E1228-F1228&gt;=0,IF(ISERROR(INDEX($C$3:$C$6,MATCH(C1228,$C$3:$C$6,0)+1,0)),Variables!$B$1,INDEX($C$3:$C$6,MATCH(C1228,$C$3:$C$6,0)+1,0)),""),"")</f>
        <v/>
      </c>
      <c r="J1228" s="29" t="str">
        <f ca="1">IF(ISERROR(VLOOKUP(I1228,$C$3:$L$6,5,0)),"",IF(OR(VLOOKUP(I1228,$C$3:$L$6,5,0)=Variables!$B$5,B1228&gt;VLOOKUP(I1228,$C$3:$L$6,8,0)),IF(VLOOKUP(I1228,$C$3:$L$6,5,0)=Variables!$B$5,((YEAR(B1228)-YEAR($B$12))*12+MONTH(B1228)-MONTH($B$12)),((YEAR(B1228)-YEAR(VLOOKUP(I1228,$C$3:$L$6,8,0)))*12+MONTH(B1228)-MONTH(VLOOKUP(I1228,$C$3:$L$6,8,0))))*(VLOOKUP(I1228,$C$3:$L$6,10,0)*VLOOKUP(I1228,$C$3:$L$6,6,0)/12),0))</f>
        <v/>
      </c>
      <c r="K1228" s="29" t="str">
        <f ca="1">IF(C1228&lt;&gt;"",IF(I1228&lt;&gt;"",IF(ISERROR(VLOOKUP(I1228,$C$3:$L$6,10,0)),"",VLOOKUP(I1228,$C$3:$L$6,10,0)+J1228+IF(OR(VLOOKUP(I1228,$C$3:$L$6,5,0)=Variables!$B$5,B1228&gt;VLOOKUP(I1228,$C$3:$L$6,8,0)),IF(VLOOKUP(I1228,$C$3:$L$6,5,0)=Variables!$B$5,((YEAR(B1228)-YEAR($B$12))*12+MONTH(B1228)-MONTH($B$12)),((YEAR(B1228)-YEAR(VLOOKUP(I1228,$C$3:$L$6,8,0)))*12+MONTH(B1228)-MONTH(VLOOKUP(I1228,$C$3:$L$6,8,0))))*VLOOKUP(I1228,$C$3:$L$6,7,0),0)),""),"")</f>
        <v/>
      </c>
      <c r="L1228" s="29" t="str">
        <f t="shared" ca="1" si="104"/>
        <v/>
      </c>
    </row>
    <row r="1229" spans="2:12" x14ac:dyDescent="0.25">
      <c r="B1229" s="14" t="str">
        <f t="shared" ca="1" si="105"/>
        <v/>
      </c>
      <c r="C1229" s="14" t="str">
        <f ca="1">IF(I1228&lt;&gt;Variables!$B$1,IF(H1228&lt;&gt;0,C1228,I1228),"")</f>
        <v/>
      </c>
      <c r="D1229" s="29" t="str">
        <f t="shared" ca="1" si="102"/>
        <v/>
      </c>
      <c r="E1229" s="29" t="str">
        <f t="shared" ca="1" si="103"/>
        <v/>
      </c>
      <c r="F1229" s="29" t="str">
        <f ca="1">IF(C1229&lt;&gt;"",IF(OR(VLOOKUP(C1229,$C$3:$L$6,5,0)=Variables!$B$5,B1229&gt;VLOOKUP(C1229,$C$3:$L$6,8,0)),-D1229*VLOOKUP(C1229,$C$3:$L$6,6,0)/12,0),"")</f>
        <v/>
      </c>
      <c r="G1229" s="29" t="str">
        <f ca="1">IF(I1229&lt;&gt;Variables!$B$1,IF(C1229&lt;&gt;"",$I$9-E1229-F1229,""),-D1229)</f>
        <v/>
      </c>
      <c r="H1229" s="29" t="str">
        <f t="shared" ca="1" si="106"/>
        <v/>
      </c>
      <c r="I1229" s="31" t="str">
        <f ca="1">IF(C1229&lt;&gt;"",IF(D1229+$I$9-E1229-F1229&gt;=0,IF(ISERROR(INDEX($C$3:$C$6,MATCH(C1229,$C$3:$C$6,0)+1,0)),Variables!$B$1,INDEX($C$3:$C$6,MATCH(C1229,$C$3:$C$6,0)+1,0)),""),"")</f>
        <v/>
      </c>
      <c r="J1229" s="29" t="str">
        <f ca="1">IF(ISERROR(VLOOKUP(I1229,$C$3:$L$6,5,0)),"",IF(OR(VLOOKUP(I1229,$C$3:$L$6,5,0)=Variables!$B$5,B1229&gt;VLOOKUP(I1229,$C$3:$L$6,8,0)),IF(VLOOKUP(I1229,$C$3:$L$6,5,0)=Variables!$B$5,((YEAR(B1229)-YEAR($B$12))*12+MONTH(B1229)-MONTH($B$12)),((YEAR(B1229)-YEAR(VLOOKUP(I1229,$C$3:$L$6,8,0)))*12+MONTH(B1229)-MONTH(VLOOKUP(I1229,$C$3:$L$6,8,0))))*(VLOOKUP(I1229,$C$3:$L$6,10,0)*VLOOKUP(I1229,$C$3:$L$6,6,0)/12),0))</f>
        <v/>
      </c>
      <c r="K1229" s="29" t="str">
        <f ca="1">IF(C1229&lt;&gt;"",IF(I1229&lt;&gt;"",IF(ISERROR(VLOOKUP(I1229,$C$3:$L$6,10,0)),"",VLOOKUP(I1229,$C$3:$L$6,10,0)+J1229+IF(OR(VLOOKUP(I1229,$C$3:$L$6,5,0)=Variables!$B$5,B1229&gt;VLOOKUP(I1229,$C$3:$L$6,8,0)),IF(VLOOKUP(I1229,$C$3:$L$6,5,0)=Variables!$B$5,((YEAR(B1229)-YEAR($B$12))*12+MONTH(B1229)-MONTH($B$12)),((YEAR(B1229)-YEAR(VLOOKUP(I1229,$C$3:$L$6,8,0)))*12+MONTH(B1229)-MONTH(VLOOKUP(I1229,$C$3:$L$6,8,0))))*VLOOKUP(I1229,$C$3:$L$6,7,0),0)),""),"")</f>
        <v/>
      </c>
      <c r="L1229" s="29" t="str">
        <f t="shared" ca="1" si="104"/>
        <v/>
      </c>
    </row>
    <row r="1230" spans="2:12" x14ac:dyDescent="0.25">
      <c r="B1230" s="14" t="str">
        <f t="shared" ca="1" si="105"/>
        <v/>
      </c>
      <c r="C1230" s="14" t="str">
        <f ca="1">IF(I1229&lt;&gt;Variables!$B$1,IF(H1229&lt;&gt;0,C1229,I1229),"")</f>
        <v/>
      </c>
      <c r="D1230" s="29" t="str">
        <f t="shared" ca="1" si="102"/>
        <v/>
      </c>
      <c r="E1230" s="29" t="str">
        <f t="shared" ca="1" si="103"/>
        <v/>
      </c>
      <c r="F1230" s="29" t="str">
        <f ca="1">IF(C1230&lt;&gt;"",IF(OR(VLOOKUP(C1230,$C$3:$L$6,5,0)=Variables!$B$5,B1230&gt;VLOOKUP(C1230,$C$3:$L$6,8,0)),-D1230*VLOOKUP(C1230,$C$3:$L$6,6,0)/12,0),"")</f>
        <v/>
      </c>
      <c r="G1230" s="29" t="str">
        <f ca="1">IF(I1230&lt;&gt;Variables!$B$1,IF(C1230&lt;&gt;"",$I$9-E1230-F1230,""),-D1230)</f>
        <v/>
      </c>
      <c r="H1230" s="29" t="str">
        <f t="shared" ca="1" si="106"/>
        <v/>
      </c>
      <c r="I1230" s="31" t="str">
        <f ca="1">IF(C1230&lt;&gt;"",IF(D1230+$I$9-E1230-F1230&gt;=0,IF(ISERROR(INDEX($C$3:$C$6,MATCH(C1230,$C$3:$C$6,0)+1,0)),Variables!$B$1,INDEX($C$3:$C$6,MATCH(C1230,$C$3:$C$6,0)+1,0)),""),"")</f>
        <v/>
      </c>
      <c r="J1230" s="29" t="str">
        <f ca="1">IF(ISERROR(VLOOKUP(I1230,$C$3:$L$6,5,0)),"",IF(OR(VLOOKUP(I1230,$C$3:$L$6,5,0)=Variables!$B$5,B1230&gt;VLOOKUP(I1230,$C$3:$L$6,8,0)),IF(VLOOKUP(I1230,$C$3:$L$6,5,0)=Variables!$B$5,((YEAR(B1230)-YEAR($B$12))*12+MONTH(B1230)-MONTH($B$12)),((YEAR(B1230)-YEAR(VLOOKUP(I1230,$C$3:$L$6,8,0)))*12+MONTH(B1230)-MONTH(VLOOKUP(I1230,$C$3:$L$6,8,0))))*(VLOOKUP(I1230,$C$3:$L$6,10,0)*VLOOKUP(I1230,$C$3:$L$6,6,0)/12),0))</f>
        <v/>
      </c>
      <c r="K1230" s="29" t="str">
        <f ca="1">IF(C1230&lt;&gt;"",IF(I1230&lt;&gt;"",IF(ISERROR(VLOOKUP(I1230,$C$3:$L$6,10,0)),"",VLOOKUP(I1230,$C$3:$L$6,10,0)+J1230+IF(OR(VLOOKUP(I1230,$C$3:$L$6,5,0)=Variables!$B$5,B1230&gt;VLOOKUP(I1230,$C$3:$L$6,8,0)),IF(VLOOKUP(I1230,$C$3:$L$6,5,0)=Variables!$B$5,((YEAR(B1230)-YEAR($B$12))*12+MONTH(B1230)-MONTH($B$12)),((YEAR(B1230)-YEAR(VLOOKUP(I1230,$C$3:$L$6,8,0)))*12+MONTH(B1230)-MONTH(VLOOKUP(I1230,$C$3:$L$6,8,0))))*VLOOKUP(I1230,$C$3:$L$6,7,0),0)),""),"")</f>
        <v/>
      </c>
      <c r="L1230" s="29" t="str">
        <f t="shared" ca="1" si="104"/>
        <v/>
      </c>
    </row>
    <row r="1231" spans="2:12" x14ac:dyDescent="0.25">
      <c r="B1231" s="14" t="str">
        <f t="shared" ca="1" si="105"/>
        <v/>
      </c>
      <c r="C1231" s="14" t="str">
        <f ca="1">IF(I1230&lt;&gt;Variables!$B$1,IF(H1230&lt;&gt;0,C1230,I1230),"")</f>
        <v/>
      </c>
      <c r="D1231" s="29" t="str">
        <f t="shared" ca="1" si="102"/>
        <v/>
      </c>
      <c r="E1231" s="29" t="str">
        <f t="shared" ca="1" si="103"/>
        <v/>
      </c>
      <c r="F1231" s="29" t="str">
        <f ca="1">IF(C1231&lt;&gt;"",IF(OR(VLOOKUP(C1231,$C$3:$L$6,5,0)=Variables!$B$5,B1231&gt;VLOOKUP(C1231,$C$3:$L$6,8,0)),-D1231*VLOOKUP(C1231,$C$3:$L$6,6,0)/12,0),"")</f>
        <v/>
      </c>
      <c r="G1231" s="29" t="str">
        <f ca="1">IF(I1231&lt;&gt;Variables!$B$1,IF(C1231&lt;&gt;"",$I$9-E1231-F1231,""),-D1231)</f>
        <v/>
      </c>
      <c r="H1231" s="29" t="str">
        <f t="shared" ca="1" si="106"/>
        <v/>
      </c>
      <c r="I1231" s="31" t="str">
        <f ca="1">IF(C1231&lt;&gt;"",IF(D1231+$I$9-E1231-F1231&gt;=0,IF(ISERROR(INDEX($C$3:$C$6,MATCH(C1231,$C$3:$C$6,0)+1,0)),Variables!$B$1,INDEX($C$3:$C$6,MATCH(C1231,$C$3:$C$6,0)+1,0)),""),"")</f>
        <v/>
      </c>
      <c r="J1231" s="29" t="str">
        <f ca="1">IF(ISERROR(VLOOKUP(I1231,$C$3:$L$6,5,0)),"",IF(OR(VLOOKUP(I1231,$C$3:$L$6,5,0)=Variables!$B$5,B1231&gt;VLOOKUP(I1231,$C$3:$L$6,8,0)),IF(VLOOKUP(I1231,$C$3:$L$6,5,0)=Variables!$B$5,((YEAR(B1231)-YEAR($B$12))*12+MONTH(B1231)-MONTH($B$12)),((YEAR(B1231)-YEAR(VLOOKUP(I1231,$C$3:$L$6,8,0)))*12+MONTH(B1231)-MONTH(VLOOKUP(I1231,$C$3:$L$6,8,0))))*(VLOOKUP(I1231,$C$3:$L$6,10,0)*VLOOKUP(I1231,$C$3:$L$6,6,0)/12),0))</f>
        <v/>
      </c>
      <c r="K1231" s="29" t="str">
        <f ca="1">IF(C1231&lt;&gt;"",IF(I1231&lt;&gt;"",IF(ISERROR(VLOOKUP(I1231,$C$3:$L$6,10,0)),"",VLOOKUP(I1231,$C$3:$L$6,10,0)+J1231+IF(OR(VLOOKUP(I1231,$C$3:$L$6,5,0)=Variables!$B$5,B1231&gt;VLOOKUP(I1231,$C$3:$L$6,8,0)),IF(VLOOKUP(I1231,$C$3:$L$6,5,0)=Variables!$B$5,((YEAR(B1231)-YEAR($B$12))*12+MONTH(B1231)-MONTH($B$12)),((YEAR(B1231)-YEAR(VLOOKUP(I1231,$C$3:$L$6,8,0)))*12+MONTH(B1231)-MONTH(VLOOKUP(I1231,$C$3:$L$6,8,0))))*VLOOKUP(I1231,$C$3:$L$6,7,0),0)),""),"")</f>
        <v/>
      </c>
      <c r="L1231" s="29" t="str">
        <f t="shared" ca="1" si="104"/>
        <v/>
      </c>
    </row>
    <row r="1232" spans="2:12" x14ac:dyDescent="0.25">
      <c r="B1232" s="14" t="str">
        <f t="shared" ca="1" si="105"/>
        <v/>
      </c>
      <c r="C1232" s="14" t="str">
        <f ca="1">IF(I1231&lt;&gt;Variables!$B$1,IF(H1231&lt;&gt;0,C1231,I1231),"")</f>
        <v/>
      </c>
      <c r="D1232" s="29" t="str">
        <f t="shared" ca="1" si="102"/>
        <v/>
      </c>
      <c r="E1232" s="29" t="str">
        <f t="shared" ca="1" si="103"/>
        <v/>
      </c>
      <c r="F1232" s="29" t="str">
        <f ca="1">IF(C1232&lt;&gt;"",IF(OR(VLOOKUP(C1232,$C$3:$L$6,5,0)=Variables!$B$5,B1232&gt;VLOOKUP(C1232,$C$3:$L$6,8,0)),-D1232*VLOOKUP(C1232,$C$3:$L$6,6,0)/12,0),"")</f>
        <v/>
      </c>
      <c r="G1232" s="29" t="str">
        <f ca="1">IF(I1232&lt;&gt;Variables!$B$1,IF(C1232&lt;&gt;"",$I$9-E1232-F1232,""),-D1232)</f>
        <v/>
      </c>
      <c r="H1232" s="29" t="str">
        <f t="shared" ca="1" si="106"/>
        <v/>
      </c>
      <c r="I1232" s="31" t="str">
        <f ca="1">IF(C1232&lt;&gt;"",IF(D1232+$I$9-E1232-F1232&gt;=0,IF(ISERROR(INDEX($C$3:$C$6,MATCH(C1232,$C$3:$C$6,0)+1,0)),Variables!$B$1,INDEX($C$3:$C$6,MATCH(C1232,$C$3:$C$6,0)+1,0)),""),"")</f>
        <v/>
      </c>
      <c r="J1232" s="29" t="str">
        <f ca="1">IF(ISERROR(VLOOKUP(I1232,$C$3:$L$6,5,0)),"",IF(OR(VLOOKUP(I1232,$C$3:$L$6,5,0)=Variables!$B$5,B1232&gt;VLOOKUP(I1232,$C$3:$L$6,8,0)),IF(VLOOKUP(I1232,$C$3:$L$6,5,0)=Variables!$B$5,((YEAR(B1232)-YEAR($B$12))*12+MONTH(B1232)-MONTH($B$12)),((YEAR(B1232)-YEAR(VLOOKUP(I1232,$C$3:$L$6,8,0)))*12+MONTH(B1232)-MONTH(VLOOKUP(I1232,$C$3:$L$6,8,0))))*(VLOOKUP(I1232,$C$3:$L$6,10,0)*VLOOKUP(I1232,$C$3:$L$6,6,0)/12),0))</f>
        <v/>
      </c>
      <c r="K1232" s="29" t="str">
        <f ca="1">IF(C1232&lt;&gt;"",IF(I1232&lt;&gt;"",IF(ISERROR(VLOOKUP(I1232,$C$3:$L$6,10,0)),"",VLOOKUP(I1232,$C$3:$L$6,10,0)+J1232+IF(OR(VLOOKUP(I1232,$C$3:$L$6,5,0)=Variables!$B$5,B1232&gt;VLOOKUP(I1232,$C$3:$L$6,8,0)),IF(VLOOKUP(I1232,$C$3:$L$6,5,0)=Variables!$B$5,((YEAR(B1232)-YEAR($B$12))*12+MONTH(B1232)-MONTH($B$12)),((YEAR(B1232)-YEAR(VLOOKUP(I1232,$C$3:$L$6,8,0)))*12+MONTH(B1232)-MONTH(VLOOKUP(I1232,$C$3:$L$6,8,0))))*VLOOKUP(I1232,$C$3:$L$6,7,0),0)),""),"")</f>
        <v/>
      </c>
      <c r="L1232" s="29" t="str">
        <f t="shared" ca="1" si="104"/>
        <v/>
      </c>
    </row>
    <row r="1233" spans="2:12" x14ac:dyDescent="0.25">
      <c r="B1233" s="14" t="str">
        <f t="shared" ca="1" si="105"/>
        <v/>
      </c>
      <c r="C1233" s="14" t="str">
        <f ca="1">IF(I1232&lt;&gt;Variables!$B$1,IF(H1232&lt;&gt;0,C1232,I1232),"")</f>
        <v/>
      </c>
      <c r="D1233" s="29" t="str">
        <f t="shared" ca="1" si="102"/>
        <v/>
      </c>
      <c r="E1233" s="29" t="str">
        <f t="shared" ca="1" si="103"/>
        <v/>
      </c>
      <c r="F1233" s="29" t="str">
        <f ca="1">IF(C1233&lt;&gt;"",IF(OR(VLOOKUP(C1233,$C$3:$L$6,5,0)=Variables!$B$5,B1233&gt;VLOOKUP(C1233,$C$3:$L$6,8,0)),-D1233*VLOOKUP(C1233,$C$3:$L$6,6,0)/12,0),"")</f>
        <v/>
      </c>
      <c r="G1233" s="29" t="str">
        <f ca="1">IF(I1233&lt;&gt;Variables!$B$1,IF(C1233&lt;&gt;"",$I$9-E1233-F1233,""),-D1233)</f>
        <v/>
      </c>
      <c r="H1233" s="29" t="str">
        <f t="shared" ca="1" si="106"/>
        <v/>
      </c>
      <c r="I1233" s="31" t="str">
        <f ca="1">IF(C1233&lt;&gt;"",IF(D1233+$I$9-E1233-F1233&gt;=0,IF(ISERROR(INDEX($C$3:$C$6,MATCH(C1233,$C$3:$C$6,0)+1,0)),Variables!$B$1,INDEX($C$3:$C$6,MATCH(C1233,$C$3:$C$6,0)+1,0)),""),"")</f>
        <v/>
      </c>
      <c r="J1233" s="29" t="str">
        <f ca="1">IF(ISERROR(VLOOKUP(I1233,$C$3:$L$6,5,0)),"",IF(OR(VLOOKUP(I1233,$C$3:$L$6,5,0)=Variables!$B$5,B1233&gt;VLOOKUP(I1233,$C$3:$L$6,8,0)),IF(VLOOKUP(I1233,$C$3:$L$6,5,0)=Variables!$B$5,((YEAR(B1233)-YEAR($B$12))*12+MONTH(B1233)-MONTH($B$12)),((YEAR(B1233)-YEAR(VLOOKUP(I1233,$C$3:$L$6,8,0)))*12+MONTH(B1233)-MONTH(VLOOKUP(I1233,$C$3:$L$6,8,0))))*(VLOOKUP(I1233,$C$3:$L$6,10,0)*VLOOKUP(I1233,$C$3:$L$6,6,0)/12),0))</f>
        <v/>
      </c>
      <c r="K1233" s="29" t="str">
        <f ca="1">IF(C1233&lt;&gt;"",IF(I1233&lt;&gt;"",IF(ISERROR(VLOOKUP(I1233,$C$3:$L$6,10,0)),"",VLOOKUP(I1233,$C$3:$L$6,10,0)+J1233+IF(OR(VLOOKUP(I1233,$C$3:$L$6,5,0)=Variables!$B$5,B1233&gt;VLOOKUP(I1233,$C$3:$L$6,8,0)),IF(VLOOKUP(I1233,$C$3:$L$6,5,0)=Variables!$B$5,((YEAR(B1233)-YEAR($B$12))*12+MONTH(B1233)-MONTH($B$12)),((YEAR(B1233)-YEAR(VLOOKUP(I1233,$C$3:$L$6,8,0)))*12+MONTH(B1233)-MONTH(VLOOKUP(I1233,$C$3:$L$6,8,0))))*VLOOKUP(I1233,$C$3:$L$6,7,0),0)),""),"")</f>
        <v/>
      </c>
      <c r="L1233" s="29" t="str">
        <f t="shared" ca="1" si="104"/>
        <v/>
      </c>
    </row>
    <row r="1234" spans="2:12" x14ac:dyDescent="0.25">
      <c r="B1234" s="14" t="str">
        <f t="shared" ca="1" si="105"/>
        <v/>
      </c>
      <c r="C1234" s="14" t="str">
        <f ca="1">IF(I1233&lt;&gt;Variables!$B$1,IF(H1233&lt;&gt;0,C1233,I1233),"")</f>
        <v/>
      </c>
      <c r="D1234" s="29" t="str">
        <f t="shared" ca="1" si="102"/>
        <v/>
      </c>
      <c r="E1234" s="29" t="str">
        <f t="shared" ca="1" si="103"/>
        <v/>
      </c>
      <c r="F1234" s="29" t="str">
        <f ca="1">IF(C1234&lt;&gt;"",IF(OR(VLOOKUP(C1234,$C$3:$L$6,5,0)=Variables!$B$5,B1234&gt;VLOOKUP(C1234,$C$3:$L$6,8,0)),-D1234*VLOOKUP(C1234,$C$3:$L$6,6,0)/12,0),"")</f>
        <v/>
      </c>
      <c r="G1234" s="29" t="str">
        <f ca="1">IF(I1234&lt;&gt;Variables!$B$1,IF(C1234&lt;&gt;"",$I$9-E1234-F1234,""),-D1234)</f>
        <v/>
      </c>
      <c r="H1234" s="29" t="str">
        <f t="shared" ca="1" si="106"/>
        <v/>
      </c>
      <c r="I1234" s="31" t="str">
        <f ca="1">IF(C1234&lt;&gt;"",IF(D1234+$I$9-E1234-F1234&gt;=0,IF(ISERROR(INDEX($C$3:$C$6,MATCH(C1234,$C$3:$C$6,0)+1,0)),Variables!$B$1,INDEX($C$3:$C$6,MATCH(C1234,$C$3:$C$6,0)+1,0)),""),"")</f>
        <v/>
      </c>
      <c r="J1234" s="29" t="str">
        <f ca="1">IF(ISERROR(VLOOKUP(I1234,$C$3:$L$6,5,0)),"",IF(OR(VLOOKUP(I1234,$C$3:$L$6,5,0)=Variables!$B$5,B1234&gt;VLOOKUP(I1234,$C$3:$L$6,8,0)),IF(VLOOKUP(I1234,$C$3:$L$6,5,0)=Variables!$B$5,((YEAR(B1234)-YEAR($B$12))*12+MONTH(B1234)-MONTH($B$12)),((YEAR(B1234)-YEAR(VLOOKUP(I1234,$C$3:$L$6,8,0)))*12+MONTH(B1234)-MONTH(VLOOKUP(I1234,$C$3:$L$6,8,0))))*(VLOOKUP(I1234,$C$3:$L$6,10,0)*VLOOKUP(I1234,$C$3:$L$6,6,0)/12),0))</f>
        <v/>
      </c>
      <c r="K1234" s="29" t="str">
        <f ca="1">IF(C1234&lt;&gt;"",IF(I1234&lt;&gt;"",IF(ISERROR(VLOOKUP(I1234,$C$3:$L$6,10,0)),"",VLOOKUP(I1234,$C$3:$L$6,10,0)+J1234+IF(OR(VLOOKUP(I1234,$C$3:$L$6,5,0)=Variables!$B$5,B1234&gt;VLOOKUP(I1234,$C$3:$L$6,8,0)),IF(VLOOKUP(I1234,$C$3:$L$6,5,0)=Variables!$B$5,((YEAR(B1234)-YEAR($B$12))*12+MONTH(B1234)-MONTH($B$12)),((YEAR(B1234)-YEAR(VLOOKUP(I1234,$C$3:$L$6,8,0)))*12+MONTH(B1234)-MONTH(VLOOKUP(I1234,$C$3:$L$6,8,0))))*VLOOKUP(I1234,$C$3:$L$6,7,0),0)),""),"")</f>
        <v/>
      </c>
      <c r="L1234" s="29" t="str">
        <f t="shared" ca="1" si="104"/>
        <v/>
      </c>
    </row>
    <row r="1235" spans="2:12" x14ac:dyDescent="0.25">
      <c r="B1235" s="14" t="str">
        <f t="shared" ca="1" si="105"/>
        <v/>
      </c>
      <c r="C1235" s="14" t="str">
        <f ca="1">IF(I1234&lt;&gt;Variables!$B$1,IF(H1234&lt;&gt;0,C1234,I1234),"")</f>
        <v/>
      </c>
      <c r="D1235" s="29" t="str">
        <f t="shared" ca="1" si="102"/>
        <v/>
      </c>
      <c r="E1235" s="29" t="str">
        <f t="shared" ca="1" si="103"/>
        <v/>
      </c>
      <c r="F1235" s="29" t="str">
        <f ca="1">IF(C1235&lt;&gt;"",IF(OR(VLOOKUP(C1235,$C$3:$L$6,5,0)=Variables!$B$5,B1235&gt;VLOOKUP(C1235,$C$3:$L$6,8,0)),-D1235*VLOOKUP(C1235,$C$3:$L$6,6,0)/12,0),"")</f>
        <v/>
      </c>
      <c r="G1235" s="29" t="str">
        <f ca="1">IF(I1235&lt;&gt;Variables!$B$1,IF(C1235&lt;&gt;"",$I$9-E1235-F1235,""),-D1235)</f>
        <v/>
      </c>
      <c r="H1235" s="29" t="str">
        <f t="shared" ca="1" si="106"/>
        <v/>
      </c>
      <c r="I1235" s="31" t="str">
        <f ca="1">IF(C1235&lt;&gt;"",IF(D1235+$I$9-E1235-F1235&gt;=0,IF(ISERROR(INDEX($C$3:$C$6,MATCH(C1235,$C$3:$C$6,0)+1,0)),Variables!$B$1,INDEX($C$3:$C$6,MATCH(C1235,$C$3:$C$6,0)+1,0)),""),"")</f>
        <v/>
      </c>
      <c r="J1235" s="29" t="str">
        <f ca="1">IF(ISERROR(VLOOKUP(I1235,$C$3:$L$6,5,0)),"",IF(OR(VLOOKUP(I1235,$C$3:$L$6,5,0)=Variables!$B$5,B1235&gt;VLOOKUP(I1235,$C$3:$L$6,8,0)),IF(VLOOKUP(I1235,$C$3:$L$6,5,0)=Variables!$B$5,((YEAR(B1235)-YEAR($B$12))*12+MONTH(B1235)-MONTH($B$12)),((YEAR(B1235)-YEAR(VLOOKUP(I1235,$C$3:$L$6,8,0)))*12+MONTH(B1235)-MONTH(VLOOKUP(I1235,$C$3:$L$6,8,0))))*(VLOOKUP(I1235,$C$3:$L$6,10,0)*VLOOKUP(I1235,$C$3:$L$6,6,0)/12),0))</f>
        <v/>
      </c>
      <c r="K1235" s="29" t="str">
        <f ca="1">IF(C1235&lt;&gt;"",IF(I1235&lt;&gt;"",IF(ISERROR(VLOOKUP(I1235,$C$3:$L$6,10,0)),"",VLOOKUP(I1235,$C$3:$L$6,10,0)+J1235+IF(OR(VLOOKUP(I1235,$C$3:$L$6,5,0)=Variables!$B$5,B1235&gt;VLOOKUP(I1235,$C$3:$L$6,8,0)),IF(VLOOKUP(I1235,$C$3:$L$6,5,0)=Variables!$B$5,((YEAR(B1235)-YEAR($B$12))*12+MONTH(B1235)-MONTH($B$12)),((YEAR(B1235)-YEAR(VLOOKUP(I1235,$C$3:$L$6,8,0)))*12+MONTH(B1235)-MONTH(VLOOKUP(I1235,$C$3:$L$6,8,0))))*VLOOKUP(I1235,$C$3:$L$6,7,0),0)),""),"")</f>
        <v/>
      </c>
      <c r="L1235" s="29" t="str">
        <f t="shared" ca="1" si="104"/>
        <v/>
      </c>
    </row>
    <row r="1236" spans="2:12" x14ac:dyDescent="0.25">
      <c r="B1236" s="14" t="str">
        <f t="shared" ca="1" si="105"/>
        <v/>
      </c>
      <c r="C1236" s="14" t="str">
        <f ca="1">IF(I1235&lt;&gt;Variables!$B$1,IF(H1235&lt;&gt;0,C1235,I1235),"")</f>
        <v/>
      </c>
      <c r="D1236" s="29" t="str">
        <f t="shared" ca="1" si="102"/>
        <v/>
      </c>
      <c r="E1236" s="29" t="str">
        <f t="shared" ca="1" si="103"/>
        <v/>
      </c>
      <c r="F1236" s="29" t="str">
        <f ca="1">IF(C1236&lt;&gt;"",IF(OR(VLOOKUP(C1236,$C$3:$L$6,5,0)=Variables!$B$5,B1236&gt;VLOOKUP(C1236,$C$3:$L$6,8,0)),-D1236*VLOOKUP(C1236,$C$3:$L$6,6,0)/12,0),"")</f>
        <v/>
      </c>
      <c r="G1236" s="29" t="str">
        <f ca="1">IF(I1236&lt;&gt;Variables!$B$1,IF(C1236&lt;&gt;"",$I$9-E1236-F1236,""),-D1236)</f>
        <v/>
      </c>
      <c r="H1236" s="29" t="str">
        <f t="shared" ca="1" si="106"/>
        <v/>
      </c>
      <c r="I1236" s="31" t="str">
        <f ca="1">IF(C1236&lt;&gt;"",IF(D1236+$I$9-E1236-F1236&gt;=0,IF(ISERROR(INDEX($C$3:$C$6,MATCH(C1236,$C$3:$C$6,0)+1,0)),Variables!$B$1,INDEX($C$3:$C$6,MATCH(C1236,$C$3:$C$6,0)+1,0)),""),"")</f>
        <v/>
      </c>
      <c r="J1236" s="29" t="str">
        <f ca="1">IF(ISERROR(VLOOKUP(I1236,$C$3:$L$6,5,0)),"",IF(OR(VLOOKUP(I1236,$C$3:$L$6,5,0)=Variables!$B$5,B1236&gt;VLOOKUP(I1236,$C$3:$L$6,8,0)),IF(VLOOKUP(I1236,$C$3:$L$6,5,0)=Variables!$B$5,((YEAR(B1236)-YEAR($B$12))*12+MONTH(B1236)-MONTH($B$12)),((YEAR(B1236)-YEAR(VLOOKUP(I1236,$C$3:$L$6,8,0)))*12+MONTH(B1236)-MONTH(VLOOKUP(I1236,$C$3:$L$6,8,0))))*(VLOOKUP(I1236,$C$3:$L$6,10,0)*VLOOKUP(I1236,$C$3:$L$6,6,0)/12),0))</f>
        <v/>
      </c>
      <c r="K1236" s="29" t="str">
        <f ca="1">IF(C1236&lt;&gt;"",IF(I1236&lt;&gt;"",IF(ISERROR(VLOOKUP(I1236,$C$3:$L$6,10,0)),"",VLOOKUP(I1236,$C$3:$L$6,10,0)+J1236+IF(OR(VLOOKUP(I1236,$C$3:$L$6,5,0)=Variables!$B$5,B1236&gt;VLOOKUP(I1236,$C$3:$L$6,8,0)),IF(VLOOKUP(I1236,$C$3:$L$6,5,0)=Variables!$B$5,((YEAR(B1236)-YEAR($B$12))*12+MONTH(B1236)-MONTH($B$12)),((YEAR(B1236)-YEAR(VLOOKUP(I1236,$C$3:$L$6,8,0)))*12+MONTH(B1236)-MONTH(VLOOKUP(I1236,$C$3:$L$6,8,0))))*VLOOKUP(I1236,$C$3:$L$6,7,0),0)),""),"")</f>
        <v/>
      </c>
      <c r="L1236" s="29" t="str">
        <f t="shared" ca="1" si="104"/>
        <v/>
      </c>
    </row>
    <row r="1237" spans="2:12" x14ac:dyDescent="0.25">
      <c r="B1237" s="14" t="str">
        <f t="shared" ca="1" si="105"/>
        <v/>
      </c>
      <c r="C1237" s="14" t="str">
        <f ca="1">IF(I1236&lt;&gt;Variables!$B$1,IF(H1236&lt;&gt;0,C1236,I1236),"")</f>
        <v/>
      </c>
      <c r="D1237" s="29" t="str">
        <f t="shared" ca="1" si="102"/>
        <v/>
      </c>
      <c r="E1237" s="29" t="str">
        <f t="shared" ca="1" si="103"/>
        <v/>
      </c>
      <c r="F1237" s="29" t="str">
        <f ca="1">IF(C1237&lt;&gt;"",IF(OR(VLOOKUP(C1237,$C$3:$L$6,5,0)=Variables!$B$5,B1237&gt;VLOOKUP(C1237,$C$3:$L$6,8,0)),-D1237*VLOOKUP(C1237,$C$3:$L$6,6,0)/12,0),"")</f>
        <v/>
      </c>
      <c r="G1237" s="29" t="str">
        <f ca="1">IF(I1237&lt;&gt;Variables!$B$1,IF(C1237&lt;&gt;"",$I$9-E1237-F1237,""),-D1237)</f>
        <v/>
      </c>
      <c r="H1237" s="29" t="str">
        <f t="shared" ca="1" si="106"/>
        <v/>
      </c>
      <c r="I1237" s="31" t="str">
        <f ca="1">IF(C1237&lt;&gt;"",IF(D1237+$I$9-E1237-F1237&gt;=0,IF(ISERROR(INDEX($C$3:$C$6,MATCH(C1237,$C$3:$C$6,0)+1,0)),Variables!$B$1,INDEX($C$3:$C$6,MATCH(C1237,$C$3:$C$6,0)+1,0)),""),"")</f>
        <v/>
      </c>
      <c r="J1237" s="29" t="str">
        <f ca="1">IF(ISERROR(VLOOKUP(I1237,$C$3:$L$6,5,0)),"",IF(OR(VLOOKUP(I1237,$C$3:$L$6,5,0)=Variables!$B$5,B1237&gt;VLOOKUP(I1237,$C$3:$L$6,8,0)),IF(VLOOKUP(I1237,$C$3:$L$6,5,0)=Variables!$B$5,((YEAR(B1237)-YEAR($B$12))*12+MONTH(B1237)-MONTH($B$12)),((YEAR(B1237)-YEAR(VLOOKUP(I1237,$C$3:$L$6,8,0)))*12+MONTH(B1237)-MONTH(VLOOKUP(I1237,$C$3:$L$6,8,0))))*(VLOOKUP(I1237,$C$3:$L$6,10,0)*VLOOKUP(I1237,$C$3:$L$6,6,0)/12),0))</f>
        <v/>
      </c>
      <c r="K1237" s="29" t="str">
        <f ca="1">IF(C1237&lt;&gt;"",IF(I1237&lt;&gt;"",IF(ISERROR(VLOOKUP(I1237,$C$3:$L$6,10,0)),"",VLOOKUP(I1237,$C$3:$L$6,10,0)+J1237+IF(OR(VLOOKUP(I1237,$C$3:$L$6,5,0)=Variables!$B$5,B1237&gt;VLOOKUP(I1237,$C$3:$L$6,8,0)),IF(VLOOKUP(I1237,$C$3:$L$6,5,0)=Variables!$B$5,((YEAR(B1237)-YEAR($B$12))*12+MONTH(B1237)-MONTH($B$12)),((YEAR(B1237)-YEAR(VLOOKUP(I1237,$C$3:$L$6,8,0)))*12+MONTH(B1237)-MONTH(VLOOKUP(I1237,$C$3:$L$6,8,0))))*VLOOKUP(I1237,$C$3:$L$6,7,0),0)),""),"")</f>
        <v/>
      </c>
      <c r="L1237" s="29" t="str">
        <f t="shared" ca="1" si="104"/>
        <v/>
      </c>
    </row>
    <row r="1238" spans="2:12" x14ac:dyDescent="0.25">
      <c r="B1238" s="14" t="str">
        <f t="shared" ca="1" si="105"/>
        <v/>
      </c>
      <c r="C1238" s="14" t="str">
        <f ca="1">IF(I1237&lt;&gt;Variables!$B$1,IF(H1237&lt;&gt;0,C1237,I1237),"")</f>
        <v/>
      </c>
      <c r="D1238" s="29" t="str">
        <f t="shared" ca="1" si="102"/>
        <v/>
      </c>
      <c r="E1238" s="29" t="str">
        <f t="shared" ca="1" si="103"/>
        <v/>
      </c>
      <c r="F1238" s="29" t="str">
        <f ca="1">IF(C1238&lt;&gt;"",IF(OR(VLOOKUP(C1238,$C$3:$L$6,5,0)=Variables!$B$5,B1238&gt;VLOOKUP(C1238,$C$3:$L$6,8,0)),-D1238*VLOOKUP(C1238,$C$3:$L$6,6,0)/12,0),"")</f>
        <v/>
      </c>
      <c r="G1238" s="29" t="str">
        <f ca="1">IF(I1238&lt;&gt;Variables!$B$1,IF(C1238&lt;&gt;"",$I$9-E1238-F1238,""),-D1238)</f>
        <v/>
      </c>
      <c r="H1238" s="29" t="str">
        <f t="shared" ca="1" si="106"/>
        <v/>
      </c>
      <c r="I1238" s="31" t="str">
        <f ca="1">IF(C1238&lt;&gt;"",IF(D1238+$I$9-E1238-F1238&gt;=0,IF(ISERROR(INDEX($C$3:$C$6,MATCH(C1238,$C$3:$C$6,0)+1,0)),Variables!$B$1,INDEX($C$3:$C$6,MATCH(C1238,$C$3:$C$6,0)+1,0)),""),"")</f>
        <v/>
      </c>
      <c r="J1238" s="29" t="str">
        <f ca="1">IF(ISERROR(VLOOKUP(I1238,$C$3:$L$6,5,0)),"",IF(OR(VLOOKUP(I1238,$C$3:$L$6,5,0)=Variables!$B$5,B1238&gt;VLOOKUP(I1238,$C$3:$L$6,8,0)),IF(VLOOKUP(I1238,$C$3:$L$6,5,0)=Variables!$B$5,((YEAR(B1238)-YEAR($B$12))*12+MONTH(B1238)-MONTH($B$12)),((YEAR(B1238)-YEAR(VLOOKUP(I1238,$C$3:$L$6,8,0)))*12+MONTH(B1238)-MONTH(VLOOKUP(I1238,$C$3:$L$6,8,0))))*(VLOOKUP(I1238,$C$3:$L$6,10,0)*VLOOKUP(I1238,$C$3:$L$6,6,0)/12),0))</f>
        <v/>
      </c>
      <c r="K1238" s="29" t="str">
        <f ca="1">IF(C1238&lt;&gt;"",IF(I1238&lt;&gt;"",IF(ISERROR(VLOOKUP(I1238,$C$3:$L$6,10,0)),"",VLOOKUP(I1238,$C$3:$L$6,10,0)+J1238+IF(OR(VLOOKUP(I1238,$C$3:$L$6,5,0)=Variables!$B$5,B1238&gt;VLOOKUP(I1238,$C$3:$L$6,8,0)),IF(VLOOKUP(I1238,$C$3:$L$6,5,0)=Variables!$B$5,((YEAR(B1238)-YEAR($B$12))*12+MONTH(B1238)-MONTH($B$12)),((YEAR(B1238)-YEAR(VLOOKUP(I1238,$C$3:$L$6,8,0)))*12+MONTH(B1238)-MONTH(VLOOKUP(I1238,$C$3:$L$6,8,0))))*VLOOKUP(I1238,$C$3:$L$6,7,0),0)),""),"")</f>
        <v/>
      </c>
      <c r="L1238" s="29" t="str">
        <f t="shared" ca="1" si="104"/>
        <v/>
      </c>
    </row>
    <row r="1239" spans="2:12" x14ac:dyDescent="0.25">
      <c r="B1239" s="14" t="str">
        <f t="shared" ca="1" si="105"/>
        <v/>
      </c>
      <c r="C1239" s="14" t="str">
        <f ca="1">IF(I1238&lt;&gt;Variables!$B$1,IF(H1238&lt;&gt;0,C1238,I1238),"")</f>
        <v/>
      </c>
      <c r="D1239" s="29" t="str">
        <f t="shared" ca="1" si="102"/>
        <v/>
      </c>
      <c r="E1239" s="29" t="str">
        <f t="shared" ca="1" si="103"/>
        <v/>
      </c>
      <c r="F1239" s="29" t="str">
        <f ca="1">IF(C1239&lt;&gt;"",IF(OR(VLOOKUP(C1239,$C$3:$L$6,5,0)=Variables!$B$5,B1239&gt;VLOOKUP(C1239,$C$3:$L$6,8,0)),-D1239*VLOOKUP(C1239,$C$3:$L$6,6,0)/12,0),"")</f>
        <v/>
      </c>
      <c r="G1239" s="29" t="str">
        <f ca="1">IF(I1239&lt;&gt;Variables!$B$1,IF(C1239&lt;&gt;"",$I$9-E1239-F1239,""),-D1239)</f>
        <v/>
      </c>
      <c r="H1239" s="29" t="str">
        <f t="shared" ca="1" si="106"/>
        <v/>
      </c>
      <c r="I1239" s="31" t="str">
        <f ca="1">IF(C1239&lt;&gt;"",IF(D1239+$I$9-E1239-F1239&gt;=0,IF(ISERROR(INDEX($C$3:$C$6,MATCH(C1239,$C$3:$C$6,0)+1,0)),Variables!$B$1,INDEX($C$3:$C$6,MATCH(C1239,$C$3:$C$6,0)+1,0)),""),"")</f>
        <v/>
      </c>
      <c r="J1239" s="29" t="str">
        <f ca="1">IF(ISERROR(VLOOKUP(I1239,$C$3:$L$6,5,0)),"",IF(OR(VLOOKUP(I1239,$C$3:$L$6,5,0)=Variables!$B$5,B1239&gt;VLOOKUP(I1239,$C$3:$L$6,8,0)),IF(VLOOKUP(I1239,$C$3:$L$6,5,0)=Variables!$B$5,((YEAR(B1239)-YEAR($B$12))*12+MONTH(B1239)-MONTH($B$12)),((YEAR(B1239)-YEAR(VLOOKUP(I1239,$C$3:$L$6,8,0)))*12+MONTH(B1239)-MONTH(VLOOKUP(I1239,$C$3:$L$6,8,0))))*(VLOOKUP(I1239,$C$3:$L$6,10,0)*VLOOKUP(I1239,$C$3:$L$6,6,0)/12),0))</f>
        <v/>
      </c>
      <c r="K1239" s="29" t="str">
        <f ca="1">IF(C1239&lt;&gt;"",IF(I1239&lt;&gt;"",IF(ISERROR(VLOOKUP(I1239,$C$3:$L$6,10,0)),"",VLOOKUP(I1239,$C$3:$L$6,10,0)+J1239+IF(OR(VLOOKUP(I1239,$C$3:$L$6,5,0)=Variables!$B$5,B1239&gt;VLOOKUP(I1239,$C$3:$L$6,8,0)),IF(VLOOKUP(I1239,$C$3:$L$6,5,0)=Variables!$B$5,((YEAR(B1239)-YEAR($B$12))*12+MONTH(B1239)-MONTH($B$12)),((YEAR(B1239)-YEAR(VLOOKUP(I1239,$C$3:$L$6,8,0)))*12+MONTH(B1239)-MONTH(VLOOKUP(I1239,$C$3:$L$6,8,0))))*VLOOKUP(I1239,$C$3:$L$6,7,0),0)),""),"")</f>
        <v/>
      </c>
      <c r="L1239" s="29" t="str">
        <f t="shared" ca="1" si="104"/>
        <v/>
      </c>
    </row>
    <row r="1240" spans="2:12" x14ac:dyDescent="0.25">
      <c r="B1240" s="14" t="str">
        <f t="shared" ca="1" si="105"/>
        <v/>
      </c>
      <c r="C1240" s="14" t="str">
        <f ca="1">IF(I1239&lt;&gt;Variables!$B$1,IF(H1239&lt;&gt;0,C1239,I1239),"")</f>
        <v/>
      </c>
      <c r="D1240" s="29" t="str">
        <f t="shared" ca="1" si="102"/>
        <v/>
      </c>
      <c r="E1240" s="29" t="str">
        <f t="shared" ca="1" si="103"/>
        <v/>
      </c>
      <c r="F1240" s="29" t="str">
        <f ca="1">IF(C1240&lt;&gt;"",IF(OR(VLOOKUP(C1240,$C$3:$L$6,5,0)=Variables!$B$5,B1240&gt;VLOOKUP(C1240,$C$3:$L$6,8,0)),-D1240*VLOOKUP(C1240,$C$3:$L$6,6,0)/12,0),"")</f>
        <v/>
      </c>
      <c r="G1240" s="29" t="str">
        <f ca="1">IF(I1240&lt;&gt;Variables!$B$1,IF(C1240&lt;&gt;"",$I$9-E1240-F1240,""),-D1240)</f>
        <v/>
      </c>
      <c r="H1240" s="29" t="str">
        <f t="shared" ca="1" si="106"/>
        <v/>
      </c>
      <c r="I1240" s="31" t="str">
        <f ca="1">IF(C1240&lt;&gt;"",IF(D1240+$I$9-E1240-F1240&gt;=0,IF(ISERROR(INDEX($C$3:$C$6,MATCH(C1240,$C$3:$C$6,0)+1,0)),Variables!$B$1,INDEX($C$3:$C$6,MATCH(C1240,$C$3:$C$6,0)+1,0)),""),"")</f>
        <v/>
      </c>
      <c r="J1240" s="29" t="str">
        <f ca="1">IF(ISERROR(VLOOKUP(I1240,$C$3:$L$6,5,0)),"",IF(OR(VLOOKUP(I1240,$C$3:$L$6,5,0)=Variables!$B$5,B1240&gt;VLOOKUP(I1240,$C$3:$L$6,8,0)),IF(VLOOKUP(I1240,$C$3:$L$6,5,0)=Variables!$B$5,((YEAR(B1240)-YEAR($B$12))*12+MONTH(B1240)-MONTH($B$12)),((YEAR(B1240)-YEAR(VLOOKUP(I1240,$C$3:$L$6,8,0)))*12+MONTH(B1240)-MONTH(VLOOKUP(I1240,$C$3:$L$6,8,0))))*(VLOOKUP(I1240,$C$3:$L$6,10,0)*VLOOKUP(I1240,$C$3:$L$6,6,0)/12),0))</f>
        <v/>
      </c>
      <c r="K1240" s="29" t="str">
        <f ca="1">IF(C1240&lt;&gt;"",IF(I1240&lt;&gt;"",IF(ISERROR(VLOOKUP(I1240,$C$3:$L$6,10,0)),"",VLOOKUP(I1240,$C$3:$L$6,10,0)+J1240+IF(OR(VLOOKUP(I1240,$C$3:$L$6,5,0)=Variables!$B$5,B1240&gt;VLOOKUP(I1240,$C$3:$L$6,8,0)),IF(VLOOKUP(I1240,$C$3:$L$6,5,0)=Variables!$B$5,((YEAR(B1240)-YEAR($B$12))*12+MONTH(B1240)-MONTH($B$12)),((YEAR(B1240)-YEAR(VLOOKUP(I1240,$C$3:$L$6,8,0)))*12+MONTH(B1240)-MONTH(VLOOKUP(I1240,$C$3:$L$6,8,0))))*VLOOKUP(I1240,$C$3:$L$6,7,0),0)),""),"")</f>
        <v/>
      </c>
      <c r="L1240" s="29" t="str">
        <f t="shared" ca="1" si="104"/>
        <v/>
      </c>
    </row>
    <row r="1241" spans="2:12" x14ac:dyDescent="0.25">
      <c r="B1241" s="14" t="str">
        <f t="shared" ca="1" si="105"/>
        <v/>
      </c>
      <c r="C1241" s="14" t="str">
        <f ca="1">IF(I1240&lt;&gt;Variables!$B$1,IF(H1240&lt;&gt;0,C1240,I1240),"")</f>
        <v/>
      </c>
      <c r="D1241" s="29" t="str">
        <f t="shared" ca="1" si="102"/>
        <v/>
      </c>
      <c r="E1241" s="29" t="str">
        <f t="shared" ca="1" si="103"/>
        <v/>
      </c>
      <c r="F1241" s="29" t="str">
        <f ca="1">IF(C1241&lt;&gt;"",IF(OR(VLOOKUP(C1241,$C$3:$L$6,5,0)=Variables!$B$5,B1241&gt;VLOOKUP(C1241,$C$3:$L$6,8,0)),-D1241*VLOOKUP(C1241,$C$3:$L$6,6,0)/12,0),"")</f>
        <v/>
      </c>
      <c r="G1241" s="29" t="str">
        <f ca="1">IF(I1241&lt;&gt;Variables!$B$1,IF(C1241&lt;&gt;"",$I$9-E1241-F1241,""),-D1241)</f>
        <v/>
      </c>
      <c r="H1241" s="29" t="str">
        <f t="shared" ca="1" si="106"/>
        <v/>
      </c>
      <c r="I1241" s="31" t="str">
        <f ca="1">IF(C1241&lt;&gt;"",IF(D1241+$I$9-E1241-F1241&gt;=0,IF(ISERROR(INDEX($C$3:$C$6,MATCH(C1241,$C$3:$C$6,0)+1,0)),Variables!$B$1,INDEX($C$3:$C$6,MATCH(C1241,$C$3:$C$6,0)+1,0)),""),"")</f>
        <v/>
      </c>
      <c r="J1241" s="29" t="str">
        <f ca="1">IF(ISERROR(VLOOKUP(I1241,$C$3:$L$6,5,0)),"",IF(OR(VLOOKUP(I1241,$C$3:$L$6,5,0)=Variables!$B$5,B1241&gt;VLOOKUP(I1241,$C$3:$L$6,8,0)),IF(VLOOKUP(I1241,$C$3:$L$6,5,0)=Variables!$B$5,((YEAR(B1241)-YEAR($B$12))*12+MONTH(B1241)-MONTH($B$12)),((YEAR(B1241)-YEAR(VLOOKUP(I1241,$C$3:$L$6,8,0)))*12+MONTH(B1241)-MONTH(VLOOKUP(I1241,$C$3:$L$6,8,0))))*(VLOOKUP(I1241,$C$3:$L$6,10,0)*VLOOKUP(I1241,$C$3:$L$6,6,0)/12),0))</f>
        <v/>
      </c>
      <c r="K1241" s="29" t="str">
        <f ca="1">IF(C1241&lt;&gt;"",IF(I1241&lt;&gt;"",IF(ISERROR(VLOOKUP(I1241,$C$3:$L$6,10,0)),"",VLOOKUP(I1241,$C$3:$L$6,10,0)+J1241+IF(OR(VLOOKUP(I1241,$C$3:$L$6,5,0)=Variables!$B$5,B1241&gt;VLOOKUP(I1241,$C$3:$L$6,8,0)),IF(VLOOKUP(I1241,$C$3:$L$6,5,0)=Variables!$B$5,((YEAR(B1241)-YEAR($B$12))*12+MONTH(B1241)-MONTH($B$12)),((YEAR(B1241)-YEAR(VLOOKUP(I1241,$C$3:$L$6,8,0)))*12+MONTH(B1241)-MONTH(VLOOKUP(I1241,$C$3:$L$6,8,0))))*VLOOKUP(I1241,$C$3:$L$6,7,0),0)),""),"")</f>
        <v/>
      </c>
      <c r="L1241" s="29" t="str">
        <f t="shared" ca="1" si="104"/>
        <v/>
      </c>
    </row>
    <row r="1242" spans="2:12" x14ac:dyDescent="0.25">
      <c r="B1242" s="14" t="str">
        <f t="shared" ca="1" si="105"/>
        <v/>
      </c>
      <c r="C1242" s="14" t="str">
        <f ca="1">IF(I1241&lt;&gt;Variables!$B$1,IF(H1241&lt;&gt;0,C1241,I1241),"")</f>
        <v/>
      </c>
      <c r="D1242" s="29" t="str">
        <f t="shared" ca="1" si="102"/>
        <v/>
      </c>
      <c r="E1242" s="29" t="str">
        <f t="shared" ca="1" si="103"/>
        <v/>
      </c>
      <c r="F1242" s="29" t="str">
        <f ca="1">IF(C1242&lt;&gt;"",IF(OR(VLOOKUP(C1242,$C$3:$L$6,5,0)=Variables!$B$5,B1242&gt;VLOOKUP(C1242,$C$3:$L$6,8,0)),-D1242*VLOOKUP(C1242,$C$3:$L$6,6,0)/12,0),"")</f>
        <v/>
      </c>
      <c r="G1242" s="29" t="str">
        <f ca="1">IF(I1242&lt;&gt;Variables!$B$1,IF(C1242&lt;&gt;"",$I$9-E1242-F1242,""),-D1242)</f>
        <v/>
      </c>
      <c r="H1242" s="29" t="str">
        <f t="shared" ca="1" si="106"/>
        <v/>
      </c>
      <c r="I1242" s="31" t="str">
        <f ca="1">IF(C1242&lt;&gt;"",IF(D1242+$I$9-E1242-F1242&gt;=0,IF(ISERROR(INDEX($C$3:$C$6,MATCH(C1242,$C$3:$C$6,0)+1,0)),Variables!$B$1,INDEX($C$3:$C$6,MATCH(C1242,$C$3:$C$6,0)+1,0)),""),"")</f>
        <v/>
      </c>
      <c r="J1242" s="29" t="str">
        <f ca="1">IF(ISERROR(VLOOKUP(I1242,$C$3:$L$6,5,0)),"",IF(OR(VLOOKUP(I1242,$C$3:$L$6,5,0)=Variables!$B$5,B1242&gt;VLOOKUP(I1242,$C$3:$L$6,8,0)),IF(VLOOKUP(I1242,$C$3:$L$6,5,0)=Variables!$B$5,((YEAR(B1242)-YEAR($B$12))*12+MONTH(B1242)-MONTH($B$12)),((YEAR(B1242)-YEAR(VLOOKUP(I1242,$C$3:$L$6,8,0)))*12+MONTH(B1242)-MONTH(VLOOKUP(I1242,$C$3:$L$6,8,0))))*(VLOOKUP(I1242,$C$3:$L$6,10,0)*VLOOKUP(I1242,$C$3:$L$6,6,0)/12),0))</f>
        <v/>
      </c>
      <c r="K1242" s="29" t="str">
        <f ca="1">IF(C1242&lt;&gt;"",IF(I1242&lt;&gt;"",IF(ISERROR(VLOOKUP(I1242,$C$3:$L$6,10,0)),"",VLOOKUP(I1242,$C$3:$L$6,10,0)+J1242+IF(OR(VLOOKUP(I1242,$C$3:$L$6,5,0)=Variables!$B$5,B1242&gt;VLOOKUP(I1242,$C$3:$L$6,8,0)),IF(VLOOKUP(I1242,$C$3:$L$6,5,0)=Variables!$B$5,((YEAR(B1242)-YEAR($B$12))*12+MONTH(B1242)-MONTH($B$12)),((YEAR(B1242)-YEAR(VLOOKUP(I1242,$C$3:$L$6,8,0)))*12+MONTH(B1242)-MONTH(VLOOKUP(I1242,$C$3:$L$6,8,0))))*VLOOKUP(I1242,$C$3:$L$6,7,0),0)),""),"")</f>
        <v/>
      </c>
      <c r="L1242" s="29" t="str">
        <f t="shared" ca="1" si="104"/>
        <v/>
      </c>
    </row>
    <row r="1243" spans="2:12" x14ac:dyDescent="0.25">
      <c r="B1243" s="14" t="str">
        <f t="shared" ca="1" si="105"/>
        <v/>
      </c>
      <c r="C1243" s="14" t="str">
        <f ca="1">IF(I1242&lt;&gt;Variables!$B$1,IF(H1242&lt;&gt;0,C1242,I1242),"")</f>
        <v/>
      </c>
      <c r="D1243" s="29" t="str">
        <f t="shared" ca="1" si="102"/>
        <v/>
      </c>
      <c r="E1243" s="29" t="str">
        <f t="shared" ca="1" si="103"/>
        <v/>
      </c>
      <c r="F1243" s="29" t="str">
        <f ca="1">IF(C1243&lt;&gt;"",IF(OR(VLOOKUP(C1243,$C$3:$L$6,5,0)=Variables!$B$5,B1243&gt;VLOOKUP(C1243,$C$3:$L$6,8,0)),-D1243*VLOOKUP(C1243,$C$3:$L$6,6,0)/12,0),"")</f>
        <v/>
      </c>
      <c r="G1243" s="29" t="str">
        <f ca="1">IF(I1243&lt;&gt;Variables!$B$1,IF(C1243&lt;&gt;"",$I$9-E1243-F1243,""),-D1243)</f>
        <v/>
      </c>
      <c r="H1243" s="29" t="str">
        <f t="shared" ca="1" si="106"/>
        <v/>
      </c>
      <c r="I1243" s="31" t="str">
        <f ca="1">IF(C1243&lt;&gt;"",IF(D1243+$I$9-E1243-F1243&gt;=0,IF(ISERROR(INDEX($C$3:$C$6,MATCH(C1243,$C$3:$C$6,0)+1,0)),Variables!$B$1,INDEX($C$3:$C$6,MATCH(C1243,$C$3:$C$6,0)+1,0)),""),"")</f>
        <v/>
      </c>
      <c r="J1243" s="29" t="str">
        <f ca="1">IF(ISERROR(VLOOKUP(I1243,$C$3:$L$6,5,0)),"",IF(OR(VLOOKUP(I1243,$C$3:$L$6,5,0)=Variables!$B$5,B1243&gt;VLOOKUP(I1243,$C$3:$L$6,8,0)),IF(VLOOKUP(I1243,$C$3:$L$6,5,0)=Variables!$B$5,((YEAR(B1243)-YEAR($B$12))*12+MONTH(B1243)-MONTH($B$12)),((YEAR(B1243)-YEAR(VLOOKUP(I1243,$C$3:$L$6,8,0)))*12+MONTH(B1243)-MONTH(VLOOKUP(I1243,$C$3:$L$6,8,0))))*(VLOOKUP(I1243,$C$3:$L$6,10,0)*VLOOKUP(I1243,$C$3:$L$6,6,0)/12),0))</f>
        <v/>
      </c>
      <c r="K1243" s="29" t="str">
        <f ca="1">IF(C1243&lt;&gt;"",IF(I1243&lt;&gt;"",IF(ISERROR(VLOOKUP(I1243,$C$3:$L$6,10,0)),"",VLOOKUP(I1243,$C$3:$L$6,10,0)+J1243+IF(OR(VLOOKUP(I1243,$C$3:$L$6,5,0)=Variables!$B$5,B1243&gt;VLOOKUP(I1243,$C$3:$L$6,8,0)),IF(VLOOKUP(I1243,$C$3:$L$6,5,0)=Variables!$B$5,((YEAR(B1243)-YEAR($B$12))*12+MONTH(B1243)-MONTH($B$12)),((YEAR(B1243)-YEAR(VLOOKUP(I1243,$C$3:$L$6,8,0)))*12+MONTH(B1243)-MONTH(VLOOKUP(I1243,$C$3:$L$6,8,0))))*VLOOKUP(I1243,$C$3:$L$6,7,0),0)),""),"")</f>
        <v/>
      </c>
      <c r="L1243" s="29" t="str">
        <f t="shared" ca="1" si="104"/>
        <v/>
      </c>
    </row>
    <row r="1244" spans="2:12" x14ac:dyDescent="0.25">
      <c r="B1244" s="14" t="str">
        <f t="shared" ca="1" si="105"/>
        <v/>
      </c>
      <c r="C1244" s="14" t="str">
        <f ca="1">IF(I1243&lt;&gt;Variables!$B$1,IF(H1243&lt;&gt;0,C1243,I1243),"")</f>
        <v/>
      </c>
      <c r="D1244" s="29" t="str">
        <f t="shared" ref="D1244:D1307" ca="1" si="107">IF(C1244&lt;&gt;"",IF(H1243&lt;&gt;0,H1243,L1243),"")</f>
        <v/>
      </c>
      <c r="E1244" s="29" t="str">
        <f t="shared" ref="E1244:E1307" ca="1" si="108">IF(C1244&lt;&gt;"",MINPAYMENT(C1244,ROW(B1244),COLUMN(B1244)),"")</f>
        <v/>
      </c>
      <c r="F1244" s="29" t="str">
        <f ca="1">IF(C1244&lt;&gt;"",IF(OR(VLOOKUP(C1244,$C$3:$L$6,5,0)=Variables!$B$5,B1244&gt;VLOOKUP(C1244,$C$3:$L$6,8,0)),-D1244*VLOOKUP(C1244,$C$3:$L$6,6,0)/12,0),"")</f>
        <v/>
      </c>
      <c r="G1244" s="29" t="str">
        <f ca="1">IF(I1244&lt;&gt;Variables!$B$1,IF(C1244&lt;&gt;"",$I$9-E1244-F1244,""),-D1244)</f>
        <v/>
      </c>
      <c r="H1244" s="29" t="str">
        <f t="shared" ca="1" si="106"/>
        <v/>
      </c>
      <c r="I1244" s="31" t="str">
        <f ca="1">IF(C1244&lt;&gt;"",IF(D1244+$I$9-E1244-F1244&gt;=0,IF(ISERROR(INDEX($C$3:$C$6,MATCH(C1244,$C$3:$C$6,0)+1,0)),Variables!$B$1,INDEX($C$3:$C$6,MATCH(C1244,$C$3:$C$6,0)+1,0)),""),"")</f>
        <v/>
      </c>
      <c r="J1244" s="29" t="str">
        <f ca="1">IF(ISERROR(VLOOKUP(I1244,$C$3:$L$6,5,0)),"",IF(OR(VLOOKUP(I1244,$C$3:$L$6,5,0)=Variables!$B$5,B1244&gt;VLOOKUP(I1244,$C$3:$L$6,8,0)),IF(VLOOKUP(I1244,$C$3:$L$6,5,0)=Variables!$B$5,((YEAR(B1244)-YEAR($B$12))*12+MONTH(B1244)-MONTH($B$12)),((YEAR(B1244)-YEAR(VLOOKUP(I1244,$C$3:$L$6,8,0)))*12+MONTH(B1244)-MONTH(VLOOKUP(I1244,$C$3:$L$6,8,0))))*(VLOOKUP(I1244,$C$3:$L$6,10,0)*VLOOKUP(I1244,$C$3:$L$6,6,0)/12),0))</f>
        <v/>
      </c>
      <c r="K1244" s="29" t="str">
        <f ca="1">IF(C1244&lt;&gt;"",IF(I1244&lt;&gt;"",IF(ISERROR(VLOOKUP(I1244,$C$3:$L$6,10,0)),"",VLOOKUP(I1244,$C$3:$L$6,10,0)+J1244+IF(OR(VLOOKUP(I1244,$C$3:$L$6,5,0)=Variables!$B$5,B1244&gt;VLOOKUP(I1244,$C$3:$L$6,8,0)),IF(VLOOKUP(I1244,$C$3:$L$6,5,0)=Variables!$B$5,((YEAR(B1244)-YEAR($B$12))*12+MONTH(B1244)-MONTH($B$12)),((YEAR(B1244)-YEAR(VLOOKUP(I1244,$C$3:$L$6,8,0)))*12+MONTH(B1244)-MONTH(VLOOKUP(I1244,$C$3:$L$6,8,0))))*VLOOKUP(I1244,$C$3:$L$6,7,0),0)),""),"")</f>
        <v/>
      </c>
      <c r="L1244" s="29" t="str">
        <f t="shared" ref="L1244:L1307" ca="1" si="109">IF(C1244&lt;&gt;"",IF(ISERROR(IF(D1244+G1244&gt;=0,K1244+D1244+G1244,"")),"",IF(D1244+G1244&gt;=0,K1244+D1244+G1244,"")),"")</f>
        <v/>
      </c>
    </row>
    <row r="1245" spans="2:12" x14ac:dyDescent="0.25">
      <c r="B1245" s="14" t="str">
        <f t="shared" ref="B1245:B1308" ca="1" si="110">IF(C1245&lt;&gt;"",DATE(YEAR(B1244),MONTH(B1244)+1,DAY(B1244)),"")</f>
        <v/>
      </c>
      <c r="C1245" s="14" t="str">
        <f ca="1">IF(I1244&lt;&gt;Variables!$B$1,IF(H1244&lt;&gt;0,C1244,I1244),"")</f>
        <v/>
      </c>
      <c r="D1245" s="29" t="str">
        <f t="shared" ca="1" si="107"/>
        <v/>
      </c>
      <c r="E1245" s="29" t="str">
        <f t="shared" ca="1" si="108"/>
        <v/>
      </c>
      <c r="F1245" s="29" t="str">
        <f ca="1">IF(C1245&lt;&gt;"",IF(OR(VLOOKUP(C1245,$C$3:$L$6,5,0)=Variables!$B$5,B1245&gt;VLOOKUP(C1245,$C$3:$L$6,8,0)),-D1245*VLOOKUP(C1245,$C$3:$L$6,6,0)/12,0),"")</f>
        <v/>
      </c>
      <c r="G1245" s="29" t="str">
        <f ca="1">IF(I1245&lt;&gt;Variables!$B$1,IF(C1245&lt;&gt;"",$I$9-E1245-F1245,""),-D1245)</f>
        <v/>
      </c>
      <c r="H1245" s="29" t="str">
        <f t="shared" ref="H1245:H1308" ca="1" si="111">IF(C1245&lt;&gt;"",IF(D1245+G1245&lt;0,D1245+G1245,0),"")</f>
        <v/>
      </c>
      <c r="I1245" s="31" t="str">
        <f ca="1">IF(C1245&lt;&gt;"",IF(D1245+$I$9-E1245-F1245&gt;=0,IF(ISERROR(INDEX($C$3:$C$6,MATCH(C1245,$C$3:$C$6,0)+1,0)),Variables!$B$1,INDEX($C$3:$C$6,MATCH(C1245,$C$3:$C$6,0)+1,0)),""),"")</f>
        <v/>
      </c>
      <c r="J1245" s="29" t="str">
        <f ca="1">IF(ISERROR(VLOOKUP(I1245,$C$3:$L$6,5,0)),"",IF(OR(VLOOKUP(I1245,$C$3:$L$6,5,0)=Variables!$B$5,B1245&gt;VLOOKUP(I1245,$C$3:$L$6,8,0)),IF(VLOOKUP(I1245,$C$3:$L$6,5,0)=Variables!$B$5,((YEAR(B1245)-YEAR($B$12))*12+MONTH(B1245)-MONTH($B$12)),((YEAR(B1245)-YEAR(VLOOKUP(I1245,$C$3:$L$6,8,0)))*12+MONTH(B1245)-MONTH(VLOOKUP(I1245,$C$3:$L$6,8,0))))*(VLOOKUP(I1245,$C$3:$L$6,10,0)*VLOOKUP(I1245,$C$3:$L$6,6,0)/12),0))</f>
        <v/>
      </c>
      <c r="K1245" s="29" t="str">
        <f ca="1">IF(C1245&lt;&gt;"",IF(I1245&lt;&gt;"",IF(ISERROR(VLOOKUP(I1245,$C$3:$L$6,10,0)),"",VLOOKUP(I1245,$C$3:$L$6,10,0)+J1245+IF(OR(VLOOKUP(I1245,$C$3:$L$6,5,0)=Variables!$B$5,B1245&gt;VLOOKUP(I1245,$C$3:$L$6,8,0)),IF(VLOOKUP(I1245,$C$3:$L$6,5,0)=Variables!$B$5,((YEAR(B1245)-YEAR($B$12))*12+MONTH(B1245)-MONTH($B$12)),((YEAR(B1245)-YEAR(VLOOKUP(I1245,$C$3:$L$6,8,0)))*12+MONTH(B1245)-MONTH(VLOOKUP(I1245,$C$3:$L$6,8,0))))*VLOOKUP(I1245,$C$3:$L$6,7,0),0)),""),"")</f>
        <v/>
      </c>
      <c r="L1245" s="29" t="str">
        <f t="shared" ca="1" si="109"/>
        <v/>
      </c>
    </row>
    <row r="1246" spans="2:12" x14ac:dyDescent="0.25">
      <c r="B1246" s="14" t="str">
        <f t="shared" ca="1" si="110"/>
        <v/>
      </c>
      <c r="C1246" s="14" t="str">
        <f ca="1">IF(I1245&lt;&gt;Variables!$B$1,IF(H1245&lt;&gt;0,C1245,I1245),"")</f>
        <v/>
      </c>
      <c r="D1246" s="29" t="str">
        <f t="shared" ca="1" si="107"/>
        <v/>
      </c>
      <c r="E1246" s="29" t="str">
        <f t="shared" ca="1" si="108"/>
        <v/>
      </c>
      <c r="F1246" s="29" t="str">
        <f ca="1">IF(C1246&lt;&gt;"",IF(OR(VLOOKUP(C1246,$C$3:$L$6,5,0)=Variables!$B$5,B1246&gt;VLOOKUP(C1246,$C$3:$L$6,8,0)),-D1246*VLOOKUP(C1246,$C$3:$L$6,6,0)/12,0),"")</f>
        <v/>
      </c>
      <c r="G1246" s="29" t="str">
        <f ca="1">IF(I1246&lt;&gt;Variables!$B$1,IF(C1246&lt;&gt;"",$I$9-E1246-F1246,""),-D1246)</f>
        <v/>
      </c>
      <c r="H1246" s="29" t="str">
        <f t="shared" ca="1" si="111"/>
        <v/>
      </c>
      <c r="I1246" s="31" t="str">
        <f ca="1">IF(C1246&lt;&gt;"",IF(D1246+$I$9-E1246-F1246&gt;=0,IF(ISERROR(INDEX($C$3:$C$6,MATCH(C1246,$C$3:$C$6,0)+1,0)),Variables!$B$1,INDEX($C$3:$C$6,MATCH(C1246,$C$3:$C$6,0)+1,0)),""),"")</f>
        <v/>
      </c>
      <c r="J1246" s="29" t="str">
        <f ca="1">IF(ISERROR(VLOOKUP(I1246,$C$3:$L$6,5,0)),"",IF(OR(VLOOKUP(I1246,$C$3:$L$6,5,0)=Variables!$B$5,B1246&gt;VLOOKUP(I1246,$C$3:$L$6,8,0)),IF(VLOOKUP(I1246,$C$3:$L$6,5,0)=Variables!$B$5,((YEAR(B1246)-YEAR($B$12))*12+MONTH(B1246)-MONTH($B$12)),((YEAR(B1246)-YEAR(VLOOKUP(I1246,$C$3:$L$6,8,0)))*12+MONTH(B1246)-MONTH(VLOOKUP(I1246,$C$3:$L$6,8,0))))*(VLOOKUP(I1246,$C$3:$L$6,10,0)*VLOOKUP(I1246,$C$3:$L$6,6,0)/12),0))</f>
        <v/>
      </c>
      <c r="K1246" s="29" t="str">
        <f ca="1">IF(C1246&lt;&gt;"",IF(I1246&lt;&gt;"",IF(ISERROR(VLOOKUP(I1246,$C$3:$L$6,10,0)),"",VLOOKUP(I1246,$C$3:$L$6,10,0)+J1246+IF(OR(VLOOKUP(I1246,$C$3:$L$6,5,0)=Variables!$B$5,B1246&gt;VLOOKUP(I1246,$C$3:$L$6,8,0)),IF(VLOOKUP(I1246,$C$3:$L$6,5,0)=Variables!$B$5,((YEAR(B1246)-YEAR($B$12))*12+MONTH(B1246)-MONTH($B$12)),((YEAR(B1246)-YEAR(VLOOKUP(I1246,$C$3:$L$6,8,0)))*12+MONTH(B1246)-MONTH(VLOOKUP(I1246,$C$3:$L$6,8,0))))*VLOOKUP(I1246,$C$3:$L$6,7,0),0)),""),"")</f>
        <v/>
      </c>
      <c r="L1246" s="29" t="str">
        <f t="shared" ca="1" si="109"/>
        <v/>
      </c>
    </row>
    <row r="1247" spans="2:12" x14ac:dyDescent="0.25">
      <c r="B1247" s="14" t="str">
        <f t="shared" ca="1" si="110"/>
        <v/>
      </c>
      <c r="C1247" s="14" t="str">
        <f ca="1">IF(I1246&lt;&gt;Variables!$B$1,IF(H1246&lt;&gt;0,C1246,I1246),"")</f>
        <v/>
      </c>
      <c r="D1247" s="29" t="str">
        <f t="shared" ca="1" si="107"/>
        <v/>
      </c>
      <c r="E1247" s="29" t="str">
        <f t="shared" ca="1" si="108"/>
        <v/>
      </c>
      <c r="F1247" s="29" t="str">
        <f ca="1">IF(C1247&lt;&gt;"",IF(OR(VLOOKUP(C1247,$C$3:$L$6,5,0)=Variables!$B$5,B1247&gt;VLOOKUP(C1247,$C$3:$L$6,8,0)),-D1247*VLOOKUP(C1247,$C$3:$L$6,6,0)/12,0),"")</f>
        <v/>
      </c>
      <c r="G1247" s="29" t="str">
        <f ca="1">IF(I1247&lt;&gt;Variables!$B$1,IF(C1247&lt;&gt;"",$I$9-E1247-F1247,""),-D1247)</f>
        <v/>
      </c>
      <c r="H1247" s="29" t="str">
        <f t="shared" ca="1" si="111"/>
        <v/>
      </c>
      <c r="I1247" s="31" t="str">
        <f ca="1">IF(C1247&lt;&gt;"",IF(D1247+$I$9-E1247-F1247&gt;=0,IF(ISERROR(INDEX($C$3:$C$6,MATCH(C1247,$C$3:$C$6,0)+1,0)),Variables!$B$1,INDEX($C$3:$C$6,MATCH(C1247,$C$3:$C$6,0)+1,0)),""),"")</f>
        <v/>
      </c>
      <c r="J1247" s="29" t="str">
        <f ca="1">IF(ISERROR(VLOOKUP(I1247,$C$3:$L$6,5,0)),"",IF(OR(VLOOKUP(I1247,$C$3:$L$6,5,0)=Variables!$B$5,B1247&gt;VLOOKUP(I1247,$C$3:$L$6,8,0)),IF(VLOOKUP(I1247,$C$3:$L$6,5,0)=Variables!$B$5,((YEAR(B1247)-YEAR($B$12))*12+MONTH(B1247)-MONTH($B$12)),((YEAR(B1247)-YEAR(VLOOKUP(I1247,$C$3:$L$6,8,0)))*12+MONTH(B1247)-MONTH(VLOOKUP(I1247,$C$3:$L$6,8,0))))*(VLOOKUP(I1247,$C$3:$L$6,10,0)*VLOOKUP(I1247,$C$3:$L$6,6,0)/12),0))</f>
        <v/>
      </c>
      <c r="K1247" s="29" t="str">
        <f ca="1">IF(C1247&lt;&gt;"",IF(I1247&lt;&gt;"",IF(ISERROR(VLOOKUP(I1247,$C$3:$L$6,10,0)),"",VLOOKUP(I1247,$C$3:$L$6,10,0)+J1247+IF(OR(VLOOKUP(I1247,$C$3:$L$6,5,0)=Variables!$B$5,B1247&gt;VLOOKUP(I1247,$C$3:$L$6,8,0)),IF(VLOOKUP(I1247,$C$3:$L$6,5,0)=Variables!$B$5,((YEAR(B1247)-YEAR($B$12))*12+MONTH(B1247)-MONTH($B$12)),((YEAR(B1247)-YEAR(VLOOKUP(I1247,$C$3:$L$6,8,0)))*12+MONTH(B1247)-MONTH(VLOOKUP(I1247,$C$3:$L$6,8,0))))*VLOOKUP(I1247,$C$3:$L$6,7,0),0)),""),"")</f>
        <v/>
      </c>
      <c r="L1247" s="29" t="str">
        <f t="shared" ca="1" si="109"/>
        <v/>
      </c>
    </row>
    <row r="1248" spans="2:12" x14ac:dyDescent="0.25">
      <c r="B1248" s="14" t="str">
        <f t="shared" ca="1" si="110"/>
        <v/>
      </c>
      <c r="C1248" s="14" t="str">
        <f ca="1">IF(I1247&lt;&gt;Variables!$B$1,IF(H1247&lt;&gt;0,C1247,I1247),"")</f>
        <v/>
      </c>
      <c r="D1248" s="29" t="str">
        <f t="shared" ca="1" si="107"/>
        <v/>
      </c>
      <c r="E1248" s="29" t="str">
        <f t="shared" ca="1" si="108"/>
        <v/>
      </c>
      <c r="F1248" s="29" t="str">
        <f ca="1">IF(C1248&lt;&gt;"",IF(OR(VLOOKUP(C1248,$C$3:$L$6,5,0)=Variables!$B$5,B1248&gt;VLOOKUP(C1248,$C$3:$L$6,8,0)),-D1248*VLOOKUP(C1248,$C$3:$L$6,6,0)/12,0),"")</f>
        <v/>
      </c>
      <c r="G1248" s="29" t="str">
        <f ca="1">IF(I1248&lt;&gt;Variables!$B$1,IF(C1248&lt;&gt;"",$I$9-E1248-F1248,""),-D1248)</f>
        <v/>
      </c>
      <c r="H1248" s="29" t="str">
        <f t="shared" ca="1" si="111"/>
        <v/>
      </c>
      <c r="I1248" s="31" t="str">
        <f ca="1">IF(C1248&lt;&gt;"",IF(D1248+$I$9-E1248-F1248&gt;=0,IF(ISERROR(INDEX($C$3:$C$6,MATCH(C1248,$C$3:$C$6,0)+1,0)),Variables!$B$1,INDEX($C$3:$C$6,MATCH(C1248,$C$3:$C$6,0)+1,0)),""),"")</f>
        <v/>
      </c>
      <c r="J1248" s="29" t="str">
        <f ca="1">IF(ISERROR(VLOOKUP(I1248,$C$3:$L$6,5,0)),"",IF(OR(VLOOKUP(I1248,$C$3:$L$6,5,0)=Variables!$B$5,B1248&gt;VLOOKUP(I1248,$C$3:$L$6,8,0)),IF(VLOOKUP(I1248,$C$3:$L$6,5,0)=Variables!$B$5,((YEAR(B1248)-YEAR($B$12))*12+MONTH(B1248)-MONTH($B$12)),((YEAR(B1248)-YEAR(VLOOKUP(I1248,$C$3:$L$6,8,0)))*12+MONTH(B1248)-MONTH(VLOOKUP(I1248,$C$3:$L$6,8,0))))*(VLOOKUP(I1248,$C$3:$L$6,10,0)*VLOOKUP(I1248,$C$3:$L$6,6,0)/12),0))</f>
        <v/>
      </c>
      <c r="K1248" s="29" t="str">
        <f ca="1">IF(C1248&lt;&gt;"",IF(I1248&lt;&gt;"",IF(ISERROR(VLOOKUP(I1248,$C$3:$L$6,10,0)),"",VLOOKUP(I1248,$C$3:$L$6,10,0)+J1248+IF(OR(VLOOKUP(I1248,$C$3:$L$6,5,0)=Variables!$B$5,B1248&gt;VLOOKUP(I1248,$C$3:$L$6,8,0)),IF(VLOOKUP(I1248,$C$3:$L$6,5,0)=Variables!$B$5,((YEAR(B1248)-YEAR($B$12))*12+MONTH(B1248)-MONTH($B$12)),((YEAR(B1248)-YEAR(VLOOKUP(I1248,$C$3:$L$6,8,0)))*12+MONTH(B1248)-MONTH(VLOOKUP(I1248,$C$3:$L$6,8,0))))*VLOOKUP(I1248,$C$3:$L$6,7,0),0)),""),"")</f>
        <v/>
      </c>
      <c r="L1248" s="29" t="str">
        <f t="shared" ca="1" si="109"/>
        <v/>
      </c>
    </row>
    <row r="1249" spans="2:12" x14ac:dyDescent="0.25">
      <c r="B1249" s="14" t="str">
        <f t="shared" ca="1" si="110"/>
        <v/>
      </c>
      <c r="C1249" s="14" t="str">
        <f ca="1">IF(I1248&lt;&gt;Variables!$B$1,IF(H1248&lt;&gt;0,C1248,I1248),"")</f>
        <v/>
      </c>
      <c r="D1249" s="29" t="str">
        <f t="shared" ca="1" si="107"/>
        <v/>
      </c>
      <c r="E1249" s="29" t="str">
        <f t="shared" ca="1" si="108"/>
        <v/>
      </c>
      <c r="F1249" s="29" t="str">
        <f ca="1">IF(C1249&lt;&gt;"",IF(OR(VLOOKUP(C1249,$C$3:$L$6,5,0)=Variables!$B$5,B1249&gt;VLOOKUP(C1249,$C$3:$L$6,8,0)),-D1249*VLOOKUP(C1249,$C$3:$L$6,6,0)/12,0),"")</f>
        <v/>
      </c>
      <c r="G1249" s="29" t="str">
        <f ca="1">IF(I1249&lt;&gt;Variables!$B$1,IF(C1249&lt;&gt;"",$I$9-E1249-F1249,""),-D1249)</f>
        <v/>
      </c>
      <c r="H1249" s="29" t="str">
        <f t="shared" ca="1" si="111"/>
        <v/>
      </c>
      <c r="I1249" s="31" t="str">
        <f ca="1">IF(C1249&lt;&gt;"",IF(D1249+$I$9-E1249-F1249&gt;=0,IF(ISERROR(INDEX($C$3:$C$6,MATCH(C1249,$C$3:$C$6,0)+1,0)),Variables!$B$1,INDEX($C$3:$C$6,MATCH(C1249,$C$3:$C$6,0)+1,0)),""),"")</f>
        <v/>
      </c>
      <c r="J1249" s="29" t="str">
        <f ca="1">IF(ISERROR(VLOOKUP(I1249,$C$3:$L$6,5,0)),"",IF(OR(VLOOKUP(I1249,$C$3:$L$6,5,0)=Variables!$B$5,B1249&gt;VLOOKUP(I1249,$C$3:$L$6,8,0)),IF(VLOOKUP(I1249,$C$3:$L$6,5,0)=Variables!$B$5,((YEAR(B1249)-YEAR($B$12))*12+MONTH(B1249)-MONTH($B$12)),((YEAR(B1249)-YEAR(VLOOKUP(I1249,$C$3:$L$6,8,0)))*12+MONTH(B1249)-MONTH(VLOOKUP(I1249,$C$3:$L$6,8,0))))*(VLOOKUP(I1249,$C$3:$L$6,10,0)*VLOOKUP(I1249,$C$3:$L$6,6,0)/12),0))</f>
        <v/>
      </c>
      <c r="K1249" s="29" t="str">
        <f ca="1">IF(C1249&lt;&gt;"",IF(I1249&lt;&gt;"",IF(ISERROR(VLOOKUP(I1249,$C$3:$L$6,10,0)),"",VLOOKUP(I1249,$C$3:$L$6,10,0)+J1249+IF(OR(VLOOKUP(I1249,$C$3:$L$6,5,0)=Variables!$B$5,B1249&gt;VLOOKUP(I1249,$C$3:$L$6,8,0)),IF(VLOOKUP(I1249,$C$3:$L$6,5,0)=Variables!$B$5,((YEAR(B1249)-YEAR($B$12))*12+MONTH(B1249)-MONTH($B$12)),((YEAR(B1249)-YEAR(VLOOKUP(I1249,$C$3:$L$6,8,0)))*12+MONTH(B1249)-MONTH(VLOOKUP(I1249,$C$3:$L$6,8,0))))*VLOOKUP(I1249,$C$3:$L$6,7,0),0)),""),"")</f>
        <v/>
      </c>
      <c r="L1249" s="29" t="str">
        <f t="shared" ca="1" si="109"/>
        <v/>
      </c>
    </row>
    <row r="1250" spans="2:12" x14ac:dyDescent="0.25">
      <c r="B1250" s="14" t="str">
        <f t="shared" ca="1" si="110"/>
        <v/>
      </c>
      <c r="C1250" s="14" t="str">
        <f ca="1">IF(I1249&lt;&gt;Variables!$B$1,IF(H1249&lt;&gt;0,C1249,I1249),"")</f>
        <v/>
      </c>
      <c r="D1250" s="29" t="str">
        <f t="shared" ca="1" si="107"/>
        <v/>
      </c>
      <c r="E1250" s="29" t="str">
        <f t="shared" ca="1" si="108"/>
        <v/>
      </c>
      <c r="F1250" s="29" t="str">
        <f ca="1">IF(C1250&lt;&gt;"",IF(OR(VLOOKUP(C1250,$C$3:$L$6,5,0)=Variables!$B$5,B1250&gt;VLOOKUP(C1250,$C$3:$L$6,8,0)),-D1250*VLOOKUP(C1250,$C$3:$L$6,6,0)/12,0),"")</f>
        <v/>
      </c>
      <c r="G1250" s="29" t="str">
        <f ca="1">IF(I1250&lt;&gt;Variables!$B$1,IF(C1250&lt;&gt;"",$I$9-E1250-F1250,""),-D1250)</f>
        <v/>
      </c>
      <c r="H1250" s="29" t="str">
        <f t="shared" ca="1" si="111"/>
        <v/>
      </c>
      <c r="I1250" s="31" t="str">
        <f ca="1">IF(C1250&lt;&gt;"",IF(D1250+$I$9-E1250-F1250&gt;=0,IF(ISERROR(INDEX($C$3:$C$6,MATCH(C1250,$C$3:$C$6,0)+1,0)),Variables!$B$1,INDEX($C$3:$C$6,MATCH(C1250,$C$3:$C$6,0)+1,0)),""),"")</f>
        <v/>
      </c>
      <c r="J1250" s="29" t="str">
        <f ca="1">IF(ISERROR(VLOOKUP(I1250,$C$3:$L$6,5,0)),"",IF(OR(VLOOKUP(I1250,$C$3:$L$6,5,0)=Variables!$B$5,B1250&gt;VLOOKUP(I1250,$C$3:$L$6,8,0)),IF(VLOOKUP(I1250,$C$3:$L$6,5,0)=Variables!$B$5,((YEAR(B1250)-YEAR($B$12))*12+MONTH(B1250)-MONTH($B$12)),((YEAR(B1250)-YEAR(VLOOKUP(I1250,$C$3:$L$6,8,0)))*12+MONTH(B1250)-MONTH(VLOOKUP(I1250,$C$3:$L$6,8,0))))*(VLOOKUP(I1250,$C$3:$L$6,10,0)*VLOOKUP(I1250,$C$3:$L$6,6,0)/12),0))</f>
        <v/>
      </c>
      <c r="K1250" s="29" t="str">
        <f ca="1">IF(C1250&lt;&gt;"",IF(I1250&lt;&gt;"",IF(ISERROR(VLOOKUP(I1250,$C$3:$L$6,10,0)),"",VLOOKUP(I1250,$C$3:$L$6,10,0)+J1250+IF(OR(VLOOKUP(I1250,$C$3:$L$6,5,0)=Variables!$B$5,B1250&gt;VLOOKUP(I1250,$C$3:$L$6,8,0)),IF(VLOOKUP(I1250,$C$3:$L$6,5,0)=Variables!$B$5,((YEAR(B1250)-YEAR($B$12))*12+MONTH(B1250)-MONTH($B$12)),((YEAR(B1250)-YEAR(VLOOKUP(I1250,$C$3:$L$6,8,0)))*12+MONTH(B1250)-MONTH(VLOOKUP(I1250,$C$3:$L$6,8,0))))*VLOOKUP(I1250,$C$3:$L$6,7,0),0)),""),"")</f>
        <v/>
      </c>
      <c r="L1250" s="29" t="str">
        <f t="shared" ca="1" si="109"/>
        <v/>
      </c>
    </row>
    <row r="1251" spans="2:12" x14ac:dyDescent="0.25">
      <c r="B1251" s="14" t="str">
        <f t="shared" ca="1" si="110"/>
        <v/>
      </c>
      <c r="C1251" s="14" t="str">
        <f ca="1">IF(I1250&lt;&gt;Variables!$B$1,IF(H1250&lt;&gt;0,C1250,I1250),"")</f>
        <v/>
      </c>
      <c r="D1251" s="29" t="str">
        <f t="shared" ca="1" si="107"/>
        <v/>
      </c>
      <c r="E1251" s="29" t="str">
        <f t="shared" ca="1" si="108"/>
        <v/>
      </c>
      <c r="F1251" s="29" t="str">
        <f ca="1">IF(C1251&lt;&gt;"",IF(OR(VLOOKUP(C1251,$C$3:$L$6,5,0)=Variables!$B$5,B1251&gt;VLOOKUP(C1251,$C$3:$L$6,8,0)),-D1251*VLOOKUP(C1251,$C$3:$L$6,6,0)/12,0),"")</f>
        <v/>
      </c>
      <c r="G1251" s="29" t="str">
        <f ca="1">IF(I1251&lt;&gt;Variables!$B$1,IF(C1251&lt;&gt;"",$I$9-E1251-F1251,""),-D1251)</f>
        <v/>
      </c>
      <c r="H1251" s="29" t="str">
        <f t="shared" ca="1" si="111"/>
        <v/>
      </c>
      <c r="I1251" s="31" t="str">
        <f ca="1">IF(C1251&lt;&gt;"",IF(D1251+$I$9-E1251-F1251&gt;=0,IF(ISERROR(INDEX($C$3:$C$6,MATCH(C1251,$C$3:$C$6,0)+1,0)),Variables!$B$1,INDEX($C$3:$C$6,MATCH(C1251,$C$3:$C$6,0)+1,0)),""),"")</f>
        <v/>
      </c>
      <c r="J1251" s="29" t="str">
        <f ca="1">IF(ISERROR(VLOOKUP(I1251,$C$3:$L$6,5,0)),"",IF(OR(VLOOKUP(I1251,$C$3:$L$6,5,0)=Variables!$B$5,B1251&gt;VLOOKUP(I1251,$C$3:$L$6,8,0)),IF(VLOOKUP(I1251,$C$3:$L$6,5,0)=Variables!$B$5,((YEAR(B1251)-YEAR($B$12))*12+MONTH(B1251)-MONTH($B$12)),((YEAR(B1251)-YEAR(VLOOKUP(I1251,$C$3:$L$6,8,0)))*12+MONTH(B1251)-MONTH(VLOOKUP(I1251,$C$3:$L$6,8,0))))*(VLOOKUP(I1251,$C$3:$L$6,10,0)*VLOOKUP(I1251,$C$3:$L$6,6,0)/12),0))</f>
        <v/>
      </c>
      <c r="K1251" s="29" t="str">
        <f ca="1">IF(C1251&lt;&gt;"",IF(I1251&lt;&gt;"",IF(ISERROR(VLOOKUP(I1251,$C$3:$L$6,10,0)),"",VLOOKUP(I1251,$C$3:$L$6,10,0)+J1251+IF(OR(VLOOKUP(I1251,$C$3:$L$6,5,0)=Variables!$B$5,B1251&gt;VLOOKUP(I1251,$C$3:$L$6,8,0)),IF(VLOOKUP(I1251,$C$3:$L$6,5,0)=Variables!$B$5,((YEAR(B1251)-YEAR($B$12))*12+MONTH(B1251)-MONTH($B$12)),((YEAR(B1251)-YEAR(VLOOKUP(I1251,$C$3:$L$6,8,0)))*12+MONTH(B1251)-MONTH(VLOOKUP(I1251,$C$3:$L$6,8,0))))*VLOOKUP(I1251,$C$3:$L$6,7,0),0)),""),"")</f>
        <v/>
      </c>
      <c r="L1251" s="29" t="str">
        <f t="shared" ca="1" si="109"/>
        <v/>
      </c>
    </row>
    <row r="1252" spans="2:12" x14ac:dyDescent="0.25">
      <c r="B1252" s="14" t="str">
        <f t="shared" ca="1" si="110"/>
        <v/>
      </c>
      <c r="C1252" s="14" t="str">
        <f ca="1">IF(I1251&lt;&gt;Variables!$B$1,IF(H1251&lt;&gt;0,C1251,I1251),"")</f>
        <v/>
      </c>
      <c r="D1252" s="29" t="str">
        <f t="shared" ca="1" si="107"/>
        <v/>
      </c>
      <c r="E1252" s="29" t="str">
        <f t="shared" ca="1" si="108"/>
        <v/>
      </c>
      <c r="F1252" s="29" t="str">
        <f ca="1">IF(C1252&lt;&gt;"",IF(OR(VLOOKUP(C1252,$C$3:$L$6,5,0)=Variables!$B$5,B1252&gt;VLOOKUP(C1252,$C$3:$L$6,8,0)),-D1252*VLOOKUP(C1252,$C$3:$L$6,6,0)/12,0),"")</f>
        <v/>
      </c>
      <c r="G1252" s="29" t="str">
        <f ca="1">IF(I1252&lt;&gt;Variables!$B$1,IF(C1252&lt;&gt;"",$I$9-E1252-F1252,""),-D1252)</f>
        <v/>
      </c>
      <c r="H1252" s="29" t="str">
        <f t="shared" ca="1" si="111"/>
        <v/>
      </c>
      <c r="I1252" s="31" t="str">
        <f ca="1">IF(C1252&lt;&gt;"",IF(D1252+$I$9-E1252-F1252&gt;=0,IF(ISERROR(INDEX($C$3:$C$6,MATCH(C1252,$C$3:$C$6,0)+1,0)),Variables!$B$1,INDEX($C$3:$C$6,MATCH(C1252,$C$3:$C$6,0)+1,0)),""),"")</f>
        <v/>
      </c>
      <c r="J1252" s="29" t="str">
        <f ca="1">IF(ISERROR(VLOOKUP(I1252,$C$3:$L$6,5,0)),"",IF(OR(VLOOKUP(I1252,$C$3:$L$6,5,0)=Variables!$B$5,B1252&gt;VLOOKUP(I1252,$C$3:$L$6,8,0)),IF(VLOOKUP(I1252,$C$3:$L$6,5,0)=Variables!$B$5,((YEAR(B1252)-YEAR($B$12))*12+MONTH(B1252)-MONTH($B$12)),((YEAR(B1252)-YEAR(VLOOKUP(I1252,$C$3:$L$6,8,0)))*12+MONTH(B1252)-MONTH(VLOOKUP(I1252,$C$3:$L$6,8,0))))*(VLOOKUP(I1252,$C$3:$L$6,10,0)*VLOOKUP(I1252,$C$3:$L$6,6,0)/12),0))</f>
        <v/>
      </c>
      <c r="K1252" s="29" t="str">
        <f ca="1">IF(C1252&lt;&gt;"",IF(I1252&lt;&gt;"",IF(ISERROR(VLOOKUP(I1252,$C$3:$L$6,10,0)),"",VLOOKUP(I1252,$C$3:$L$6,10,0)+J1252+IF(OR(VLOOKUP(I1252,$C$3:$L$6,5,0)=Variables!$B$5,B1252&gt;VLOOKUP(I1252,$C$3:$L$6,8,0)),IF(VLOOKUP(I1252,$C$3:$L$6,5,0)=Variables!$B$5,((YEAR(B1252)-YEAR($B$12))*12+MONTH(B1252)-MONTH($B$12)),((YEAR(B1252)-YEAR(VLOOKUP(I1252,$C$3:$L$6,8,0)))*12+MONTH(B1252)-MONTH(VLOOKUP(I1252,$C$3:$L$6,8,0))))*VLOOKUP(I1252,$C$3:$L$6,7,0),0)),""),"")</f>
        <v/>
      </c>
      <c r="L1252" s="29" t="str">
        <f t="shared" ca="1" si="109"/>
        <v/>
      </c>
    </row>
    <row r="1253" spans="2:12" x14ac:dyDescent="0.25">
      <c r="B1253" s="14" t="str">
        <f t="shared" ca="1" si="110"/>
        <v/>
      </c>
      <c r="C1253" s="14" t="str">
        <f ca="1">IF(I1252&lt;&gt;Variables!$B$1,IF(H1252&lt;&gt;0,C1252,I1252),"")</f>
        <v/>
      </c>
      <c r="D1253" s="29" t="str">
        <f t="shared" ca="1" si="107"/>
        <v/>
      </c>
      <c r="E1253" s="29" t="str">
        <f t="shared" ca="1" si="108"/>
        <v/>
      </c>
      <c r="F1253" s="29" t="str">
        <f ca="1">IF(C1253&lt;&gt;"",IF(OR(VLOOKUP(C1253,$C$3:$L$6,5,0)=Variables!$B$5,B1253&gt;VLOOKUP(C1253,$C$3:$L$6,8,0)),-D1253*VLOOKUP(C1253,$C$3:$L$6,6,0)/12,0),"")</f>
        <v/>
      </c>
      <c r="G1253" s="29" t="str">
        <f ca="1">IF(I1253&lt;&gt;Variables!$B$1,IF(C1253&lt;&gt;"",$I$9-E1253-F1253,""),-D1253)</f>
        <v/>
      </c>
      <c r="H1253" s="29" t="str">
        <f t="shared" ca="1" si="111"/>
        <v/>
      </c>
      <c r="I1253" s="31" t="str">
        <f ca="1">IF(C1253&lt;&gt;"",IF(D1253+$I$9-E1253-F1253&gt;=0,IF(ISERROR(INDEX($C$3:$C$6,MATCH(C1253,$C$3:$C$6,0)+1,0)),Variables!$B$1,INDEX($C$3:$C$6,MATCH(C1253,$C$3:$C$6,0)+1,0)),""),"")</f>
        <v/>
      </c>
      <c r="J1253" s="29" t="str">
        <f ca="1">IF(ISERROR(VLOOKUP(I1253,$C$3:$L$6,5,0)),"",IF(OR(VLOOKUP(I1253,$C$3:$L$6,5,0)=Variables!$B$5,B1253&gt;VLOOKUP(I1253,$C$3:$L$6,8,0)),IF(VLOOKUP(I1253,$C$3:$L$6,5,0)=Variables!$B$5,((YEAR(B1253)-YEAR($B$12))*12+MONTH(B1253)-MONTH($B$12)),((YEAR(B1253)-YEAR(VLOOKUP(I1253,$C$3:$L$6,8,0)))*12+MONTH(B1253)-MONTH(VLOOKUP(I1253,$C$3:$L$6,8,0))))*(VLOOKUP(I1253,$C$3:$L$6,10,0)*VLOOKUP(I1253,$C$3:$L$6,6,0)/12),0))</f>
        <v/>
      </c>
      <c r="K1253" s="29" t="str">
        <f ca="1">IF(C1253&lt;&gt;"",IF(I1253&lt;&gt;"",IF(ISERROR(VLOOKUP(I1253,$C$3:$L$6,10,0)),"",VLOOKUP(I1253,$C$3:$L$6,10,0)+J1253+IF(OR(VLOOKUP(I1253,$C$3:$L$6,5,0)=Variables!$B$5,B1253&gt;VLOOKUP(I1253,$C$3:$L$6,8,0)),IF(VLOOKUP(I1253,$C$3:$L$6,5,0)=Variables!$B$5,((YEAR(B1253)-YEAR($B$12))*12+MONTH(B1253)-MONTH($B$12)),((YEAR(B1253)-YEAR(VLOOKUP(I1253,$C$3:$L$6,8,0)))*12+MONTH(B1253)-MONTH(VLOOKUP(I1253,$C$3:$L$6,8,0))))*VLOOKUP(I1253,$C$3:$L$6,7,0),0)),""),"")</f>
        <v/>
      </c>
      <c r="L1253" s="29" t="str">
        <f t="shared" ca="1" si="109"/>
        <v/>
      </c>
    </row>
    <row r="1254" spans="2:12" x14ac:dyDescent="0.25">
      <c r="B1254" s="14" t="str">
        <f t="shared" ca="1" si="110"/>
        <v/>
      </c>
      <c r="C1254" s="14" t="str">
        <f ca="1">IF(I1253&lt;&gt;Variables!$B$1,IF(H1253&lt;&gt;0,C1253,I1253),"")</f>
        <v/>
      </c>
      <c r="D1254" s="29" t="str">
        <f t="shared" ca="1" si="107"/>
        <v/>
      </c>
      <c r="E1254" s="29" t="str">
        <f t="shared" ca="1" si="108"/>
        <v/>
      </c>
      <c r="F1254" s="29" t="str">
        <f ca="1">IF(C1254&lt;&gt;"",IF(OR(VLOOKUP(C1254,$C$3:$L$6,5,0)=Variables!$B$5,B1254&gt;VLOOKUP(C1254,$C$3:$L$6,8,0)),-D1254*VLOOKUP(C1254,$C$3:$L$6,6,0)/12,0),"")</f>
        <v/>
      </c>
      <c r="G1254" s="29" t="str">
        <f ca="1">IF(I1254&lt;&gt;Variables!$B$1,IF(C1254&lt;&gt;"",$I$9-E1254-F1254,""),-D1254)</f>
        <v/>
      </c>
      <c r="H1254" s="29" t="str">
        <f t="shared" ca="1" si="111"/>
        <v/>
      </c>
      <c r="I1254" s="31" t="str">
        <f ca="1">IF(C1254&lt;&gt;"",IF(D1254+$I$9-E1254-F1254&gt;=0,IF(ISERROR(INDEX($C$3:$C$6,MATCH(C1254,$C$3:$C$6,0)+1,0)),Variables!$B$1,INDEX($C$3:$C$6,MATCH(C1254,$C$3:$C$6,0)+1,0)),""),"")</f>
        <v/>
      </c>
      <c r="J1254" s="29" t="str">
        <f ca="1">IF(ISERROR(VLOOKUP(I1254,$C$3:$L$6,5,0)),"",IF(OR(VLOOKUP(I1254,$C$3:$L$6,5,0)=Variables!$B$5,B1254&gt;VLOOKUP(I1254,$C$3:$L$6,8,0)),IF(VLOOKUP(I1254,$C$3:$L$6,5,0)=Variables!$B$5,((YEAR(B1254)-YEAR($B$12))*12+MONTH(B1254)-MONTH($B$12)),((YEAR(B1254)-YEAR(VLOOKUP(I1254,$C$3:$L$6,8,0)))*12+MONTH(B1254)-MONTH(VLOOKUP(I1254,$C$3:$L$6,8,0))))*(VLOOKUP(I1254,$C$3:$L$6,10,0)*VLOOKUP(I1254,$C$3:$L$6,6,0)/12),0))</f>
        <v/>
      </c>
      <c r="K1254" s="29" t="str">
        <f ca="1">IF(C1254&lt;&gt;"",IF(I1254&lt;&gt;"",IF(ISERROR(VLOOKUP(I1254,$C$3:$L$6,10,0)),"",VLOOKUP(I1254,$C$3:$L$6,10,0)+J1254+IF(OR(VLOOKUP(I1254,$C$3:$L$6,5,0)=Variables!$B$5,B1254&gt;VLOOKUP(I1254,$C$3:$L$6,8,0)),IF(VLOOKUP(I1254,$C$3:$L$6,5,0)=Variables!$B$5,((YEAR(B1254)-YEAR($B$12))*12+MONTH(B1254)-MONTH($B$12)),((YEAR(B1254)-YEAR(VLOOKUP(I1254,$C$3:$L$6,8,0)))*12+MONTH(B1254)-MONTH(VLOOKUP(I1254,$C$3:$L$6,8,0))))*VLOOKUP(I1254,$C$3:$L$6,7,0),0)),""),"")</f>
        <v/>
      </c>
      <c r="L1254" s="29" t="str">
        <f t="shared" ca="1" si="109"/>
        <v/>
      </c>
    </row>
    <row r="1255" spans="2:12" x14ac:dyDescent="0.25">
      <c r="B1255" s="14" t="str">
        <f t="shared" ca="1" si="110"/>
        <v/>
      </c>
      <c r="C1255" s="14" t="str">
        <f ca="1">IF(I1254&lt;&gt;Variables!$B$1,IF(H1254&lt;&gt;0,C1254,I1254),"")</f>
        <v/>
      </c>
      <c r="D1255" s="29" t="str">
        <f t="shared" ca="1" si="107"/>
        <v/>
      </c>
      <c r="E1255" s="29" t="str">
        <f t="shared" ca="1" si="108"/>
        <v/>
      </c>
      <c r="F1255" s="29" t="str">
        <f ca="1">IF(C1255&lt;&gt;"",IF(OR(VLOOKUP(C1255,$C$3:$L$6,5,0)=Variables!$B$5,B1255&gt;VLOOKUP(C1255,$C$3:$L$6,8,0)),-D1255*VLOOKUP(C1255,$C$3:$L$6,6,0)/12,0),"")</f>
        <v/>
      </c>
      <c r="G1255" s="29" t="str">
        <f ca="1">IF(I1255&lt;&gt;Variables!$B$1,IF(C1255&lt;&gt;"",$I$9-E1255-F1255,""),-D1255)</f>
        <v/>
      </c>
      <c r="H1255" s="29" t="str">
        <f t="shared" ca="1" si="111"/>
        <v/>
      </c>
      <c r="I1255" s="31" t="str">
        <f ca="1">IF(C1255&lt;&gt;"",IF(D1255+$I$9-E1255-F1255&gt;=0,IF(ISERROR(INDEX($C$3:$C$6,MATCH(C1255,$C$3:$C$6,0)+1,0)),Variables!$B$1,INDEX($C$3:$C$6,MATCH(C1255,$C$3:$C$6,0)+1,0)),""),"")</f>
        <v/>
      </c>
      <c r="J1255" s="29" t="str">
        <f ca="1">IF(ISERROR(VLOOKUP(I1255,$C$3:$L$6,5,0)),"",IF(OR(VLOOKUP(I1255,$C$3:$L$6,5,0)=Variables!$B$5,B1255&gt;VLOOKUP(I1255,$C$3:$L$6,8,0)),IF(VLOOKUP(I1255,$C$3:$L$6,5,0)=Variables!$B$5,((YEAR(B1255)-YEAR($B$12))*12+MONTH(B1255)-MONTH($B$12)),((YEAR(B1255)-YEAR(VLOOKUP(I1255,$C$3:$L$6,8,0)))*12+MONTH(B1255)-MONTH(VLOOKUP(I1255,$C$3:$L$6,8,0))))*(VLOOKUP(I1255,$C$3:$L$6,10,0)*VLOOKUP(I1255,$C$3:$L$6,6,0)/12),0))</f>
        <v/>
      </c>
      <c r="K1255" s="29" t="str">
        <f ca="1">IF(C1255&lt;&gt;"",IF(I1255&lt;&gt;"",IF(ISERROR(VLOOKUP(I1255,$C$3:$L$6,10,0)),"",VLOOKUP(I1255,$C$3:$L$6,10,0)+J1255+IF(OR(VLOOKUP(I1255,$C$3:$L$6,5,0)=Variables!$B$5,B1255&gt;VLOOKUP(I1255,$C$3:$L$6,8,0)),IF(VLOOKUP(I1255,$C$3:$L$6,5,0)=Variables!$B$5,((YEAR(B1255)-YEAR($B$12))*12+MONTH(B1255)-MONTH($B$12)),((YEAR(B1255)-YEAR(VLOOKUP(I1255,$C$3:$L$6,8,0)))*12+MONTH(B1255)-MONTH(VLOOKUP(I1255,$C$3:$L$6,8,0))))*VLOOKUP(I1255,$C$3:$L$6,7,0),0)),""),"")</f>
        <v/>
      </c>
      <c r="L1255" s="29" t="str">
        <f t="shared" ca="1" si="109"/>
        <v/>
      </c>
    </row>
    <row r="1256" spans="2:12" x14ac:dyDescent="0.25">
      <c r="B1256" s="14" t="str">
        <f t="shared" ca="1" si="110"/>
        <v/>
      </c>
      <c r="C1256" s="14" t="str">
        <f ca="1">IF(I1255&lt;&gt;Variables!$B$1,IF(H1255&lt;&gt;0,C1255,I1255),"")</f>
        <v/>
      </c>
      <c r="D1256" s="29" t="str">
        <f t="shared" ca="1" si="107"/>
        <v/>
      </c>
      <c r="E1256" s="29" t="str">
        <f t="shared" ca="1" si="108"/>
        <v/>
      </c>
      <c r="F1256" s="29" t="str">
        <f ca="1">IF(C1256&lt;&gt;"",IF(OR(VLOOKUP(C1256,$C$3:$L$6,5,0)=Variables!$B$5,B1256&gt;VLOOKUP(C1256,$C$3:$L$6,8,0)),-D1256*VLOOKUP(C1256,$C$3:$L$6,6,0)/12,0),"")</f>
        <v/>
      </c>
      <c r="G1256" s="29" t="str">
        <f ca="1">IF(I1256&lt;&gt;Variables!$B$1,IF(C1256&lt;&gt;"",$I$9-E1256-F1256,""),-D1256)</f>
        <v/>
      </c>
      <c r="H1256" s="29" t="str">
        <f t="shared" ca="1" si="111"/>
        <v/>
      </c>
      <c r="I1256" s="31" t="str">
        <f ca="1">IF(C1256&lt;&gt;"",IF(D1256+$I$9-E1256-F1256&gt;=0,IF(ISERROR(INDEX($C$3:$C$6,MATCH(C1256,$C$3:$C$6,0)+1,0)),Variables!$B$1,INDEX($C$3:$C$6,MATCH(C1256,$C$3:$C$6,0)+1,0)),""),"")</f>
        <v/>
      </c>
      <c r="J1256" s="29" t="str">
        <f ca="1">IF(ISERROR(VLOOKUP(I1256,$C$3:$L$6,5,0)),"",IF(OR(VLOOKUP(I1256,$C$3:$L$6,5,0)=Variables!$B$5,B1256&gt;VLOOKUP(I1256,$C$3:$L$6,8,0)),IF(VLOOKUP(I1256,$C$3:$L$6,5,0)=Variables!$B$5,((YEAR(B1256)-YEAR($B$12))*12+MONTH(B1256)-MONTH($B$12)),((YEAR(B1256)-YEAR(VLOOKUP(I1256,$C$3:$L$6,8,0)))*12+MONTH(B1256)-MONTH(VLOOKUP(I1256,$C$3:$L$6,8,0))))*(VLOOKUP(I1256,$C$3:$L$6,10,0)*VLOOKUP(I1256,$C$3:$L$6,6,0)/12),0))</f>
        <v/>
      </c>
      <c r="K1256" s="29" t="str">
        <f ca="1">IF(C1256&lt;&gt;"",IF(I1256&lt;&gt;"",IF(ISERROR(VLOOKUP(I1256,$C$3:$L$6,10,0)),"",VLOOKUP(I1256,$C$3:$L$6,10,0)+J1256+IF(OR(VLOOKUP(I1256,$C$3:$L$6,5,0)=Variables!$B$5,B1256&gt;VLOOKUP(I1256,$C$3:$L$6,8,0)),IF(VLOOKUP(I1256,$C$3:$L$6,5,0)=Variables!$B$5,((YEAR(B1256)-YEAR($B$12))*12+MONTH(B1256)-MONTH($B$12)),((YEAR(B1256)-YEAR(VLOOKUP(I1256,$C$3:$L$6,8,0)))*12+MONTH(B1256)-MONTH(VLOOKUP(I1256,$C$3:$L$6,8,0))))*VLOOKUP(I1256,$C$3:$L$6,7,0),0)),""),"")</f>
        <v/>
      </c>
      <c r="L1256" s="29" t="str">
        <f t="shared" ca="1" si="109"/>
        <v/>
      </c>
    </row>
    <row r="1257" spans="2:12" x14ac:dyDescent="0.25">
      <c r="B1257" s="14" t="str">
        <f t="shared" ca="1" si="110"/>
        <v/>
      </c>
      <c r="C1257" s="14" t="str">
        <f ca="1">IF(I1256&lt;&gt;Variables!$B$1,IF(H1256&lt;&gt;0,C1256,I1256),"")</f>
        <v/>
      </c>
      <c r="D1257" s="29" t="str">
        <f t="shared" ca="1" si="107"/>
        <v/>
      </c>
      <c r="E1257" s="29" t="str">
        <f t="shared" ca="1" si="108"/>
        <v/>
      </c>
      <c r="F1257" s="29" t="str">
        <f ca="1">IF(C1257&lt;&gt;"",IF(OR(VLOOKUP(C1257,$C$3:$L$6,5,0)=Variables!$B$5,B1257&gt;VLOOKUP(C1257,$C$3:$L$6,8,0)),-D1257*VLOOKUP(C1257,$C$3:$L$6,6,0)/12,0),"")</f>
        <v/>
      </c>
      <c r="G1257" s="29" t="str">
        <f ca="1">IF(I1257&lt;&gt;Variables!$B$1,IF(C1257&lt;&gt;"",$I$9-E1257-F1257,""),-D1257)</f>
        <v/>
      </c>
      <c r="H1257" s="29" t="str">
        <f t="shared" ca="1" si="111"/>
        <v/>
      </c>
      <c r="I1257" s="31" t="str">
        <f ca="1">IF(C1257&lt;&gt;"",IF(D1257+$I$9-E1257-F1257&gt;=0,IF(ISERROR(INDEX($C$3:$C$6,MATCH(C1257,$C$3:$C$6,0)+1,0)),Variables!$B$1,INDEX($C$3:$C$6,MATCH(C1257,$C$3:$C$6,0)+1,0)),""),"")</f>
        <v/>
      </c>
      <c r="J1257" s="29" t="str">
        <f ca="1">IF(ISERROR(VLOOKUP(I1257,$C$3:$L$6,5,0)),"",IF(OR(VLOOKUP(I1257,$C$3:$L$6,5,0)=Variables!$B$5,B1257&gt;VLOOKUP(I1257,$C$3:$L$6,8,0)),IF(VLOOKUP(I1257,$C$3:$L$6,5,0)=Variables!$B$5,((YEAR(B1257)-YEAR($B$12))*12+MONTH(B1257)-MONTH($B$12)),((YEAR(B1257)-YEAR(VLOOKUP(I1257,$C$3:$L$6,8,0)))*12+MONTH(B1257)-MONTH(VLOOKUP(I1257,$C$3:$L$6,8,0))))*(VLOOKUP(I1257,$C$3:$L$6,10,0)*VLOOKUP(I1257,$C$3:$L$6,6,0)/12),0))</f>
        <v/>
      </c>
      <c r="K1257" s="29" t="str">
        <f ca="1">IF(C1257&lt;&gt;"",IF(I1257&lt;&gt;"",IF(ISERROR(VLOOKUP(I1257,$C$3:$L$6,10,0)),"",VLOOKUP(I1257,$C$3:$L$6,10,0)+J1257+IF(OR(VLOOKUP(I1257,$C$3:$L$6,5,0)=Variables!$B$5,B1257&gt;VLOOKUP(I1257,$C$3:$L$6,8,0)),IF(VLOOKUP(I1257,$C$3:$L$6,5,0)=Variables!$B$5,((YEAR(B1257)-YEAR($B$12))*12+MONTH(B1257)-MONTH($B$12)),((YEAR(B1257)-YEAR(VLOOKUP(I1257,$C$3:$L$6,8,0)))*12+MONTH(B1257)-MONTH(VLOOKUP(I1257,$C$3:$L$6,8,0))))*VLOOKUP(I1257,$C$3:$L$6,7,0),0)),""),"")</f>
        <v/>
      </c>
      <c r="L1257" s="29" t="str">
        <f t="shared" ca="1" si="109"/>
        <v/>
      </c>
    </row>
    <row r="1258" spans="2:12" x14ac:dyDescent="0.25">
      <c r="B1258" s="14" t="str">
        <f t="shared" ca="1" si="110"/>
        <v/>
      </c>
      <c r="C1258" s="14" t="str">
        <f ca="1">IF(I1257&lt;&gt;Variables!$B$1,IF(H1257&lt;&gt;0,C1257,I1257),"")</f>
        <v/>
      </c>
      <c r="D1258" s="29" t="str">
        <f t="shared" ca="1" si="107"/>
        <v/>
      </c>
      <c r="E1258" s="29" t="str">
        <f t="shared" ca="1" si="108"/>
        <v/>
      </c>
      <c r="F1258" s="29" t="str">
        <f ca="1">IF(C1258&lt;&gt;"",IF(OR(VLOOKUP(C1258,$C$3:$L$6,5,0)=Variables!$B$5,B1258&gt;VLOOKUP(C1258,$C$3:$L$6,8,0)),-D1258*VLOOKUP(C1258,$C$3:$L$6,6,0)/12,0),"")</f>
        <v/>
      </c>
      <c r="G1258" s="29" t="str">
        <f ca="1">IF(I1258&lt;&gt;Variables!$B$1,IF(C1258&lt;&gt;"",$I$9-E1258-F1258,""),-D1258)</f>
        <v/>
      </c>
      <c r="H1258" s="29" t="str">
        <f t="shared" ca="1" si="111"/>
        <v/>
      </c>
      <c r="I1258" s="31" t="str">
        <f ca="1">IF(C1258&lt;&gt;"",IF(D1258+$I$9-E1258-F1258&gt;=0,IF(ISERROR(INDEX($C$3:$C$6,MATCH(C1258,$C$3:$C$6,0)+1,0)),Variables!$B$1,INDEX($C$3:$C$6,MATCH(C1258,$C$3:$C$6,0)+1,0)),""),"")</f>
        <v/>
      </c>
      <c r="J1258" s="29" t="str">
        <f ca="1">IF(ISERROR(VLOOKUP(I1258,$C$3:$L$6,5,0)),"",IF(OR(VLOOKUP(I1258,$C$3:$L$6,5,0)=Variables!$B$5,B1258&gt;VLOOKUP(I1258,$C$3:$L$6,8,0)),IF(VLOOKUP(I1258,$C$3:$L$6,5,0)=Variables!$B$5,((YEAR(B1258)-YEAR($B$12))*12+MONTH(B1258)-MONTH($B$12)),((YEAR(B1258)-YEAR(VLOOKUP(I1258,$C$3:$L$6,8,0)))*12+MONTH(B1258)-MONTH(VLOOKUP(I1258,$C$3:$L$6,8,0))))*(VLOOKUP(I1258,$C$3:$L$6,10,0)*VLOOKUP(I1258,$C$3:$L$6,6,0)/12),0))</f>
        <v/>
      </c>
      <c r="K1258" s="29" t="str">
        <f ca="1">IF(C1258&lt;&gt;"",IF(I1258&lt;&gt;"",IF(ISERROR(VLOOKUP(I1258,$C$3:$L$6,10,0)),"",VLOOKUP(I1258,$C$3:$L$6,10,0)+J1258+IF(OR(VLOOKUP(I1258,$C$3:$L$6,5,0)=Variables!$B$5,B1258&gt;VLOOKUP(I1258,$C$3:$L$6,8,0)),IF(VLOOKUP(I1258,$C$3:$L$6,5,0)=Variables!$B$5,((YEAR(B1258)-YEAR($B$12))*12+MONTH(B1258)-MONTH($B$12)),((YEAR(B1258)-YEAR(VLOOKUP(I1258,$C$3:$L$6,8,0)))*12+MONTH(B1258)-MONTH(VLOOKUP(I1258,$C$3:$L$6,8,0))))*VLOOKUP(I1258,$C$3:$L$6,7,0),0)),""),"")</f>
        <v/>
      </c>
      <c r="L1258" s="29" t="str">
        <f t="shared" ca="1" si="109"/>
        <v/>
      </c>
    </row>
    <row r="1259" spans="2:12" x14ac:dyDescent="0.25">
      <c r="B1259" s="14" t="str">
        <f t="shared" ca="1" si="110"/>
        <v/>
      </c>
      <c r="C1259" s="14" t="str">
        <f ca="1">IF(I1258&lt;&gt;Variables!$B$1,IF(H1258&lt;&gt;0,C1258,I1258),"")</f>
        <v/>
      </c>
      <c r="D1259" s="29" t="str">
        <f t="shared" ca="1" si="107"/>
        <v/>
      </c>
      <c r="E1259" s="29" t="str">
        <f t="shared" ca="1" si="108"/>
        <v/>
      </c>
      <c r="F1259" s="29" t="str">
        <f ca="1">IF(C1259&lt;&gt;"",IF(OR(VLOOKUP(C1259,$C$3:$L$6,5,0)=Variables!$B$5,B1259&gt;VLOOKUP(C1259,$C$3:$L$6,8,0)),-D1259*VLOOKUP(C1259,$C$3:$L$6,6,0)/12,0),"")</f>
        <v/>
      </c>
      <c r="G1259" s="29" t="str">
        <f ca="1">IF(I1259&lt;&gt;Variables!$B$1,IF(C1259&lt;&gt;"",$I$9-E1259-F1259,""),-D1259)</f>
        <v/>
      </c>
      <c r="H1259" s="29" t="str">
        <f t="shared" ca="1" si="111"/>
        <v/>
      </c>
      <c r="I1259" s="31" t="str">
        <f ca="1">IF(C1259&lt;&gt;"",IF(D1259+$I$9-E1259-F1259&gt;=0,IF(ISERROR(INDEX($C$3:$C$6,MATCH(C1259,$C$3:$C$6,0)+1,0)),Variables!$B$1,INDEX($C$3:$C$6,MATCH(C1259,$C$3:$C$6,0)+1,0)),""),"")</f>
        <v/>
      </c>
      <c r="J1259" s="29" t="str">
        <f ca="1">IF(ISERROR(VLOOKUP(I1259,$C$3:$L$6,5,0)),"",IF(OR(VLOOKUP(I1259,$C$3:$L$6,5,0)=Variables!$B$5,B1259&gt;VLOOKUP(I1259,$C$3:$L$6,8,0)),IF(VLOOKUP(I1259,$C$3:$L$6,5,0)=Variables!$B$5,((YEAR(B1259)-YEAR($B$12))*12+MONTH(B1259)-MONTH($B$12)),((YEAR(B1259)-YEAR(VLOOKUP(I1259,$C$3:$L$6,8,0)))*12+MONTH(B1259)-MONTH(VLOOKUP(I1259,$C$3:$L$6,8,0))))*(VLOOKUP(I1259,$C$3:$L$6,10,0)*VLOOKUP(I1259,$C$3:$L$6,6,0)/12),0))</f>
        <v/>
      </c>
      <c r="K1259" s="29" t="str">
        <f ca="1">IF(C1259&lt;&gt;"",IF(I1259&lt;&gt;"",IF(ISERROR(VLOOKUP(I1259,$C$3:$L$6,10,0)),"",VLOOKUP(I1259,$C$3:$L$6,10,0)+J1259+IF(OR(VLOOKUP(I1259,$C$3:$L$6,5,0)=Variables!$B$5,B1259&gt;VLOOKUP(I1259,$C$3:$L$6,8,0)),IF(VLOOKUP(I1259,$C$3:$L$6,5,0)=Variables!$B$5,((YEAR(B1259)-YEAR($B$12))*12+MONTH(B1259)-MONTH($B$12)),((YEAR(B1259)-YEAR(VLOOKUP(I1259,$C$3:$L$6,8,0)))*12+MONTH(B1259)-MONTH(VLOOKUP(I1259,$C$3:$L$6,8,0))))*VLOOKUP(I1259,$C$3:$L$6,7,0),0)),""),"")</f>
        <v/>
      </c>
      <c r="L1259" s="29" t="str">
        <f t="shared" ca="1" si="109"/>
        <v/>
      </c>
    </row>
    <row r="1260" spans="2:12" x14ac:dyDescent="0.25">
      <c r="B1260" s="14" t="str">
        <f t="shared" ca="1" si="110"/>
        <v/>
      </c>
      <c r="C1260" s="14" t="str">
        <f ca="1">IF(I1259&lt;&gt;Variables!$B$1,IF(H1259&lt;&gt;0,C1259,I1259),"")</f>
        <v/>
      </c>
      <c r="D1260" s="29" t="str">
        <f t="shared" ca="1" si="107"/>
        <v/>
      </c>
      <c r="E1260" s="29" t="str">
        <f t="shared" ca="1" si="108"/>
        <v/>
      </c>
      <c r="F1260" s="29" t="str">
        <f ca="1">IF(C1260&lt;&gt;"",IF(OR(VLOOKUP(C1260,$C$3:$L$6,5,0)=Variables!$B$5,B1260&gt;VLOOKUP(C1260,$C$3:$L$6,8,0)),-D1260*VLOOKUP(C1260,$C$3:$L$6,6,0)/12,0),"")</f>
        <v/>
      </c>
      <c r="G1260" s="29" t="str">
        <f ca="1">IF(I1260&lt;&gt;Variables!$B$1,IF(C1260&lt;&gt;"",$I$9-E1260-F1260,""),-D1260)</f>
        <v/>
      </c>
      <c r="H1260" s="29" t="str">
        <f t="shared" ca="1" si="111"/>
        <v/>
      </c>
      <c r="I1260" s="31" t="str">
        <f ca="1">IF(C1260&lt;&gt;"",IF(D1260+$I$9-E1260-F1260&gt;=0,IF(ISERROR(INDEX($C$3:$C$6,MATCH(C1260,$C$3:$C$6,0)+1,0)),Variables!$B$1,INDEX($C$3:$C$6,MATCH(C1260,$C$3:$C$6,0)+1,0)),""),"")</f>
        <v/>
      </c>
      <c r="J1260" s="29" t="str">
        <f ca="1">IF(ISERROR(VLOOKUP(I1260,$C$3:$L$6,5,0)),"",IF(OR(VLOOKUP(I1260,$C$3:$L$6,5,0)=Variables!$B$5,B1260&gt;VLOOKUP(I1260,$C$3:$L$6,8,0)),IF(VLOOKUP(I1260,$C$3:$L$6,5,0)=Variables!$B$5,((YEAR(B1260)-YEAR($B$12))*12+MONTH(B1260)-MONTH($B$12)),((YEAR(B1260)-YEAR(VLOOKUP(I1260,$C$3:$L$6,8,0)))*12+MONTH(B1260)-MONTH(VLOOKUP(I1260,$C$3:$L$6,8,0))))*(VLOOKUP(I1260,$C$3:$L$6,10,0)*VLOOKUP(I1260,$C$3:$L$6,6,0)/12),0))</f>
        <v/>
      </c>
      <c r="K1260" s="29" t="str">
        <f ca="1">IF(C1260&lt;&gt;"",IF(I1260&lt;&gt;"",IF(ISERROR(VLOOKUP(I1260,$C$3:$L$6,10,0)),"",VLOOKUP(I1260,$C$3:$L$6,10,0)+J1260+IF(OR(VLOOKUP(I1260,$C$3:$L$6,5,0)=Variables!$B$5,B1260&gt;VLOOKUP(I1260,$C$3:$L$6,8,0)),IF(VLOOKUP(I1260,$C$3:$L$6,5,0)=Variables!$B$5,((YEAR(B1260)-YEAR($B$12))*12+MONTH(B1260)-MONTH($B$12)),((YEAR(B1260)-YEAR(VLOOKUP(I1260,$C$3:$L$6,8,0)))*12+MONTH(B1260)-MONTH(VLOOKUP(I1260,$C$3:$L$6,8,0))))*VLOOKUP(I1260,$C$3:$L$6,7,0),0)),""),"")</f>
        <v/>
      </c>
      <c r="L1260" s="29" t="str">
        <f t="shared" ca="1" si="109"/>
        <v/>
      </c>
    </row>
    <row r="1261" spans="2:12" x14ac:dyDescent="0.25">
      <c r="B1261" s="14" t="str">
        <f t="shared" ca="1" si="110"/>
        <v/>
      </c>
      <c r="C1261" s="14" t="str">
        <f ca="1">IF(I1260&lt;&gt;Variables!$B$1,IF(H1260&lt;&gt;0,C1260,I1260),"")</f>
        <v/>
      </c>
      <c r="D1261" s="29" t="str">
        <f t="shared" ca="1" si="107"/>
        <v/>
      </c>
      <c r="E1261" s="29" t="str">
        <f t="shared" ca="1" si="108"/>
        <v/>
      </c>
      <c r="F1261" s="29" t="str">
        <f ca="1">IF(C1261&lt;&gt;"",IF(OR(VLOOKUP(C1261,$C$3:$L$6,5,0)=Variables!$B$5,B1261&gt;VLOOKUP(C1261,$C$3:$L$6,8,0)),-D1261*VLOOKUP(C1261,$C$3:$L$6,6,0)/12,0),"")</f>
        <v/>
      </c>
      <c r="G1261" s="29" t="str">
        <f ca="1">IF(I1261&lt;&gt;Variables!$B$1,IF(C1261&lt;&gt;"",$I$9-E1261-F1261,""),-D1261)</f>
        <v/>
      </c>
      <c r="H1261" s="29" t="str">
        <f t="shared" ca="1" si="111"/>
        <v/>
      </c>
      <c r="I1261" s="31" t="str">
        <f ca="1">IF(C1261&lt;&gt;"",IF(D1261+$I$9-E1261-F1261&gt;=0,IF(ISERROR(INDEX($C$3:$C$6,MATCH(C1261,$C$3:$C$6,0)+1,0)),Variables!$B$1,INDEX($C$3:$C$6,MATCH(C1261,$C$3:$C$6,0)+1,0)),""),"")</f>
        <v/>
      </c>
      <c r="J1261" s="29" t="str">
        <f ca="1">IF(ISERROR(VLOOKUP(I1261,$C$3:$L$6,5,0)),"",IF(OR(VLOOKUP(I1261,$C$3:$L$6,5,0)=Variables!$B$5,B1261&gt;VLOOKUP(I1261,$C$3:$L$6,8,0)),IF(VLOOKUP(I1261,$C$3:$L$6,5,0)=Variables!$B$5,((YEAR(B1261)-YEAR($B$12))*12+MONTH(B1261)-MONTH($B$12)),((YEAR(B1261)-YEAR(VLOOKUP(I1261,$C$3:$L$6,8,0)))*12+MONTH(B1261)-MONTH(VLOOKUP(I1261,$C$3:$L$6,8,0))))*(VLOOKUP(I1261,$C$3:$L$6,10,0)*VLOOKUP(I1261,$C$3:$L$6,6,0)/12),0))</f>
        <v/>
      </c>
      <c r="K1261" s="29" t="str">
        <f ca="1">IF(C1261&lt;&gt;"",IF(I1261&lt;&gt;"",IF(ISERROR(VLOOKUP(I1261,$C$3:$L$6,10,0)),"",VLOOKUP(I1261,$C$3:$L$6,10,0)+J1261+IF(OR(VLOOKUP(I1261,$C$3:$L$6,5,0)=Variables!$B$5,B1261&gt;VLOOKUP(I1261,$C$3:$L$6,8,0)),IF(VLOOKUP(I1261,$C$3:$L$6,5,0)=Variables!$B$5,((YEAR(B1261)-YEAR($B$12))*12+MONTH(B1261)-MONTH($B$12)),((YEAR(B1261)-YEAR(VLOOKUP(I1261,$C$3:$L$6,8,0)))*12+MONTH(B1261)-MONTH(VLOOKUP(I1261,$C$3:$L$6,8,0))))*VLOOKUP(I1261,$C$3:$L$6,7,0),0)),""),"")</f>
        <v/>
      </c>
      <c r="L1261" s="29" t="str">
        <f t="shared" ca="1" si="109"/>
        <v/>
      </c>
    </row>
    <row r="1262" spans="2:12" x14ac:dyDescent="0.25">
      <c r="B1262" s="14" t="str">
        <f t="shared" ca="1" si="110"/>
        <v/>
      </c>
      <c r="C1262" s="14" t="str">
        <f ca="1">IF(I1261&lt;&gt;Variables!$B$1,IF(H1261&lt;&gt;0,C1261,I1261),"")</f>
        <v/>
      </c>
      <c r="D1262" s="29" t="str">
        <f t="shared" ca="1" si="107"/>
        <v/>
      </c>
      <c r="E1262" s="29" t="str">
        <f t="shared" ca="1" si="108"/>
        <v/>
      </c>
      <c r="F1262" s="29" t="str">
        <f ca="1">IF(C1262&lt;&gt;"",IF(OR(VLOOKUP(C1262,$C$3:$L$6,5,0)=Variables!$B$5,B1262&gt;VLOOKUP(C1262,$C$3:$L$6,8,0)),-D1262*VLOOKUP(C1262,$C$3:$L$6,6,0)/12,0),"")</f>
        <v/>
      </c>
      <c r="G1262" s="29" t="str">
        <f ca="1">IF(I1262&lt;&gt;Variables!$B$1,IF(C1262&lt;&gt;"",$I$9-E1262-F1262,""),-D1262)</f>
        <v/>
      </c>
      <c r="H1262" s="29" t="str">
        <f t="shared" ca="1" si="111"/>
        <v/>
      </c>
      <c r="I1262" s="31" t="str">
        <f ca="1">IF(C1262&lt;&gt;"",IF(D1262+$I$9-E1262-F1262&gt;=0,IF(ISERROR(INDEX($C$3:$C$6,MATCH(C1262,$C$3:$C$6,0)+1,0)),Variables!$B$1,INDEX($C$3:$C$6,MATCH(C1262,$C$3:$C$6,0)+1,0)),""),"")</f>
        <v/>
      </c>
      <c r="J1262" s="29" t="str">
        <f ca="1">IF(ISERROR(VLOOKUP(I1262,$C$3:$L$6,5,0)),"",IF(OR(VLOOKUP(I1262,$C$3:$L$6,5,0)=Variables!$B$5,B1262&gt;VLOOKUP(I1262,$C$3:$L$6,8,0)),IF(VLOOKUP(I1262,$C$3:$L$6,5,0)=Variables!$B$5,((YEAR(B1262)-YEAR($B$12))*12+MONTH(B1262)-MONTH($B$12)),((YEAR(B1262)-YEAR(VLOOKUP(I1262,$C$3:$L$6,8,0)))*12+MONTH(B1262)-MONTH(VLOOKUP(I1262,$C$3:$L$6,8,0))))*(VLOOKUP(I1262,$C$3:$L$6,10,0)*VLOOKUP(I1262,$C$3:$L$6,6,0)/12),0))</f>
        <v/>
      </c>
      <c r="K1262" s="29" t="str">
        <f ca="1">IF(C1262&lt;&gt;"",IF(I1262&lt;&gt;"",IF(ISERROR(VLOOKUP(I1262,$C$3:$L$6,10,0)),"",VLOOKUP(I1262,$C$3:$L$6,10,0)+J1262+IF(OR(VLOOKUP(I1262,$C$3:$L$6,5,0)=Variables!$B$5,B1262&gt;VLOOKUP(I1262,$C$3:$L$6,8,0)),IF(VLOOKUP(I1262,$C$3:$L$6,5,0)=Variables!$B$5,((YEAR(B1262)-YEAR($B$12))*12+MONTH(B1262)-MONTH($B$12)),((YEAR(B1262)-YEAR(VLOOKUP(I1262,$C$3:$L$6,8,0)))*12+MONTH(B1262)-MONTH(VLOOKUP(I1262,$C$3:$L$6,8,0))))*VLOOKUP(I1262,$C$3:$L$6,7,0),0)),""),"")</f>
        <v/>
      </c>
      <c r="L1262" s="29" t="str">
        <f t="shared" ca="1" si="109"/>
        <v/>
      </c>
    </row>
    <row r="1263" spans="2:12" x14ac:dyDescent="0.25">
      <c r="B1263" s="14" t="str">
        <f t="shared" ca="1" si="110"/>
        <v/>
      </c>
      <c r="C1263" s="14" t="str">
        <f ca="1">IF(I1262&lt;&gt;Variables!$B$1,IF(H1262&lt;&gt;0,C1262,I1262),"")</f>
        <v/>
      </c>
      <c r="D1263" s="29" t="str">
        <f t="shared" ca="1" si="107"/>
        <v/>
      </c>
      <c r="E1263" s="29" t="str">
        <f t="shared" ca="1" si="108"/>
        <v/>
      </c>
      <c r="F1263" s="29" t="str">
        <f ca="1">IF(C1263&lt;&gt;"",IF(OR(VLOOKUP(C1263,$C$3:$L$6,5,0)=Variables!$B$5,B1263&gt;VLOOKUP(C1263,$C$3:$L$6,8,0)),-D1263*VLOOKUP(C1263,$C$3:$L$6,6,0)/12,0),"")</f>
        <v/>
      </c>
      <c r="G1263" s="29" t="str">
        <f ca="1">IF(I1263&lt;&gt;Variables!$B$1,IF(C1263&lt;&gt;"",$I$9-E1263-F1263,""),-D1263)</f>
        <v/>
      </c>
      <c r="H1263" s="29" t="str">
        <f t="shared" ca="1" si="111"/>
        <v/>
      </c>
      <c r="I1263" s="31" t="str">
        <f ca="1">IF(C1263&lt;&gt;"",IF(D1263+$I$9-E1263-F1263&gt;=0,IF(ISERROR(INDEX($C$3:$C$6,MATCH(C1263,$C$3:$C$6,0)+1,0)),Variables!$B$1,INDEX($C$3:$C$6,MATCH(C1263,$C$3:$C$6,0)+1,0)),""),"")</f>
        <v/>
      </c>
      <c r="J1263" s="29" t="str">
        <f ca="1">IF(ISERROR(VLOOKUP(I1263,$C$3:$L$6,5,0)),"",IF(OR(VLOOKUP(I1263,$C$3:$L$6,5,0)=Variables!$B$5,B1263&gt;VLOOKUP(I1263,$C$3:$L$6,8,0)),IF(VLOOKUP(I1263,$C$3:$L$6,5,0)=Variables!$B$5,((YEAR(B1263)-YEAR($B$12))*12+MONTH(B1263)-MONTH($B$12)),((YEAR(B1263)-YEAR(VLOOKUP(I1263,$C$3:$L$6,8,0)))*12+MONTH(B1263)-MONTH(VLOOKUP(I1263,$C$3:$L$6,8,0))))*(VLOOKUP(I1263,$C$3:$L$6,10,0)*VLOOKUP(I1263,$C$3:$L$6,6,0)/12),0))</f>
        <v/>
      </c>
      <c r="K1263" s="29" t="str">
        <f ca="1">IF(C1263&lt;&gt;"",IF(I1263&lt;&gt;"",IF(ISERROR(VLOOKUP(I1263,$C$3:$L$6,10,0)),"",VLOOKUP(I1263,$C$3:$L$6,10,0)+J1263+IF(OR(VLOOKUP(I1263,$C$3:$L$6,5,0)=Variables!$B$5,B1263&gt;VLOOKUP(I1263,$C$3:$L$6,8,0)),IF(VLOOKUP(I1263,$C$3:$L$6,5,0)=Variables!$B$5,((YEAR(B1263)-YEAR($B$12))*12+MONTH(B1263)-MONTH($B$12)),((YEAR(B1263)-YEAR(VLOOKUP(I1263,$C$3:$L$6,8,0)))*12+MONTH(B1263)-MONTH(VLOOKUP(I1263,$C$3:$L$6,8,0))))*VLOOKUP(I1263,$C$3:$L$6,7,0),0)),""),"")</f>
        <v/>
      </c>
      <c r="L1263" s="29" t="str">
        <f t="shared" ca="1" si="109"/>
        <v/>
      </c>
    </row>
    <row r="1264" spans="2:12" x14ac:dyDescent="0.25">
      <c r="B1264" s="14" t="str">
        <f t="shared" ca="1" si="110"/>
        <v/>
      </c>
      <c r="C1264" s="14" t="str">
        <f ca="1">IF(I1263&lt;&gt;Variables!$B$1,IF(H1263&lt;&gt;0,C1263,I1263),"")</f>
        <v/>
      </c>
      <c r="D1264" s="29" t="str">
        <f t="shared" ca="1" si="107"/>
        <v/>
      </c>
      <c r="E1264" s="29" t="str">
        <f t="shared" ca="1" si="108"/>
        <v/>
      </c>
      <c r="F1264" s="29" t="str">
        <f ca="1">IF(C1264&lt;&gt;"",IF(OR(VLOOKUP(C1264,$C$3:$L$6,5,0)=Variables!$B$5,B1264&gt;VLOOKUP(C1264,$C$3:$L$6,8,0)),-D1264*VLOOKUP(C1264,$C$3:$L$6,6,0)/12,0),"")</f>
        <v/>
      </c>
      <c r="G1264" s="29" t="str">
        <f ca="1">IF(I1264&lt;&gt;Variables!$B$1,IF(C1264&lt;&gt;"",$I$9-E1264-F1264,""),-D1264)</f>
        <v/>
      </c>
      <c r="H1264" s="29" t="str">
        <f t="shared" ca="1" si="111"/>
        <v/>
      </c>
      <c r="I1264" s="31" t="str">
        <f ca="1">IF(C1264&lt;&gt;"",IF(D1264+$I$9-E1264-F1264&gt;=0,IF(ISERROR(INDEX($C$3:$C$6,MATCH(C1264,$C$3:$C$6,0)+1,0)),Variables!$B$1,INDEX($C$3:$C$6,MATCH(C1264,$C$3:$C$6,0)+1,0)),""),"")</f>
        <v/>
      </c>
      <c r="J1264" s="29" t="str">
        <f ca="1">IF(ISERROR(VLOOKUP(I1264,$C$3:$L$6,5,0)),"",IF(OR(VLOOKUP(I1264,$C$3:$L$6,5,0)=Variables!$B$5,B1264&gt;VLOOKUP(I1264,$C$3:$L$6,8,0)),IF(VLOOKUP(I1264,$C$3:$L$6,5,0)=Variables!$B$5,((YEAR(B1264)-YEAR($B$12))*12+MONTH(B1264)-MONTH($B$12)),((YEAR(B1264)-YEAR(VLOOKUP(I1264,$C$3:$L$6,8,0)))*12+MONTH(B1264)-MONTH(VLOOKUP(I1264,$C$3:$L$6,8,0))))*(VLOOKUP(I1264,$C$3:$L$6,10,0)*VLOOKUP(I1264,$C$3:$L$6,6,0)/12),0))</f>
        <v/>
      </c>
      <c r="K1264" s="29" t="str">
        <f ca="1">IF(C1264&lt;&gt;"",IF(I1264&lt;&gt;"",IF(ISERROR(VLOOKUP(I1264,$C$3:$L$6,10,0)),"",VLOOKUP(I1264,$C$3:$L$6,10,0)+J1264+IF(OR(VLOOKUP(I1264,$C$3:$L$6,5,0)=Variables!$B$5,B1264&gt;VLOOKUP(I1264,$C$3:$L$6,8,0)),IF(VLOOKUP(I1264,$C$3:$L$6,5,0)=Variables!$B$5,((YEAR(B1264)-YEAR($B$12))*12+MONTH(B1264)-MONTH($B$12)),((YEAR(B1264)-YEAR(VLOOKUP(I1264,$C$3:$L$6,8,0)))*12+MONTH(B1264)-MONTH(VLOOKUP(I1264,$C$3:$L$6,8,0))))*VLOOKUP(I1264,$C$3:$L$6,7,0),0)),""),"")</f>
        <v/>
      </c>
      <c r="L1264" s="29" t="str">
        <f t="shared" ca="1" si="109"/>
        <v/>
      </c>
    </row>
    <row r="1265" spans="2:12" x14ac:dyDescent="0.25">
      <c r="B1265" s="14" t="str">
        <f t="shared" ca="1" si="110"/>
        <v/>
      </c>
      <c r="C1265" s="14" t="str">
        <f ca="1">IF(I1264&lt;&gt;Variables!$B$1,IF(H1264&lt;&gt;0,C1264,I1264),"")</f>
        <v/>
      </c>
      <c r="D1265" s="29" t="str">
        <f t="shared" ca="1" si="107"/>
        <v/>
      </c>
      <c r="E1265" s="29" t="str">
        <f t="shared" ca="1" si="108"/>
        <v/>
      </c>
      <c r="F1265" s="29" t="str">
        <f ca="1">IF(C1265&lt;&gt;"",IF(OR(VLOOKUP(C1265,$C$3:$L$6,5,0)=Variables!$B$5,B1265&gt;VLOOKUP(C1265,$C$3:$L$6,8,0)),-D1265*VLOOKUP(C1265,$C$3:$L$6,6,0)/12,0),"")</f>
        <v/>
      </c>
      <c r="G1265" s="29" t="str">
        <f ca="1">IF(I1265&lt;&gt;Variables!$B$1,IF(C1265&lt;&gt;"",$I$9-E1265-F1265,""),-D1265)</f>
        <v/>
      </c>
      <c r="H1265" s="29" t="str">
        <f t="shared" ca="1" si="111"/>
        <v/>
      </c>
      <c r="I1265" s="31" t="str">
        <f ca="1">IF(C1265&lt;&gt;"",IF(D1265+$I$9-E1265-F1265&gt;=0,IF(ISERROR(INDEX($C$3:$C$6,MATCH(C1265,$C$3:$C$6,0)+1,0)),Variables!$B$1,INDEX($C$3:$C$6,MATCH(C1265,$C$3:$C$6,0)+1,0)),""),"")</f>
        <v/>
      </c>
      <c r="J1265" s="29" t="str">
        <f ca="1">IF(ISERROR(VLOOKUP(I1265,$C$3:$L$6,5,0)),"",IF(OR(VLOOKUP(I1265,$C$3:$L$6,5,0)=Variables!$B$5,B1265&gt;VLOOKUP(I1265,$C$3:$L$6,8,0)),IF(VLOOKUP(I1265,$C$3:$L$6,5,0)=Variables!$B$5,((YEAR(B1265)-YEAR($B$12))*12+MONTH(B1265)-MONTH($B$12)),((YEAR(B1265)-YEAR(VLOOKUP(I1265,$C$3:$L$6,8,0)))*12+MONTH(B1265)-MONTH(VLOOKUP(I1265,$C$3:$L$6,8,0))))*(VLOOKUP(I1265,$C$3:$L$6,10,0)*VLOOKUP(I1265,$C$3:$L$6,6,0)/12),0))</f>
        <v/>
      </c>
      <c r="K1265" s="29" t="str">
        <f ca="1">IF(C1265&lt;&gt;"",IF(I1265&lt;&gt;"",IF(ISERROR(VLOOKUP(I1265,$C$3:$L$6,10,0)),"",VLOOKUP(I1265,$C$3:$L$6,10,0)+J1265+IF(OR(VLOOKUP(I1265,$C$3:$L$6,5,0)=Variables!$B$5,B1265&gt;VLOOKUP(I1265,$C$3:$L$6,8,0)),IF(VLOOKUP(I1265,$C$3:$L$6,5,0)=Variables!$B$5,((YEAR(B1265)-YEAR($B$12))*12+MONTH(B1265)-MONTH($B$12)),((YEAR(B1265)-YEAR(VLOOKUP(I1265,$C$3:$L$6,8,0)))*12+MONTH(B1265)-MONTH(VLOOKUP(I1265,$C$3:$L$6,8,0))))*VLOOKUP(I1265,$C$3:$L$6,7,0),0)),""),"")</f>
        <v/>
      </c>
      <c r="L1265" s="29" t="str">
        <f t="shared" ca="1" si="109"/>
        <v/>
      </c>
    </row>
    <row r="1266" spans="2:12" x14ac:dyDescent="0.25">
      <c r="B1266" s="14" t="str">
        <f t="shared" ca="1" si="110"/>
        <v/>
      </c>
      <c r="C1266" s="14" t="str">
        <f ca="1">IF(I1265&lt;&gt;Variables!$B$1,IF(H1265&lt;&gt;0,C1265,I1265),"")</f>
        <v/>
      </c>
      <c r="D1266" s="29" t="str">
        <f t="shared" ca="1" si="107"/>
        <v/>
      </c>
      <c r="E1266" s="29" t="str">
        <f t="shared" ca="1" si="108"/>
        <v/>
      </c>
      <c r="F1266" s="29" t="str">
        <f ca="1">IF(C1266&lt;&gt;"",IF(OR(VLOOKUP(C1266,$C$3:$L$6,5,0)=Variables!$B$5,B1266&gt;VLOOKUP(C1266,$C$3:$L$6,8,0)),-D1266*VLOOKUP(C1266,$C$3:$L$6,6,0)/12,0),"")</f>
        <v/>
      </c>
      <c r="G1266" s="29" t="str">
        <f ca="1">IF(I1266&lt;&gt;Variables!$B$1,IF(C1266&lt;&gt;"",$I$9-E1266-F1266,""),-D1266)</f>
        <v/>
      </c>
      <c r="H1266" s="29" t="str">
        <f t="shared" ca="1" si="111"/>
        <v/>
      </c>
      <c r="I1266" s="31" t="str">
        <f ca="1">IF(C1266&lt;&gt;"",IF(D1266+$I$9-E1266-F1266&gt;=0,IF(ISERROR(INDEX($C$3:$C$6,MATCH(C1266,$C$3:$C$6,0)+1,0)),Variables!$B$1,INDEX($C$3:$C$6,MATCH(C1266,$C$3:$C$6,0)+1,0)),""),"")</f>
        <v/>
      </c>
      <c r="J1266" s="29" t="str">
        <f ca="1">IF(ISERROR(VLOOKUP(I1266,$C$3:$L$6,5,0)),"",IF(OR(VLOOKUP(I1266,$C$3:$L$6,5,0)=Variables!$B$5,B1266&gt;VLOOKUP(I1266,$C$3:$L$6,8,0)),IF(VLOOKUP(I1266,$C$3:$L$6,5,0)=Variables!$B$5,((YEAR(B1266)-YEAR($B$12))*12+MONTH(B1266)-MONTH($B$12)),((YEAR(B1266)-YEAR(VLOOKUP(I1266,$C$3:$L$6,8,0)))*12+MONTH(B1266)-MONTH(VLOOKUP(I1266,$C$3:$L$6,8,0))))*(VLOOKUP(I1266,$C$3:$L$6,10,0)*VLOOKUP(I1266,$C$3:$L$6,6,0)/12),0))</f>
        <v/>
      </c>
      <c r="K1266" s="29" t="str">
        <f ca="1">IF(C1266&lt;&gt;"",IF(I1266&lt;&gt;"",IF(ISERROR(VLOOKUP(I1266,$C$3:$L$6,10,0)),"",VLOOKUP(I1266,$C$3:$L$6,10,0)+J1266+IF(OR(VLOOKUP(I1266,$C$3:$L$6,5,0)=Variables!$B$5,B1266&gt;VLOOKUP(I1266,$C$3:$L$6,8,0)),IF(VLOOKUP(I1266,$C$3:$L$6,5,0)=Variables!$B$5,((YEAR(B1266)-YEAR($B$12))*12+MONTH(B1266)-MONTH($B$12)),((YEAR(B1266)-YEAR(VLOOKUP(I1266,$C$3:$L$6,8,0)))*12+MONTH(B1266)-MONTH(VLOOKUP(I1266,$C$3:$L$6,8,0))))*VLOOKUP(I1266,$C$3:$L$6,7,0),0)),""),"")</f>
        <v/>
      </c>
      <c r="L1266" s="29" t="str">
        <f t="shared" ca="1" si="109"/>
        <v/>
      </c>
    </row>
    <row r="1267" spans="2:12" x14ac:dyDescent="0.25">
      <c r="B1267" s="14" t="str">
        <f t="shared" ca="1" si="110"/>
        <v/>
      </c>
      <c r="C1267" s="14" t="str">
        <f ca="1">IF(I1266&lt;&gt;Variables!$B$1,IF(H1266&lt;&gt;0,C1266,I1266),"")</f>
        <v/>
      </c>
      <c r="D1267" s="29" t="str">
        <f t="shared" ca="1" si="107"/>
        <v/>
      </c>
      <c r="E1267" s="29" t="str">
        <f t="shared" ca="1" si="108"/>
        <v/>
      </c>
      <c r="F1267" s="29" t="str">
        <f ca="1">IF(C1267&lt;&gt;"",IF(OR(VLOOKUP(C1267,$C$3:$L$6,5,0)=Variables!$B$5,B1267&gt;VLOOKUP(C1267,$C$3:$L$6,8,0)),-D1267*VLOOKUP(C1267,$C$3:$L$6,6,0)/12,0),"")</f>
        <v/>
      </c>
      <c r="G1267" s="29" t="str">
        <f ca="1">IF(I1267&lt;&gt;Variables!$B$1,IF(C1267&lt;&gt;"",$I$9-E1267-F1267,""),-D1267)</f>
        <v/>
      </c>
      <c r="H1267" s="29" t="str">
        <f t="shared" ca="1" si="111"/>
        <v/>
      </c>
      <c r="I1267" s="31" t="str">
        <f ca="1">IF(C1267&lt;&gt;"",IF(D1267+$I$9-E1267-F1267&gt;=0,IF(ISERROR(INDEX($C$3:$C$6,MATCH(C1267,$C$3:$C$6,0)+1,0)),Variables!$B$1,INDEX($C$3:$C$6,MATCH(C1267,$C$3:$C$6,0)+1,0)),""),"")</f>
        <v/>
      </c>
      <c r="J1267" s="29" t="str">
        <f ca="1">IF(ISERROR(VLOOKUP(I1267,$C$3:$L$6,5,0)),"",IF(OR(VLOOKUP(I1267,$C$3:$L$6,5,0)=Variables!$B$5,B1267&gt;VLOOKUP(I1267,$C$3:$L$6,8,0)),IF(VLOOKUP(I1267,$C$3:$L$6,5,0)=Variables!$B$5,((YEAR(B1267)-YEAR($B$12))*12+MONTH(B1267)-MONTH($B$12)),((YEAR(B1267)-YEAR(VLOOKUP(I1267,$C$3:$L$6,8,0)))*12+MONTH(B1267)-MONTH(VLOOKUP(I1267,$C$3:$L$6,8,0))))*(VLOOKUP(I1267,$C$3:$L$6,10,0)*VLOOKUP(I1267,$C$3:$L$6,6,0)/12),0))</f>
        <v/>
      </c>
      <c r="K1267" s="29" t="str">
        <f ca="1">IF(C1267&lt;&gt;"",IF(I1267&lt;&gt;"",IF(ISERROR(VLOOKUP(I1267,$C$3:$L$6,10,0)),"",VLOOKUP(I1267,$C$3:$L$6,10,0)+J1267+IF(OR(VLOOKUP(I1267,$C$3:$L$6,5,0)=Variables!$B$5,B1267&gt;VLOOKUP(I1267,$C$3:$L$6,8,0)),IF(VLOOKUP(I1267,$C$3:$L$6,5,0)=Variables!$B$5,((YEAR(B1267)-YEAR($B$12))*12+MONTH(B1267)-MONTH($B$12)),((YEAR(B1267)-YEAR(VLOOKUP(I1267,$C$3:$L$6,8,0)))*12+MONTH(B1267)-MONTH(VLOOKUP(I1267,$C$3:$L$6,8,0))))*VLOOKUP(I1267,$C$3:$L$6,7,0),0)),""),"")</f>
        <v/>
      </c>
      <c r="L1267" s="29" t="str">
        <f t="shared" ca="1" si="109"/>
        <v/>
      </c>
    </row>
    <row r="1268" spans="2:12" x14ac:dyDescent="0.25">
      <c r="B1268" s="14" t="str">
        <f t="shared" ca="1" si="110"/>
        <v/>
      </c>
      <c r="C1268" s="14" t="str">
        <f ca="1">IF(I1267&lt;&gt;Variables!$B$1,IF(H1267&lt;&gt;0,C1267,I1267),"")</f>
        <v/>
      </c>
      <c r="D1268" s="29" t="str">
        <f t="shared" ca="1" si="107"/>
        <v/>
      </c>
      <c r="E1268" s="29" t="str">
        <f t="shared" ca="1" si="108"/>
        <v/>
      </c>
      <c r="F1268" s="29" t="str">
        <f ca="1">IF(C1268&lt;&gt;"",IF(OR(VLOOKUP(C1268,$C$3:$L$6,5,0)=Variables!$B$5,B1268&gt;VLOOKUP(C1268,$C$3:$L$6,8,0)),-D1268*VLOOKUP(C1268,$C$3:$L$6,6,0)/12,0),"")</f>
        <v/>
      </c>
      <c r="G1268" s="29" t="str">
        <f ca="1">IF(I1268&lt;&gt;Variables!$B$1,IF(C1268&lt;&gt;"",$I$9-E1268-F1268,""),-D1268)</f>
        <v/>
      </c>
      <c r="H1268" s="29" t="str">
        <f t="shared" ca="1" si="111"/>
        <v/>
      </c>
      <c r="I1268" s="31" t="str">
        <f ca="1">IF(C1268&lt;&gt;"",IF(D1268+$I$9-E1268-F1268&gt;=0,IF(ISERROR(INDEX($C$3:$C$6,MATCH(C1268,$C$3:$C$6,0)+1,0)),Variables!$B$1,INDEX($C$3:$C$6,MATCH(C1268,$C$3:$C$6,0)+1,0)),""),"")</f>
        <v/>
      </c>
      <c r="J1268" s="29" t="str">
        <f ca="1">IF(ISERROR(VLOOKUP(I1268,$C$3:$L$6,5,0)),"",IF(OR(VLOOKUP(I1268,$C$3:$L$6,5,0)=Variables!$B$5,B1268&gt;VLOOKUP(I1268,$C$3:$L$6,8,0)),IF(VLOOKUP(I1268,$C$3:$L$6,5,0)=Variables!$B$5,((YEAR(B1268)-YEAR($B$12))*12+MONTH(B1268)-MONTH($B$12)),((YEAR(B1268)-YEAR(VLOOKUP(I1268,$C$3:$L$6,8,0)))*12+MONTH(B1268)-MONTH(VLOOKUP(I1268,$C$3:$L$6,8,0))))*(VLOOKUP(I1268,$C$3:$L$6,10,0)*VLOOKUP(I1268,$C$3:$L$6,6,0)/12),0))</f>
        <v/>
      </c>
      <c r="K1268" s="29" t="str">
        <f ca="1">IF(C1268&lt;&gt;"",IF(I1268&lt;&gt;"",IF(ISERROR(VLOOKUP(I1268,$C$3:$L$6,10,0)),"",VLOOKUP(I1268,$C$3:$L$6,10,0)+J1268+IF(OR(VLOOKUP(I1268,$C$3:$L$6,5,0)=Variables!$B$5,B1268&gt;VLOOKUP(I1268,$C$3:$L$6,8,0)),IF(VLOOKUP(I1268,$C$3:$L$6,5,0)=Variables!$B$5,((YEAR(B1268)-YEAR($B$12))*12+MONTH(B1268)-MONTH($B$12)),((YEAR(B1268)-YEAR(VLOOKUP(I1268,$C$3:$L$6,8,0)))*12+MONTH(B1268)-MONTH(VLOOKUP(I1268,$C$3:$L$6,8,0))))*VLOOKUP(I1268,$C$3:$L$6,7,0),0)),""),"")</f>
        <v/>
      </c>
      <c r="L1268" s="29" t="str">
        <f t="shared" ca="1" si="109"/>
        <v/>
      </c>
    </row>
    <row r="1269" spans="2:12" x14ac:dyDescent="0.25">
      <c r="B1269" s="14" t="str">
        <f t="shared" ca="1" si="110"/>
        <v/>
      </c>
      <c r="C1269" s="14" t="str">
        <f ca="1">IF(I1268&lt;&gt;Variables!$B$1,IF(H1268&lt;&gt;0,C1268,I1268),"")</f>
        <v/>
      </c>
      <c r="D1269" s="29" t="str">
        <f t="shared" ca="1" si="107"/>
        <v/>
      </c>
      <c r="E1269" s="29" t="str">
        <f t="shared" ca="1" si="108"/>
        <v/>
      </c>
      <c r="F1269" s="29" t="str">
        <f ca="1">IF(C1269&lt;&gt;"",IF(OR(VLOOKUP(C1269,$C$3:$L$6,5,0)=Variables!$B$5,B1269&gt;VLOOKUP(C1269,$C$3:$L$6,8,0)),-D1269*VLOOKUP(C1269,$C$3:$L$6,6,0)/12,0),"")</f>
        <v/>
      </c>
      <c r="G1269" s="29" t="str">
        <f ca="1">IF(I1269&lt;&gt;Variables!$B$1,IF(C1269&lt;&gt;"",$I$9-E1269-F1269,""),-D1269)</f>
        <v/>
      </c>
      <c r="H1269" s="29" t="str">
        <f t="shared" ca="1" si="111"/>
        <v/>
      </c>
      <c r="I1269" s="31" t="str">
        <f ca="1">IF(C1269&lt;&gt;"",IF(D1269+$I$9-E1269-F1269&gt;=0,IF(ISERROR(INDEX($C$3:$C$6,MATCH(C1269,$C$3:$C$6,0)+1,0)),Variables!$B$1,INDEX($C$3:$C$6,MATCH(C1269,$C$3:$C$6,0)+1,0)),""),"")</f>
        <v/>
      </c>
      <c r="J1269" s="29" t="str">
        <f ca="1">IF(ISERROR(VLOOKUP(I1269,$C$3:$L$6,5,0)),"",IF(OR(VLOOKUP(I1269,$C$3:$L$6,5,0)=Variables!$B$5,B1269&gt;VLOOKUP(I1269,$C$3:$L$6,8,0)),IF(VLOOKUP(I1269,$C$3:$L$6,5,0)=Variables!$B$5,((YEAR(B1269)-YEAR($B$12))*12+MONTH(B1269)-MONTH($B$12)),((YEAR(B1269)-YEAR(VLOOKUP(I1269,$C$3:$L$6,8,0)))*12+MONTH(B1269)-MONTH(VLOOKUP(I1269,$C$3:$L$6,8,0))))*(VLOOKUP(I1269,$C$3:$L$6,10,0)*VLOOKUP(I1269,$C$3:$L$6,6,0)/12),0))</f>
        <v/>
      </c>
      <c r="K1269" s="29" t="str">
        <f ca="1">IF(C1269&lt;&gt;"",IF(I1269&lt;&gt;"",IF(ISERROR(VLOOKUP(I1269,$C$3:$L$6,10,0)),"",VLOOKUP(I1269,$C$3:$L$6,10,0)+J1269+IF(OR(VLOOKUP(I1269,$C$3:$L$6,5,0)=Variables!$B$5,B1269&gt;VLOOKUP(I1269,$C$3:$L$6,8,0)),IF(VLOOKUP(I1269,$C$3:$L$6,5,0)=Variables!$B$5,((YEAR(B1269)-YEAR($B$12))*12+MONTH(B1269)-MONTH($B$12)),((YEAR(B1269)-YEAR(VLOOKUP(I1269,$C$3:$L$6,8,0)))*12+MONTH(B1269)-MONTH(VLOOKUP(I1269,$C$3:$L$6,8,0))))*VLOOKUP(I1269,$C$3:$L$6,7,0),0)),""),"")</f>
        <v/>
      </c>
      <c r="L1269" s="29" t="str">
        <f t="shared" ca="1" si="109"/>
        <v/>
      </c>
    </row>
    <row r="1270" spans="2:12" x14ac:dyDescent="0.25">
      <c r="B1270" s="14" t="str">
        <f t="shared" ca="1" si="110"/>
        <v/>
      </c>
      <c r="C1270" s="14" t="str">
        <f ca="1">IF(I1269&lt;&gt;Variables!$B$1,IF(H1269&lt;&gt;0,C1269,I1269),"")</f>
        <v/>
      </c>
      <c r="D1270" s="29" t="str">
        <f t="shared" ca="1" si="107"/>
        <v/>
      </c>
      <c r="E1270" s="29" t="str">
        <f t="shared" ca="1" si="108"/>
        <v/>
      </c>
      <c r="F1270" s="29" t="str">
        <f ca="1">IF(C1270&lt;&gt;"",IF(OR(VLOOKUP(C1270,$C$3:$L$6,5,0)=Variables!$B$5,B1270&gt;VLOOKUP(C1270,$C$3:$L$6,8,0)),-D1270*VLOOKUP(C1270,$C$3:$L$6,6,0)/12,0),"")</f>
        <v/>
      </c>
      <c r="G1270" s="29" t="str">
        <f ca="1">IF(I1270&lt;&gt;Variables!$B$1,IF(C1270&lt;&gt;"",$I$9-E1270-F1270,""),-D1270)</f>
        <v/>
      </c>
      <c r="H1270" s="29" t="str">
        <f t="shared" ca="1" si="111"/>
        <v/>
      </c>
      <c r="I1270" s="31" t="str">
        <f ca="1">IF(C1270&lt;&gt;"",IF(D1270+$I$9-E1270-F1270&gt;=0,IF(ISERROR(INDEX($C$3:$C$6,MATCH(C1270,$C$3:$C$6,0)+1,0)),Variables!$B$1,INDEX($C$3:$C$6,MATCH(C1270,$C$3:$C$6,0)+1,0)),""),"")</f>
        <v/>
      </c>
      <c r="J1270" s="29" t="str">
        <f ca="1">IF(ISERROR(VLOOKUP(I1270,$C$3:$L$6,5,0)),"",IF(OR(VLOOKUP(I1270,$C$3:$L$6,5,0)=Variables!$B$5,B1270&gt;VLOOKUP(I1270,$C$3:$L$6,8,0)),IF(VLOOKUP(I1270,$C$3:$L$6,5,0)=Variables!$B$5,((YEAR(B1270)-YEAR($B$12))*12+MONTH(B1270)-MONTH($B$12)),((YEAR(B1270)-YEAR(VLOOKUP(I1270,$C$3:$L$6,8,0)))*12+MONTH(B1270)-MONTH(VLOOKUP(I1270,$C$3:$L$6,8,0))))*(VLOOKUP(I1270,$C$3:$L$6,10,0)*VLOOKUP(I1270,$C$3:$L$6,6,0)/12),0))</f>
        <v/>
      </c>
      <c r="K1270" s="29" t="str">
        <f ca="1">IF(C1270&lt;&gt;"",IF(I1270&lt;&gt;"",IF(ISERROR(VLOOKUP(I1270,$C$3:$L$6,10,0)),"",VLOOKUP(I1270,$C$3:$L$6,10,0)+J1270+IF(OR(VLOOKUP(I1270,$C$3:$L$6,5,0)=Variables!$B$5,B1270&gt;VLOOKUP(I1270,$C$3:$L$6,8,0)),IF(VLOOKUP(I1270,$C$3:$L$6,5,0)=Variables!$B$5,((YEAR(B1270)-YEAR($B$12))*12+MONTH(B1270)-MONTH($B$12)),((YEAR(B1270)-YEAR(VLOOKUP(I1270,$C$3:$L$6,8,0)))*12+MONTH(B1270)-MONTH(VLOOKUP(I1270,$C$3:$L$6,8,0))))*VLOOKUP(I1270,$C$3:$L$6,7,0),0)),""),"")</f>
        <v/>
      </c>
      <c r="L1270" s="29" t="str">
        <f t="shared" ca="1" si="109"/>
        <v/>
      </c>
    </row>
    <row r="1271" spans="2:12" x14ac:dyDescent="0.25">
      <c r="B1271" s="14" t="str">
        <f t="shared" ca="1" si="110"/>
        <v/>
      </c>
      <c r="C1271" s="14" t="str">
        <f ca="1">IF(I1270&lt;&gt;Variables!$B$1,IF(H1270&lt;&gt;0,C1270,I1270),"")</f>
        <v/>
      </c>
      <c r="D1271" s="29" t="str">
        <f t="shared" ca="1" si="107"/>
        <v/>
      </c>
      <c r="E1271" s="29" t="str">
        <f t="shared" ca="1" si="108"/>
        <v/>
      </c>
      <c r="F1271" s="29" t="str">
        <f ca="1">IF(C1271&lt;&gt;"",IF(OR(VLOOKUP(C1271,$C$3:$L$6,5,0)=Variables!$B$5,B1271&gt;VLOOKUP(C1271,$C$3:$L$6,8,0)),-D1271*VLOOKUP(C1271,$C$3:$L$6,6,0)/12,0),"")</f>
        <v/>
      </c>
      <c r="G1271" s="29" t="str">
        <f ca="1">IF(I1271&lt;&gt;Variables!$B$1,IF(C1271&lt;&gt;"",$I$9-E1271-F1271,""),-D1271)</f>
        <v/>
      </c>
      <c r="H1271" s="29" t="str">
        <f t="shared" ca="1" si="111"/>
        <v/>
      </c>
      <c r="I1271" s="31" t="str">
        <f ca="1">IF(C1271&lt;&gt;"",IF(D1271+$I$9-E1271-F1271&gt;=0,IF(ISERROR(INDEX($C$3:$C$6,MATCH(C1271,$C$3:$C$6,0)+1,0)),Variables!$B$1,INDEX($C$3:$C$6,MATCH(C1271,$C$3:$C$6,0)+1,0)),""),"")</f>
        <v/>
      </c>
      <c r="J1271" s="29" t="str">
        <f ca="1">IF(ISERROR(VLOOKUP(I1271,$C$3:$L$6,5,0)),"",IF(OR(VLOOKUP(I1271,$C$3:$L$6,5,0)=Variables!$B$5,B1271&gt;VLOOKUP(I1271,$C$3:$L$6,8,0)),IF(VLOOKUP(I1271,$C$3:$L$6,5,0)=Variables!$B$5,((YEAR(B1271)-YEAR($B$12))*12+MONTH(B1271)-MONTH($B$12)),((YEAR(B1271)-YEAR(VLOOKUP(I1271,$C$3:$L$6,8,0)))*12+MONTH(B1271)-MONTH(VLOOKUP(I1271,$C$3:$L$6,8,0))))*(VLOOKUP(I1271,$C$3:$L$6,10,0)*VLOOKUP(I1271,$C$3:$L$6,6,0)/12),0))</f>
        <v/>
      </c>
      <c r="K1271" s="29" t="str">
        <f ca="1">IF(C1271&lt;&gt;"",IF(I1271&lt;&gt;"",IF(ISERROR(VLOOKUP(I1271,$C$3:$L$6,10,0)),"",VLOOKUP(I1271,$C$3:$L$6,10,0)+J1271+IF(OR(VLOOKUP(I1271,$C$3:$L$6,5,0)=Variables!$B$5,B1271&gt;VLOOKUP(I1271,$C$3:$L$6,8,0)),IF(VLOOKUP(I1271,$C$3:$L$6,5,0)=Variables!$B$5,((YEAR(B1271)-YEAR($B$12))*12+MONTH(B1271)-MONTH($B$12)),((YEAR(B1271)-YEAR(VLOOKUP(I1271,$C$3:$L$6,8,0)))*12+MONTH(B1271)-MONTH(VLOOKUP(I1271,$C$3:$L$6,8,0))))*VLOOKUP(I1271,$C$3:$L$6,7,0),0)),""),"")</f>
        <v/>
      </c>
      <c r="L1271" s="29" t="str">
        <f t="shared" ca="1" si="109"/>
        <v/>
      </c>
    </row>
    <row r="1272" spans="2:12" x14ac:dyDescent="0.25">
      <c r="B1272" s="14" t="str">
        <f t="shared" ca="1" si="110"/>
        <v/>
      </c>
      <c r="C1272" s="14" t="str">
        <f ca="1">IF(I1271&lt;&gt;Variables!$B$1,IF(H1271&lt;&gt;0,C1271,I1271),"")</f>
        <v/>
      </c>
      <c r="D1272" s="29" t="str">
        <f t="shared" ca="1" si="107"/>
        <v/>
      </c>
      <c r="E1272" s="29" t="str">
        <f t="shared" ca="1" si="108"/>
        <v/>
      </c>
      <c r="F1272" s="29" t="str">
        <f ca="1">IF(C1272&lt;&gt;"",IF(OR(VLOOKUP(C1272,$C$3:$L$6,5,0)=Variables!$B$5,B1272&gt;VLOOKUP(C1272,$C$3:$L$6,8,0)),-D1272*VLOOKUP(C1272,$C$3:$L$6,6,0)/12,0),"")</f>
        <v/>
      </c>
      <c r="G1272" s="29" t="str">
        <f ca="1">IF(I1272&lt;&gt;Variables!$B$1,IF(C1272&lt;&gt;"",$I$9-E1272-F1272,""),-D1272)</f>
        <v/>
      </c>
      <c r="H1272" s="29" t="str">
        <f t="shared" ca="1" si="111"/>
        <v/>
      </c>
      <c r="I1272" s="31" t="str">
        <f ca="1">IF(C1272&lt;&gt;"",IF(D1272+$I$9-E1272-F1272&gt;=0,IF(ISERROR(INDEX($C$3:$C$6,MATCH(C1272,$C$3:$C$6,0)+1,0)),Variables!$B$1,INDEX($C$3:$C$6,MATCH(C1272,$C$3:$C$6,0)+1,0)),""),"")</f>
        <v/>
      </c>
      <c r="J1272" s="29" t="str">
        <f ca="1">IF(ISERROR(VLOOKUP(I1272,$C$3:$L$6,5,0)),"",IF(OR(VLOOKUP(I1272,$C$3:$L$6,5,0)=Variables!$B$5,B1272&gt;VLOOKUP(I1272,$C$3:$L$6,8,0)),IF(VLOOKUP(I1272,$C$3:$L$6,5,0)=Variables!$B$5,((YEAR(B1272)-YEAR($B$12))*12+MONTH(B1272)-MONTH($B$12)),((YEAR(B1272)-YEAR(VLOOKUP(I1272,$C$3:$L$6,8,0)))*12+MONTH(B1272)-MONTH(VLOOKUP(I1272,$C$3:$L$6,8,0))))*(VLOOKUP(I1272,$C$3:$L$6,10,0)*VLOOKUP(I1272,$C$3:$L$6,6,0)/12),0))</f>
        <v/>
      </c>
      <c r="K1272" s="29" t="str">
        <f ca="1">IF(C1272&lt;&gt;"",IF(I1272&lt;&gt;"",IF(ISERROR(VLOOKUP(I1272,$C$3:$L$6,10,0)),"",VLOOKUP(I1272,$C$3:$L$6,10,0)+J1272+IF(OR(VLOOKUP(I1272,$C$3:$L$6,5,0)=Variables!$B$5,B1272&gt;VLOOKUP(I1272,$C$3:$L$6,8,0)),IF(VLOOKUP(I1272,$C$3:$L$6,5,0)=Variables!$B$5,((YEAR(B1272)-YEAR($B$12))*12+MONTH(B1272)-MONTH($B$12)),((YEAR(B1272)-YEAR(VLOOKUP(I1272,$C$3:$L$6,8,0)))*12+MONTH(B1272)-MONTH(VLOOKUP(I1272,$C$3:$L$6,8,0))))*VLOOKUP(I1272,$C$3:$L$6,7,0),0)),""),"")</f>
        <v/>
      </c>
      <c r="L1272" s="29" t="str">
        <f t="shared" ca="1" si="109"/>
        <v/>
      </c>
    </row>
    <row r="1273" spans="2:12" x14ac:dyDescent="0.25">
      <c r="B1273" s="14" t="str">
        <f t="shared" ca="1" si="110"/>
        <v/>
      </c>
      <c r="C1273" s="14" t="str">
        <f ca="1">IF(I1272&lt;&gt;Variables!$B$1,IF(H1272&lt;&gt;0,C1272,I1272),"")</f>
        <v/>
      </c>
      <c r="D1273" s="29" t="str">
        <f t="shared" ca="1" si="107"/>
        <v/>
      </c>
      <c r="E1273" s="29" t="str">
        <f t="shared" ca="1" si="108"/>
        <v/>
      </c>
      <c r="F1273" s="29" t="str">
        <f ca="1">IF(C1273&lt;&gt;"",IF(OR(VLOOKUP(C1273,$C$3:$L$6,5,0)=Variables!$B$5,B1273&gt;VLOOKUP(C1273,$C$3:$L$6,8,0)),-D1273*VLOOKUP(C1273,$C$3:$L$6,6,0)/12,0),"")</f>
        <v/>
      </c>
      <c r="G1273" s="29" t="str">
        <f ca="1">IF(I1273&lt;&gt;Variables!$B$1,IF(C1273&lt;&gt;"",$I$9-E1273-F1273,""),-D1273)</f>
        <v/>
      </c>
      <c r="H1273" s="29" t="str">
        <f t="shared" ca="1" si="111"/>
        <v/>
      </c>
      <c r="I1273" s="31" t="str">
        <f ca="1">IF(C1273&lt;&gt;"",IF(D1273+$I$9-E1273-F1273&gt;=0,IF(ISERROR(INDEX($C$3:$C$6,MATCH(C1273,$C$3:$C$6,0)+1,0)),Variables!$B$1,INDEX($C$3:$C$6,MATCH(C1273,$C$3:$C$6,0)+1,0)),""),"")</f>
        <v/>
      </c>
      <c r="J1273" s="29" t="str">
        <f ca="1">IF(ISERROR(VLOOKUP(I1273,$C$3:$L$6,5,0)),"",IF(OR(VLOOKUP(I1273,$C$3:$L$6,5,0)=Variables!$B$5,B1273&gt;VLOOKUP(I1273,$C$3:$L$6,8,0)),IF(VLOOKUP(I1273,$C$3:$L$6,5,0)=Variables!$B$5,((YEAR(B1273)-YEAR($B$12))*12+MONTH(B1273)-MONTH($B$12)),((YEAR(B1273)-YEAR(VLOOKUP(I1273,$C$3:$L$6,8,0)))*12+MONTH(B1273)-MONTH(VLOOKUP(I1273,$C$3:$L$6,8,0))))*(VLOOKUP(I1273,$C$3:$L$6,10,0)*VLOOKUP(I1273,$C$3:$L$6,6,0)/12),0))</f>
        <v/>
      </c>
      <c r="K1273" s="29" t="str">
        <f ca="1">IF(C1273&lt;&gt;"",IF(I1273&lt;&gt;"",IF(ISERROR(VLOOKUP(I1273,$C$3:$L$6,10,0)),"",VLOOKUP(I1273,$C$3:$L$6,10,0)+J1273+IF(OR(VLOOKUP(I1273,$C$3:$L$6,5,0)=Variables!$B$5,B1273&gt;VLOOKUP(I1273,$C$3:$L$6,8,0)),IF(VLOOKUP(I1273,$C$3:$L$6,5,0)=Variables!$B$5,((YEAR(B1273)-YEAR($B$12))*12+MONTH(B1273)-MONTH($B$12)),((YEAR(B1273)-YEAR(VLOOKUP(I1273,$C$3:$L$6,8,0)))*12+MONTH(B1273)-MONTH(VLOOKUP(I1273,$C$3:$L$6,8,0))))*VLOOKUP(I1273,$C$3:$L$6,7,0),0)),""),"")</f>
        <v/>
      </c>
      <c r="L1273" s="29" t="str">
        <f t="shared" ca="1" si="109"/>
        <v/>
      </c>
    </row>
    <row r="1274" spans="2:12" x14ac:dyDescent="0.25">
      <c r="B1274" s="14" t="str">
        <f t="shared" ca="1" si="110"/>
        <v/>
      </c>
      <c r="C1274" s="14" t="str">
        <f ca="1">IF(I1273&lt;&gt;Variables!$B$1,IF(H1273&lt;&gt;0,C1273,I1273),"")</f>
        <v/>
      </c>
      <c r="D1274" s="29" t="str">
        <f t="shared" ca="1" si="107"/>
        <v/>
      </c>
      <c r="E1274" s="29" t="str">
        <f t="shared" ca="1" si="108"/>
        <v/>
      </c>
      <c r="F1274" s="29" t="str">
        <f ca="1">IF(C1274&lt;&gt;"",IF(OR(VLOOKUP(C1274,$C$3:$L$6,5,0)=Variables!$B$5,B1274&gt;VLOOKUP(C1274,$C$3:$L$6,8,0)),-D1274*VLOOKUP(C1274,$C$3:$L$6,6,0)/12,0),"")</f>
        <v/>
      </c>
      <c r="G1274" s="29" t="str">
        <f ca="1">IF(I1274&lt;&gt;Variables!$B$1,IF(C1274&lt;&gt;"",$I$9-E1274-F1274,""),-D1274)</f>
        <v/>
      </c>
      <c r="H1274" s="29" t="str">
        <f t="shared" ca="1" si="111"/>
        <v/>
      </c>
      <c r="I1274" s="31" t="str">
        <f ca="1">IF(C1274&lt;&gt;"",IF(D1274+$I$9-E1274-F1274&gt;=0,IF(ISERROR(INDEX($C$3:$C$6,MATCH(C1274,$C$3:$C$6,0)+1,0)),Variables!$B$1,INDEX($C$3:$C$6,MATCH(C1274,$C$3:$C$6,0)+1,0)),""),"")</f>
        <v/>
      </c>
      <c r="J1274" s="29" t="str">
        <f ca="1">IF(ISERROR(VLOOKUP(I1274,$C$3:$L$6,5,0)),"",IF(OR(VLOOKUP(I1274,$C$3:$L$6,5,0)=Variables!$B$5,B1274&gt;VLOOKUP(I1274,$C$3:$L$6,8,0)),IF(VLOOKUP(I1274,$C$3:$L$6,5,0)=Variables!$B$5,((YEAR(B1274)-YEAR($B$12))*12+MONTH(B1274)-MONTH($B$12)),((YEAR(B1274)-YEAR(VLOOKUP(I1274,$C$3:$L$6,8,0)))*12+MONTH(B1274)-MONTH(VLOOKUP(I1274,$C$3:$L$6,8,0))))*(VLOOKUP(I1274,$C$3:$L$6,10,0)*VLOOKUP(I1274,$C$3:$L$6,6,0)/12),0))</f>
        <v/>
      </c>
      <c r="K1274" s="29" t="str">
        <f ca="1">IF(C1274&lt;&gt;"",IF(I1274&lt;&gt;"",IF(ISERROR(VLOOKUP(I1274,$C$3:$L$6,10,0)),"",VLOOKUP(I1274,$C$3:$L$6,10,0)+J1274+IF(OR(VLOOKUP(I1274,$C$3:$L$6,5,0)=Variables!$B$5,B1274&gt;VLOOKUP(I1274,$C$3:$L$6,8,0)),IF(VLOOKUP(I1274,$C$3:$L$6,5,0)=Variables!$B$5,((YEAR(B1274)-YEAR($B$12))*12+MONTH(B1274)-MONTH($B$12)),((YEAR(B1274)-YEAR(VLOOKUP(I1274,$C$3:$L$6,8,0)))*12+MONTH(B1274)-MONTH(VLOOKUP(I1274,$C$3:$L$6,8,0))))*VLOOKUP(I1274,$C$3:$L$6,7,0),0)),""),"")</f>
        <v/>
      </c>
      <c r="L1274" s="29" t="str">
        <f t="shared" ca="1" si="109"/>
        <v/>
      </c>
    </row>
    <row r="1275" spans="2:12" x14ac:dyDescent="0.25">
      <c r="B1275" s="14" t="str">
        <f t="shared" ca="1" si="110"/>
        <v/>
      </c>
      <c r="C1275" s="14" t="str">
        <f ca="1">IF(I1274&lt;&gt;Variables!$B$1,IF(H1274&lt;&gt;0,C1274,I1274),"")</f>
        <v/>
      </c>
      <c r="D1275" s="29" t="str">
        <f t="shared" ca="1" si="107"/>
        <v/>
      </c>
      <c r="E1275" s="29" t="str">
        <f t="shared" ca="1" si="108"/>
        <v/>
      </c>
      <c r="F1275" s="29" t="str">
        <f ca="1">IF(C1275&lt;&gt;"",IF(OR(VLOOKUP(C1275,$C$3:$L$6,5,0)=Variables!$B$5,B1275&gt;VLOOKUP(C1275,$C$3:$L$6,8,0)),-D1275*VLOOKUP(C1275,$C$3:$L$6,6,0)/12,0),"")</f>
        <v/>
      </c>
      <c r="G1275" s="29" t="str">
        <f ca="1">IF(I1275&lt;&gt;Variables!$B$1,IF(C1275&lt;&gt;"",$I$9-E1275-F1275,""),-D1275)</f>
        <v/>
      </c>
      <c r="H1275" s="29" t="str">
        <f t="shared" ca="1" si="111"/>
        <v/>
      </c>
      <c r="I1275" s="31" t="str">
        <f ca="1">IF(C1275&lt;&gt;"",IF(D1275+$I$9-E1275-F1275&gt;=0,IF(ISERROR(INDEX($C$3:$C$6,MATCH(C1275,$C$3:$C$6,0)+1,0)),Variables!$B$1,INDEX($C$3:$C$6,MATCH(C1275,$C$3:$C$6,0)+1,0)),""),"")</f>
        <v/>
      </c>
      <c r="J1275" s="29" t="str">
        <f ca="1">IF(ISERROR(VLOOKUP(I1275,$C$3:$L$6,5,0)),"",IF(OR(VLOOKUP(I1275,$C$3:$L$6,5,0)=Variables!$B$5,B1275&gt;VLOOKUP(I1275,$C$3:$L$6,8,0)),IF(VLOOKUP(I1275,$C$3:$L$6,5,0)=Variables!$B$5,((YEAR(B1275)-YEAR($B$12))*12+MONTH(B1275)-MONTH($B$12)),((YEAR(B1275)-YEAR(VLOOKUP(I1275,$C$3:$L$6,8,0)))*12+MONTH(B1275)-MONTH(VLOOKUP(I1275,$C$3:$L$6,8,0))))*(VLOOKUP(I1275,$C$3:$L$6,10,0)*VLOOKUP(I1275,$C$3:$L$6,6,0)/12),0))</f>
        <v/>
      </c>
      <c r="K1275" s="29" t="str">
        <f ca="1">IF(C1275&lt;&gt;"",IF(I1275&lt;&gt;"",IF(ISERROR(VLOOKUP(I1275,$C$3:$L$6,10,0)),"",VLOOKUP(I1275,$C$3:$L$6,10,0)+J1275+IF(OR(VLOOKUP(I1275,$C$3:$L$6,5,0)=Variables!$B$5,B1275&gt;VLOOKUP(I1275,$C$3:$L$6,8,0)),IF(VLOOKUP(I1275,$C$3:$L$6,5,0)=Variables!$B$5,((YEAR(B1275)-YEAR($B$12))*12+MONTH(B1275)-MONTH($B$12)),((YEAR(B1275)-YEAR(VLOOKUP(I1275,$C$3:$L$6,8,0)))*12+MONTH(B1275)-MONTH(VLOOKUP(I1275,$C$3:$L$6,8,0))))*VLOOKUP(I1275,$C$3:$L$6,7,0),0)),""),"")</f>
        <v/>
      </c>
      <c r="L1275" s="29" t="str">
        <f t="shared" ca="1" si="109"/>
        <v/>
      </c>
    </row>
    <row r="1276" spans="2:12" x14ac:dyDescent="0.25">
      <c r="B1276" s="14" t="str">
        <f t="shared" ca="1" si="110"/>
        <v/>
      </c>
      <c r="C1276" s="14" t="str">
        <f ca="1">IF(I1275&lt;&gt;Variables!$B$1,IF(H1275&lt;&gt;0,C1275,I1275),"")</f>
        <v/>
      </c>
      <c r="D1276" s="29" t="str">
        <f t="shared" ca="1" si="107"/>
        <v/>
      </c>
      <c r="E1276" s="29" t="str">
        <f t="shared" ca="1" si="108"/>
        <v/>
      </c>
      <c r="F1276" s="29" t="str">
        <f ca="1">IF(C1276&lt;&gt;"",IF(OR(VLOOKUP(C1276,$C$3:$L$6,5,0)=Variables!$B$5,B1276&gt;VLOOKUP(C1276,$C$3:$L$6,8,0)),-D1276*VLOOKUP(C1276,$C$3:$L$6,6,0)/12,0),"")</f>
        <v/>
      </c>
      <c r="G1276" s="29" t="str">
        <f ca="1">IF(I1276&lt;&gt;Variables!$B$1,IF(C1276&lt;&gt;"",$I$9-E1276-F1276,""),-D1276)</f>
        <v/>
      </c>
      <c r="H1276" s="29" t="str">
        <f t="shared" ca="1" si="111"/>
        <v/>
      </c>
      <c r="I1276" s="31" t="str">
        <f ca="1">IF(C1276&lt;&gt;"",IF(D1276+$I$9-E1276-F1276&gt;=0,IF(ISERROR(INDEX($C$3:$C$6,MATCH(C1276,$C$3:$C$6,0)+1,0)),Variables!$B$1,INDEX($C$3:$C$6,MATCH(C1276,$C$3:$C$6,0)+1,0)),""),"")</f>
        <v/>
      </c>
      <c r="J1276" s="29" t="str">
        <f ca="1">IF(ISERROR(VLOOKUP(I1276,$C$3:$L$6,5,0)),"",IF(OR(VLOOKUP(I1276,$C$3:$L$6,5,0)=Variables!$B$5,B1276&gt;VLOOKUP(I1276,$C$3:$L$6,8,0)),IF(VLOOKUP(I1276,$C$3:$L$6,5,0)=Variables!$B$5,((YEAR(B1276)-YEAR($B$12))*12+MONTH(B1276)-MONTH($B$12)),((YEAR(B1276)-YEAR(VLOOKUP(I1276,$C$3:$L$6,8,0)))*12+MONTH(B1276)-MONTH(VLOOKUP(I1276,$C$3:$L$6,8,0))))*(VLOOKUP(I1276,$C$3:$L$6,10,0)*VLOOKUP(I1276,$C$3:$L$6,6,0)/12),0))</f>
        <v/>
      </c>
      <c r="K1276" s="29" t="str">
        <f ca="1">IF(C1276&lt;&gt;"",IF(I1276&lt;&gt;"",IF(ISERROR(VLOOKUP(I1276,$C$3:$L$6,10,0)),"",VLOOKUP(I1276,$C$3:$L$6,10,0)+J1276+IF(OR(VLOOKUP(I1276,$C$3:$L$6,5,0)=Variables!$B$5,B1276&gt;VLOOKUP(I1276,$C$3:$L$6,8,0)),IF(VLOOKUP(I1276,$C$3:$L$6,5,0)=Variables!$B$5,((YEAR(B1276)-YEAR($B$12))*12+MONTH(B1276)-MONTH($B$12)),((YEAR(B1276)-YEAR(VLOOKUP(I1276,$C$3:$L$6,8,0)))*12+MONTH(B1276)-MONTH(VLOOKUP(I1276,$C$3:$L$6,8,0))))*VLOOKUP(I1276,$C$3:$L$6,7,0),0)),""),"")</f>
        <v/>
      </c>
      <c r="L1276" s="29" t="str">
        <f t="shared" ca="1" si="109"/>
        <v/>
      </c>
    </row>
    <row r="1277" spans="2:12" x14ac:dyDescent="0.25">
      <c r="B1277" s="14" t="str">
        <f t="shared" ca="1" si="110"/>
        <v/>
      </c>
      <c r="C1277" s="14" t="str">
        <f ca="1">IF(I1276&lt;&gt;Variables!$B$1,IF(H1276&lt;&gt;0,C1276,I1276),"")</f>
        <v/>
      </c>
      <c r="D1277" s="29" t="str">
        <f t="shared" ca="1" si="107"/>
        <v/>
      </c>
      <c r="E1277" s="29" t="str">
        <f t="shared" ca="1" si="108"/>
        <v/>
      </c>
      <c r="F1277" s="29" t="str">
        <f ca="1">IF(C1277&lt;&gt;"",IF(OR(VLOOKUP(C1277,$C$3:$L$6,5,0)=Variables!$B$5,B1277&gt;VLOOKUP(C1277,$C$3:$L$6,8,0)),-D1277*VLOOKUP(C1277,$C$3:$L$6,6,0)/12,0),"")</f>
        <v/>
      </c>
      <c r="G1277" s="29" t="str">
        <f ca="1">IF(I1277&lt;&gt;Variables!$B$1,IF(C1277&lt;&gt;"",$I$9-E1277-F1277,""),-D1277)</f>
        <v/>
      </c>
      <c r="H1277" s="29" t="str">
        <f t="shared" ca="1" si="111"/>
        <v/>
      </c>
      <c r="I1277" s="31" t="str">
        <f ca="1">IF(C1277&lt;&gt;"",IF(D1277+$I$9-E1277-F1277&gt;=0,IF(ISERROR(INDEX($C$3:$C$6,MATCH(C1277,$C$3:$C$6,0)+1,0)),Variables!$B$1,INDEX($C$3:$C$6,MATCH(C1277,$C$3:$C$6,0)+1,0)),""),"")</f>
        <v/>
      </c>
      <c r="J1277" s="29" t="str">
        <f ca="1">IF(ISERROR(VLOOKUP(I1277,$C$3:$L$6,5,0)),"",IF(OR(VLOOKUP(I1277,$C$3:$L$6,5,0)=Variables!$B$5,B1277&gt;VLOOKUP(I1277,$C$3:$L$6,8,0)),IF(VLOOKUP(I1277,$C$3:$L$6,5,0)=Variables!$B$5,((YEAR(B1277)-YEAR($B$12))*12+MONTH(B1277)-MONTH($B$12)),((YEAR(B1277)-YEAR(VLOOKUP(I1277,$C$3:$L$6,8,0)))*12+MONTH(B1277)-MONTH(VLOOKUP(I1277,$C$3:$L$6,8,0))))*(VLOOKUP(I1277,$C$3:$L$6,10,0)*VLOOKUP(I1277,$C$3:$L$6,6,0)/12),0))</f>
        <v/>
      </c>
      <c r="K1277" s="29" t="str">
        <f ca="1">IF(C1277&lt;&gt;"",IF(I1277&lt;&gt;"",IF(ISERROR(VLOOKUP(I1277,$C$3:$L$6,10,0)),"",VLOOKUP(I1277,$C$3:$L$6,10,0)+J1277+IF(OR(VLOOKUP(I1277,$C$3:$L$6,5,0)=Variables!$B$5,B1277&gt;VLOOKUP(I1277,$C$3:$L$6,8,0)),IF(VLOOKUP(I1277,$C$3:$L$6,5,0)=Variables!$B$5,((YEAR(B1277)-YEAR($B$12))*12+MONTH(B1277)-MONTH($B$12)),((YEAR(B1277)-YEAR(VLOOKUP(I1277,$C$3:$L$6,8,0)))*12+MONTH(B1277)-MONTH(VLOOKUP(I1277,$C$3:$L$6,8,0))))*VLOOKUP(I1277,$C$3:$L$6,7,0),0)),""),"")</f>
        <v/>
      </c>
      <c r="L1277" s="29" t="str">
        <f t="shared" ca="1" si="109"/>
        <v/>
      </c>
    </row>
    <row r="1278" spans="2:12" x14ac:dyDescent="0.25">
      <c r="B1278" s="14" t="str">
        <f t="shared" ca="1" si="110"/>
        <v/>
      </c>
      <c r="C1278" s="14" t="str">
        <f ca="1">IF(I1277&lt;&gt;Variables!$B$1,IF(H1277&lt;&gt;0,C1277,I1277),"")</f>
        <v/>
      </c>
      <c r="D1278" s="29" t="str">
        <f t="shared" ca="1" si="107"/>
        <v/>
      </c>
      <c r="E1278" s="29" t="str">
        <f t="shared" ca="1" si="108"/>
        <v/>
      </c>
      <c r="F1278" s="29" t="str">
        <f ca="1">IF(C1278&lt;&gt;"",IF(OR(VLOOKUP(C1278,$C$3:$L$6,5,0)=Variables!$B$5,B1278&gt;VLOOKUP(C1278,$C$3:$L$6,8,0)),-D1278*VLOOKUP(C1278,$C$3:$L$6,6,0)/12,0),"")</f>
        <v/>
      </c>
      <c r="G1278" s="29" t="str">
        <f ca="1">IF(I1278&lt;&gt;Variables!$B$1,IF(C1278&lt;&gt;"",$I$9-E1278-F1278,""),-D1278)</f>
        <v/>
      </c>
      <c r="H1278" s="29" t="str">
        <f t="shared" ca="1" si="111"/>
        <v/>
      </c>
      <c r="I1278" s="31" t="str">
        <f ca="1">IF(C1278&lt;&gt;"",IF(D1278+$I$9-E1278-F1278&gt;=0,IF(ISERROR(INDEX($C$3:$C$6,MATCH(C1278,$C$3:$C$6,0)+1,0)),Variables!$B$1,INDEX($C$3:$C$6,MATCH(C1278,$C$3:$C$6,0)+1,0)),""),"")</f>
        <v/>
      </c>
      <c r="J1278" s="29" t="str">
        <f ca="1">IF(ISERROR(VLOOKUP(I1278,$C$3:$L$6,5,0)),"",IF(OR(VLOOKUP(I1278,$C$3:$L$6,5,0)=Variables!$B$5,B1278&gt;VLOOKUP(I1278,$C$3:$L$6,8,0)),IF(VLOOKUP(I1278,$C$3:$L$6,5,0)=Variables!$B$5,((YEAR(B1278)-YEAR($B$12))*12+MONTH(B1278)-MONTH($B$12)),((YEAR(B1278)-YEAR(VLOOKUP(I1278,$C$3:$L$6,8,0)))*12+MONTH(B1278)-MONTH(VLOOKUP(I1278,$C$3:$L$6,8,0))))*(VLOOKUP(I1278,$C$3:$L$6,10,0)*VLOOKUP(I1278,$C$3:$L$6,6,0)/12),0))</f>
        <v/>
      </c>
      <c r="K1278" s="29" t="str">
        <f ca="1">IF(C1278&lt;&gt;"",IF(I1278&lt;&gt;"",IF(ISERROR(VLOOKUP(I1278,$C$3:$L$6,10,0)),"",VLOOKUP(I1278,$C$3:$L$6,10,0)+J1278+IF(OR(VLOOKUP(I1278,$C$3:$L$6,5,0)=Variables!$B$5,B1278&gt;VLOOKUP(I1278,$C$3:$L$6,8,0)),IF(VLOOKUP(I1278,$C$3:$L$6,5,0)=Variables!$B$5,((YEAR(B1278)-YEAR($B$12))*12+MONTH(B1278)-MONTH($B$12)),((YEAR(B1278)-YEAR(VLOOKUP(I1278,$C$3:$L$6,8,0)))*12+MONTH(B1278)-MONTH(VLOOKUP(I1278,$C$3:$L$6,8,0))))*VLOOKUP(I1278,$C$3:$L$6,7,0),0)),""),"")</f>
        <v/>
      </c>
      <c r="L1278" s="29" t="str">
        <f t="shared" ca="1" si="109"/>
        <v/>
      </c>
    </row>
    <row r="1279" spans="2:12" x14ac:dyDescent="0.25">
      <c r="B1279" s="14" t="str">
        <f t="shared" ca="1" si="110"/>
        <v/>
      </c>
      <c r="C1279" s="14" t="str">
        <f ca="1">IF(I1278&lt;&gt;Variables!$B$1,IF(H1278&lt;&gt;0,C1278,I1278),"")</f>
        <v/>
      </c>
      <c r="D1279" s="29" t="str">
        <f t="shared" ca="1" si="107"/>
        <v/>
      </c>
      <c r="E1279" s="29" t="str">
        <f t="shared" ca="1" si="108"/>
        <v/>
      </c>
      <c r="F1279" s="29" t="str">
        <f ca="1">IF(C1279&lt;&gt;"",IF(OR(VLOOKUP(C1279,$C$3:$L$6,5,0)=Variables!$B$5,B1279&gt;VLOOKUP(C1279,$C$3:$L$6,8,0)),-D1279*VLOOKUP(C1279,$C$3:$L$6,6,0)/12,0),"")</f>
        <v/>
      </c>
      <c r="G1279" s="29" t="str">
        <f ca="1">IF(I1279&lt;&gt;Variables!$B$1,IF(C1279&lt;&gt;"",$I$9-E1279-F1279,""),-D1279)</f>
        <v/>
      </c>
      <c r="H1279" s="29" t="str">
        <f t="shared" ca="1" si="111"/>
        <v/>
      </c>
      <c r="I1279" s="31" t="str">
        <f ca="1">IF(C1279&lt;&gt;"",IF(D1279+$I$9-E1279-F1279&gt;=0,IF(ISERROR(INDEX($C$3:$C$6,MATCH(C1279,$C$3:$C$6,0)+1,0)),Variables!$B$1,INDEX($C$3:$C$6,MATCH(C1279,$C$3:$C$6,0)+1,0)),""),"")</f>
        <v/>
      </c>
      <c r="J1279" s="29" t="str">
        <f ca="1">IF(ISERROR(VLOOKUP(I1279,$C$3:$L$6,5,0)),"",IF(OR(VLOOKUP(I1279,$C$3:$L$6,5,0)=Variables!$B$5,B1279&gt;VLOOKUP(I1279,$C$3:$L$6,8,0)),IF(VLOOKUP(I1279,$C$3:$L$6,5,0)=Variables!$B$5,((YEAR(B1279)-YEAR($B$12))*12+MONTH(B1279)-MONTH($B$12)),((YEAR(B1279)-YEAR(VLOOKUP(I1279,$C$3:$L$6,8,0)))*12+MONTH(B1279)-MONTH(VLOOKUP(I1279,$C$3:$L$6,8,0))))*(VLOOKUP(I1279,$C$3:$L$6,10,0)*VLOOKUP(I1279,$C$3:$L$6,6,0)/12),0))</f>
        <v/>
      </c>
      <c r="K1279" s="29" t="str">
        <f ca="1">IF(C1279&lt;&gt;"",IF(I1279&lt;&gt;"",IF(ISERROR(VLOOKUP(I1279,$C$3:$L$6,10,0)),"",VLOOKUP(I1279,$C$3:$L$6,10,0)+J1279+IF(OR(VLOOKUP(I1279,$C$3:$L$6,5,0)=Variables!$B$5,B1279&gt;VLOOKUP(I1279,$C$3:$L$6,8,0)),IF(VLOOKUP(I1279,$C$3:$L$6,5,0)=Variables!$B$5,((YEAR(B1279)-YEAR($B$12))*12+MONTH(B1279)-MONTH($B$12)),((YEAR(B1279)-YEAR(VLOOKUP(I1279,$C$3:$L$6,8,0)))*12+MONTH(B1279)-MONTH(VLOOKUP(I1279,$C$3:$L$6,8,0))))*VLOOKUP(I1279,$C$3:$L$6,7,0),0)),""),"")</f>
        <v/>
      </c>
      <c r="L1279" s="29" t="str">
        <f t="shared" ca="1" si="109"/>
        <v/>
      </c>
    </row>
    <row r="1280" spans="2:12" x14ac:dyDescent="0.25">
      <c r="B1280" s="14" t="str">
        <f t="shared" ca="1" si="110"/>
        <v/>
      </c>
      <c r="C1280" s="14" t="str">
        <f ca="1">IF(I1279&lt;&gt;Variables!$B$1,IF(H1279&lt;&gt;0,C1279,I1279),"")</f>
        <v/>
      </c>
      <c r="D1280" s="29" t="str">
        <f t="shared" ca="1" si="107"/>
        <v/>
      </c>
      <c r="E1280" s="29" t="str">
        <f t="shared" ca="1" si="108"/>
        <v/>
      </c>
      <c r="F1280" s="29" t="str">
        <f ca="1">IF(C1280&lt;&gt;"",IF(OR(VLOOKUP(C1280,$C$3:$L$6,5,0)=Variables!$B$5,B1280&gt;VLOOKUP(C1280,$C$3:$L$6,8,0)),-D1280*VLOOKUP(C1280,$C$3:$L$6,6,0)/12,0),"")</f>
        <v/>
      </c>
      <c r="G1280" s="29" t="str">
        <f ca="1">IF(I1280&lt;&gt;Variables!$B$1,IF(C1280&lt;&gt;"",$I$9-E1280-F1280,""),-D1280)</f>
        <v/>
      </c>
      <c r="H1280" s="29" t="str">
        <f t="shared" ca="1" si="111"/>
        <v/>
      </c>
      <c r="I1280" s="31" t="str">
        <f ca="1">IF(C1280&lt;&gt;"",IF(D1280+$I$9-E1280-F1280&gt;=0,IF(ISERROR(INDEX($C$3:$C$6,MATCH(C1280,$C$3:$C$6,0)+1,0)),Variables!$B$1,INDEX($C$3:$C$6,MATCH(C1280,$C$3:$C$6,0)+1,0)),""),"")</f>
        <v/>
      </c>
      <c r="J1280" s="29" t="str">
        <f ca="1">IF(ISERROR(VLOOKUP(I1280,$C$3:$L$6,5,0)),"",IF(OR(VLOOKUP(I1280,$C$3:$L$6,5,0)=Variables!$B$5,B1280&gt;VLOOKUP(I1280,$C$3:$L$6,8,0)),IF(VLOOKUP(I1280,$C$3:$L$6,5,0)=Variables!$B$5,((YEAR(B1280)-YEAR($B$12))*12+MONTH(B1280)-MONTH($B$12)),((YEAR(B1280)-YEAR(VLOOKUP(I1280,$C$3:$L$6,8,0)))*12+MONTH(B1280)-MONTH(VLOOKUP(I1280,$C$3:$L$6,8,0))))*(VLOOKUP(I1280,$C$3:$L$6,10,0)*VLOOKUP(I1280,$C$3:$L$6,6,0)/12),0))</f>
        <v/>
      </c>
      <c r="K1280" s="29" t="str">
        <f ca="1">IF(C1280&lt;&gt;"",IF(I1280&lt;&gt;"",IF(ISERROR(VLOOKUP(I1280,$C$3:$L$6,10,0)),"",VLOOKUP(I1280,$C$3:$L$6,10,0)+J1280+IF(OR(VLOOKUP(I1280,$C$3:$L$6,5,0)=Variables!$B$5,B1280&gt;VLOOKUP(I1280,$C$3:$L$6,8,0)),IF(VLOOKUP(I1280,$C$3:$L$6,5,0)=Variables!$B$5,((YEAR(B1280)-YEAR($B$12))*12+MONTH(B1280)-MONTH($B$12)),((YEAR(B1280)-YEAR(VLOOKUP(I1280,$C$3:$L$6,8,0)))*12+MONTH(B1280)-MONTH(VLOOKUP(I1280,$C$3:$L$6,8,0))))*VLOOKUP(I1280,$C$3:$L$6,7,0),0)),""),"")</f>
        <v/>
      </c>
      <c r="L1280" s="29" t="str">
        <f t="shared" ca="1" si="109"/>
        <v/>
      </c>
    </row>
    <row r="1281" spans="2:12" x14ac:dyDescent="0.25">
      <c r="B1281" s="14" t="str">
        <f t="shared" ca="1" si="110"/>
        <v/>
      </c>
      <c r="C1281" s="14" t="str">
        <f ca="1">IF(I1280&lt;&gt;Variables!$B$1,IF(H1280&lt;&gt;0,C1280,I1280),"")</f>
        <v/>
      </c>
      <c r="D1281" s="29" t="str">
        <f t="shared" ca="1" si="107"/>
        <v/>
      </c>
      <c r="E1281" s="29" t="str">
        <f t="shared" ca="1" si="108"/>
        <v/>
      </c>
      <c r="F1281" s="29" t="str">
        <f ca="1">IF(C1281&lt;&gt;"",IF(OR(VLOOKUP(C1281,$C$3:$L$6,5,0)=Variables!$B$5,B1281&gt;VLOOKUP(C1281,$C$3:$L$6,8,0)),-D1281*VLOOKUP(C1281,$C$3:$L$6,6,0)/12,0),"")</f>
        <v/>
      </c>
      <c r="G1281" s="29" t="str">
        <f ca="1">IF(I1281&lt;&gt;Variables!$B$1,IF(C1281&lt;&gt;"",$I$9-E1281-F1281,""),-D1281)</f>
        <v/>
      </c>
      <c r="H1281" s="29" t="str">
        <f t="shared" ca="1" si="111"/>
        <v/>
      </c>
      <c r="I1281" s="31" t="str">
        <f ca="1">IF(C1281&lt;&gt;"",IF(D1281+$I$9-E1281-F1281&gt;=0,IF(ISERROR(INDEX($C$3:$C$6,MATCH(C1281,$C$3:$C$6,0)+1,0)),Variables!$B$1,INDEX($C$3:$C$6,MATCH(C1281,$C$3:$C$6,0)+1,0)),""),"")</f>
        <v/>
      </c>
      <c r="J1281" s="29" t="str">
        <f ca="1">IF(ISERROR(VLOOKUP(I1281,$C$3:$L$6,5,0)),"",IF(OR(VLOOKUP(I1281,$C$3:$L$6,5,0)=Variables!$B$5,B1281&gt;VLOOKUP(I1281,$C$3:$L$6,8,0)),IF(VLOOKUP(I1281,$C$3:$L$6,5,0)=Variables!$B$5,((YEAR(B1281)-YEAR($B$12))*12+MONTH(B1281)-MONTH($B$12)),((YEAR(B1281)-YEAR(VLOOKUP(I1281,$C$3:$L$6,8,0)))*12+MONTH(B1281)-MONTH(VLOOKUP(I1281,$C$3:$L$6,8,0))))*(VLOOKUP(I1281,$C$3:$L$6,10,0)*VLOOKUP(I1281,$C$3:$L$6,6,0)/12),0))</f>
        <v/>
      </c>
      <c r="K1281" s="29" t="str">
        <f ca="1">IF(C1281&lt;&gt;"",IF(I1281&lt;&gt;"",IF(ISERROR(VLOOKUP(I1281,$C$3:$L$6,10,0)),"",VLOOKUP(I1281,$C$3:$L$6,10,0)+J1281+IF(OR(VLOOKUP(I1281,$C$3:$L$6,5,0)=Variables!$B$5,B1281&gt;VLOOKUP(I1281,$C$3:$L$6,8,0)),IF(VLOOKUP(I1281,$C$3:$L$6,5,0)=Variables!$B$5,((YEAR(B1281)-YEAR($B$12))*12+MONTH(B1281)-MONTH($B$12)),((YEAR(B1281)-YEAR(VLOOKUP(I1281,$C$3:$L$6,8,0)))*12+MONTH(B1281)-MONTH(VLOOKUP(I1281,$C$3:$L$6,8,0))))*VLOOKUP(I1281,$C$3:$L$6,7,0),0)),""),"")</f>
        <v/>
      </c>
      <c r="L1281" s="29" t="str">
        <f t="shared" ca="1" si="109"/>
        <v/>
      </c>
    </row>
    <row r="1282" spans="2:12" x14ac:dyDescent="0.25">
      <c r="B1282" s="14" t="str">
        <f t="shared" ca="1" si="110"/>
        <v/>
      </c>
      <c r="C1282" s="14" t="str">
        <f ca="1">IF(I1281&lt;&gt;Variables!$B$1,IF(H1281&lt;&gt;0,C1281,I1281),"")</f>
        <v/>
      </c>
      <c r="D1282" s="29" t="str">
        <f t="shared" ca="1" si="107"/>
        <v/>
      </c>
      <c r="E1282" s="29" t="str">
        <f t="shared" ca="1" si="108"/>
        <v/>
      </c>
      <c r="F1282" s="29" t="str">
        <f ca="1">IF(C1282&lt;&gt;"",IF(OR(VLOOKUP(C1282,$C$3:$L$6,5,0)=Variables!$B$5,B1282&gt;VLOOKUP(C1282,$C$3:$L$6,8,0)),-D1282*VLOOKUP(C1282,$C$3:$L$6,6,0)/12,0),"")</f>
        <v/>
      </c>
      <c r="G1282" s="29" t="str">
        <f ca="1">IF(I1282&lt;&gt;Variables!$B$1,IF(C1282&lt;&gt;"",$I$9-E1282-F1282,""),-D1282)</f>
        <v/>
      </c>
      <c r="H1282" s="29" t="str">
        <f t="shared" ca="1" si="111"/>
        <v/>
      </c>
      <c r="I1282" s="31" t="str">
        <f ca="1">IF(C1282&lt;&gt;"",IF(D1282+$I$9-E1282-F1282&gt;=0,IF(ISERROR(INDEX($C$3:$C$6,MATCH(C1282,$C$3:$C$6,0)+1,0)),Variables!$B$1,INDEX($C$3:$C$6,MATCH(C1282,$C$3:$C$6,0)+1,0)),""),"")</f>
        <v/>
      </c>
      <c r="J1282" s="29" t="str">
        <f ca="1">IF(ISERROR(VLOOKUP(I1282,$C$3:$L$6,5,0)),"",IF(OR(VLOOKUP(I1282,$C$3:$L$6,5,0)=Variables!$B$5,B1282&gt;VLOOKUP(I1282,$C$3:$L$6,8,0)),IF(VLOOKUP(I1282,$C$3:$L$6,5,0)=Variables!$B$5,((YEAR(B1282)-YEAR($B$12))*12+MONTH(B1282)-MONTH($B$12)),((YEAR(B1282)-YEAR(VLOOKUP(I1282,$C$3:$L$6,8,0)))*12+MONTH(B1282)-MONTH(VLOOKUP(I1282,$C$3:$L$6,8,0))))*(VLOOKUP(I1282,$C$3:$L$6,10,0)*VLOOKUP(I1282,$C$3:$L$6,6,0)/12),0))</f>
        <v/>
      </c>
      <c r="K1282" s="29" t="str">
        <f ca="1">IF(C1282&lt;&gt;"",IF(I1282&lt;&gt;"",IF(ISERROR(VLOOKUP(I1282,$C$3:$L$6,10,0)),"",VLOOKUP(I1282,$C$3:$L$6,10,0)+J1282+IF(OR(VLOOKUP(I1282,$C$3:$L$6,5,0)=Variables!$B$5,B1282&gt;VLOOKUP(I1282,$C$3:$L$6,8,0)),IF(VLOOKUP(I1282,$C$3:$L$6,5,0)=Variables!$B$5,((YEAR(B1282)-YEAR($B$12))*12+MONTH(B1282)-MONTH($B$12)),((YEAR(B1282)-YEAR(VLOOKUP(I1282,$C$3:$L$6,8,0)))*12+MONTH(B1282)-MONTH(VLOOKUP(I1282,$C$3:$L$6,8,0))))*VLOOKUP(I1282,$C$3:$L$6,7,0),0)),""),"")</f>
        <v/>
      </c>
      <c r="L1282" s="29" t="str">
        <f t="shared" ca="1" si="109"/>
        <v/>
      </c>
    </row>
    <row r="1283" spans="2:12" x14ac:dyDescent="0.25">
      <c r="B1283" s="14" t="str">
        <f t="shared" ca="1" si="110"/>
        <v/>
      </c>
      <c r="C1283" s="14" t="str">
        <f ca="1">IF(I1282&lt;&gt;Variables!$B$1,IF(H1282&lt;&gt;0,C1282,I1282),"")</f>
        <v/>
      </c>
      <c r="D1283" s="29" t="str">
        <f t="shared" ca="1" si="107"/>
        <v/>
      </c>
      <c r="E1283" s="29" t="str">
        <f t="shared" ca="1" si="108"/>
        <v/>
      </c>
      <c r="F1283" s="29" t="str">
        <f ca="1">IF(C1283&lt;&gt;"",IF(OR(VLOOKUP(C1283,$C$3:$L$6,5,0)=Variables!$B$5,B1283&gt;VLOOKUP(C1283,$C$3:$L$6,8,0)),-D1283*VLOOKUP(C1283,$C$3:$L$6,6,0)/12,0),"")</f>
        <v/>
      </c>
      <c r="G1283" s="29" t="str">
        <f ca="1">IF(I1283&lt;&gt;Variables!$B$1,IF(C1283&lt;&gt;"",$I$9-E1283-F1283,""),-D1283)</f>
        <v/>
      </c>
      <c r="H1283" s="29" t="str">
        <f t="shared" ca="1" si="111"/>
        <v/>
      </c>
      <c r="I1283" s="31" t="str">
        <f ca="1">IF(C1283&lt;&gt;"",IF(D1283+$I$9-E1283-F1283&gt;=0,IF(ISERROR(INDEX($C$3:$C$6,MATCH(C1283,$C$3:$C$6,0)+1,0)),Variables!$B$1,INDEX($C$3:$C$6,MATCH(C1283,$C$3:$C$6,0)+1,0)),""),"")</f>
        <v/>
      </c>
      <c r="J1283" s="29" t="str">
        <f ca="1">IF(ISERROR(VLOOKUP(I1283,$C$3:$L$6,5,0)),"",IF(OR(VLOOKUP(I1283,$C$3:$L$6,5,0)=Variables!$B$5,B1283&gt;VLOOKUP(I1283,$C$3:$L$6,8,0)),IF(VLOOKUP(I1283,$C$3:$L$6,5,0)=Variables!$B$5,((YEAR(B1283)-YEAR($B$12))*12+MONTH(B1283)-MONTH($B$12)),((YEAR(B1283)-YEAR(VLOOKUP(I1283,$C$3:$L$6,8,0)))*12+MONTH(B1283)-MONTH(VLOOKUP(I1283,$C$3:$L$6,8,0))))*(VLOOKUP(I1283,$C$3:$L$6,10,0)*VLOOKUP(I1283,$C$3:$L$6,6,0)/12),0))</f>
        <v/>
      </c>
      <c r="K1283" s="29" t="str">
        <f ca="1">IF(C1283&lt;&gt;"",IF(I1283&lt;&gt;"",IF(ISERROR(VLOOKUP(I1283,$C$3:$L$6,10,0)),"",VLOOKUP(I1283,$C$3:$L$6,10,0)+J1283+IF(OR(VLOOKUP(I1283,$C$3:$L$6,5,0)=Variables!$B$5,B1283&gt;VLOOKUP(I1283,$C$3:$L$6,8,0)),IF(VLOOKUP(I1283,$C$3:$L$6,5,0)=Variables!$B$5,((YEAR(B1283)-YEAR($B$12))*12+MONTH(B1283)-MONTH($B$12)),((YEAR(B1283)-YEAR(VLOOKUP(I1283,$C$3:$L$6,8,0)))*12+MONTH(B1283)-MONTH(VLOOKUP(I1283,$C$3:$L$6,8,0))))*VLOOKUP(I1283,$C$3:$L$6,7,0),0)),""),"")</f>
        <v/>
      </c>
      <c r="L1283" s="29" t="str">
        <f t="shared" ca="1" si="109"/>
        <v/>
      </c>
    </row>
    <row r="1284" spans="2:12" x14ac:dyDescent="0.25">
      <c r="B1284" s="14" t="str">
        <f t="shared" ca="1" si="110"/>
        <v/>
      </c>
      <c r="C1284" s="14" t="str">
        <f ca="1">IF(I1283&lt;&gt;Variables!$B$1,IF(H1283&lt;&gt;0,C1283,I1283),"")</f>
        <v/>
      </c>
      <c r="D1284" s="29" t="str">
        <f t="shared" ca="1" si="107"/>
        <v/>
      </c>
      <c r="E1284" s="29" t="str">
        <f t="shared" ca="1" si="108"/>
        <v/>
      </c>
      <c r="F1284" s="29" t="str">
        <f ca="1">IF(C1284&lt;&gt;"",IF(OR(VLOOKUP(C1284,$C$3:$L$6,5,0)=Variables!$B$5,B1284&gt;VLOOKUP(C1284,$C$3:$L$6,8,0)),-D1284*VLOOKUP(C1284,$C$3:$L$6,6,0)/12,0),"")</f>
        <v/>
      </c>
      <c r="G1284" s="29" t="str">
        <f ca="1">IF(I1284&lt;&gt;Variables!$B$1,IF(C1284&lt;&gt;"",$I$9-E1284-F1284,""),-D1284)</f>
        <v/>
      </c>
      <c r="H1284" s="29" t="str">
        <f t="shared" ca="1" si="111"/>
        <v/>
      </c>
      <c r="I1284" s="31" t="str">
        <f ca="1">IF(C1284&lt;&gt;"",IF(D1284+$I$9-E1284-F1284&gt;=0,IF(ISERROR(INDEX($C$3:$C$6,MATCH(C1284,$C$3:$C$6,0)+1,0)),Variables!$B$1,INDEX($C$3:$C$6,MATCH(C1284,$C$3:$C$6,0)+1,0)),""),"")</f>
        <v/>
      </c>
      <c r="J1284" s="29" t="str">
        <f ca="1">IF(ISERROR(VLOOKUP(I1284,$C$3:$L$6,5,0)),"",IF(OR(VLOOKUP(I1284,$C$3:$L$6,5,0)=Variables!$B$5,B1284&gt;VLOOKUP(I1284,$C$3:$L$6,8,0)),IF(VLOOKUP(I1284,$C$3:$L$6,5,0)=Variables!$B$5,((YEAR(B1284)-YEAR($B$12))*12+MONTH(B1284)-MONTH($B$12)),((YEAR(B1284)-YEAR(VLOOKUP(I1284,$C$3:$L$6,8,0)))*12+MONTH(B1284)-MONTH(VLOOKUP(I1284,$C$3:$L$6,8,0))))*(VLOOKUP(I1284,$C$3:$L$6,10,0)*VLOOKUP(I1284,$C$3:$L$6,6,0)/12),0))</f>
        <v/>
      </c>
      <c r="K1284" s="29" t="str">
        <f ca="1">IF(C1284&lt;&gt;"",IF(I1284&lt;&gt;"",IF(ISERROR(VLOOKUP(I1284,$C$3:$L$6,10,0)),"",VLOOKUP(I1284,$C$3:$L$6,10,0)+J1284+IF(OR(VLOOKUP(I1284,$C$3:$L$6,5,0)=Variables!$B$5,B1284&gt;VLOOKUP(I1284,$C$3:$L$6,8,0)),IF(VLOOKUP(I1284,$C$3:$L$6,5,0)=Variables!$B$5,((YEAR(B1284)-YEAR($B$12))*12+MONTH(B1284)-MONTH($B$12)),((YEAR(B1284)-YEAR(VLOOKUP(I1284,$C$3:$L$6,8,0)))*12+MONTH(B1284)-MONTH(VLOOKUP(I1284,$C$3:$L$6,8,0))))*VLOOKUP(I1284,$C$3:$L$6,7,0),0)),""),"")</f>
        <v/>
      </c>
      <c r="L1284" s="29" t="str">
        <f t="shared" ca="1" si="109"/>
        <v/>
      </c>
    </row>
    <row r="1285" spans="2:12" x14ac:dyDescent="0.25">
      <c r="B1285" s="14" t="str">
        <f t="shared" ca="1" si="110"/>
        <v/>
      </c>
      <c r="C1285" s="14" t="str">
        <f ca="1">IF(I1284&lt;&gt;Variables!$B$1,IF(H1284&lt;&gt;0,C1284,I1284),"")</f>
        <v/>
      </c>
      <c r="D1285" s="29" t="str">
        <f t="shared" ca="1" si="107"/>
        <v/>
      </c>
      <c r="E1285" s="29" t="str">
        <f t="shared" ca="1" si="108"/>
        <v/>
      </c>
      <c r="F1285" s="29" t="str">
        <f ca="1">IF(C1285&lt;&gt;"",IF(OR(VLOOKUP(C1285,$C$3:$L$6,5,0)=Variables!$B$5,B1285&gt;VLOOKUP(C1285,$C$3:$L$6,8,0)),-D1285*VLOOKUP(C1285,$C$3:$L$6,6,0)/12,0),"")</f>
        <v/>
      </c>
      <c r="G1285" s="29" t="str">
        <f ca="1">IF(I1285&lt;&gt;Variables!$B$1,IF(C1285&lt;&gt;"",$I$9-E1285-F1285,""),-D1285)</f>
        <v/>
      </c>
      <c r="H1285" s="29" t="str">
        <f t="shared" ca="1" si="111"/>
        <v/>
      </c>
      <c r="I1285" s="31" t="str">
        <f ca="1">IF(C1285&lt;&gt;"",IF(D1285+$I$9-E1285-F1285&gt;=0,IF(ISERROR(INDEX($C$3:$C$6,MATCH(C1285,$C$3:$C$6,0)+1,0)),Variables!$B$1,INDEX($C$3:$C$6,MATCH(C1285,$C$3:$C$6,0)+1,0)),""),"")</f>
        <v/>
      </c>
      <c r="J1285" s="29" t="str">
        <f ca="1">IF(ISERROR(VLOOKUP(I1285,$C$3:$L$6,5,0)),"",IF(OR(VLOOKUP(I1285,$C$3:$L$6,5,0)=Variables!$B$5,B1285&gt;VLOOKUP(I1285,$C$3:$L$6,8,0)),IF(VLOOKUP(I1285,$C$3:$L$6,5,0)=Variables!$B$5,((YEAR(B1285)-YEAR($B$12))*12+MONTH(B1285)-MONTH($B$12)),((YEAR(B1285)-YEAR(VLOOKUP(I1285,$C$3:$L$6,8,0)))*12+MONTH(B1285)-MONTH(VLOOKUP(I1285,$C$3:$L$6,8,0))))*(VLOOKUP(I1285,$C$3:$L$6,10,0)*VLOOKUP(I1285,$C$3:$L$6,6,0)/12),0))</f>
        <v/>
      </c>
      <c r="K1285" s="29" t="str">
        <f ca="1">IF(C1285&lt;&gt;"",IF(I1285&lt;&gt;"",IF(ISERROR(VLOOKUP(I1285,$C$3:$L$6,10,0)),"",VLOOKUP(I1285,$C$3:$L$6,10,0)+J1285+IF(OR(VLOOKUP(I1285,$C$3:$L$6,5,0)=Variables!$B$5,B1285&gt;VLOOKUP(I1285,$C$3:$L$6,8,0)),IF(VLOOKUP(I1285,$C$3:$L$6,5,0)=Variables!$B$5,((YEAR(B1285)-YEAR($B$12))*12+MONTH(B1285)-MONTH($B$12)),((YEAR(B1285)-YEAR(VLOOKUP(I1285,$C$3:$L$6,8,0)))*12+MONTH(B1285)-MONTH(VLOOKUP(I1285,$C$3:$L$6,8,0))))*VLOOKUP(I1285,$C$3:$L$6,7,0),0)),""),"")</f>
        <v/>
      </c>
      <c r="L1285" s="29" t="str">
        <f t="shared" ca="1" si="109"/>
        <v/>
      </c>
    </row>
    <row r="1286" spans="2:12" x14ac:dyDescent="0.25">
      <c r="B1286" s="14" t="str">
        <f t="shared" ca="1" si="110"/>
        <v/>
      </c>
      <c r="C1286" s="14" t="str">
        <f ca="1">IF(I1285&lt;&gt;Variables!$B$1,IF(H1285&lt;&gt;0,C1285,I1285),"")</f>
        <v/>
      </c>
      <c r="D1286" s="29" t="str">
        <f t="shared" ca="1" si="107"/>
        <v/>
      </c>
      <c r="E1286" s="29" t="str">
        <f t="shared" ca="1" si="108"/>
        <v/>
      </c>
      <c r="F1286" s="29" t="str">
        <f ca="1">IF(C1286&lt;&gt;"",IF(OR(VLOOKUP(C1286,$C$3:$L$6,5,0)=Variables!$B$5,B1286&gt;VLOOKUP(C1286,$C$3:$L$6,8,0)),-D1286*VLOOKUP(C1286,$C$3:$L$6,6,0)/12,0),"")</f>
        <v/>
      </c>
      <c r="G1286" s="29" t="str">
        <f ca="1">IF(I1286&lt;&gt;Variables!$B$1,IF(C1286&lt;&gt;"",$I$9-E1286-F1286,""),-D1286)</f>
        <v/>
      </c>
      <c r="H1286" s="29" t="str">
        <f t="shared" ca="1" si="111"/>
        <v/>
      </c>
      <c r="I1286" s="31" t="str">
        <f ca="1">IF(C1286&lt;&gt;"",IF(D1286+$I$9-E1286-F1286&gt;=0,IF(ISERROR(INDEX($C$3:$C$6,MATCH(C1286,$C$3:$C$6,0)+1,0)),Variables!$B$1,INDEX($C$3:$C$6,MATCH(C1286,$C$3:$C$6,0)+1,0)),""),"")</f>
        <v/>
      </c>
      <c r="J1286" s="29" t="str">
        <f ca="1">IF(ISERROR(VLOOKUP(I1286,$C$3:$L$6,5,0)),"",IF(OR(VLOOKUP(I1286,$C$3:$L$6,5,0)=Variables!$B$5,B1286&gt;VLOOKUP(I1286,$C$3:$L$6,8,0)),IF(VLOOKUP(I1286,$C$3:$L$6,5,0)=Variables!$B$5,((YEAR(B1286)-YEAR($B$12))*12+MONTH(B1286)-MONTH($B$12)),((YEAR(B1286)-YEAR(VLOOKUP(I1286,$C$3:$L$6,8,0)))*12+MONTH(B1286)-MONTH(VLOOKUP(I1286,$C$3:$L$6,8,0))))*(VLOOKUP(I1286,$C$3:$L$6,10,0)*VLOOKUP(I1286,$C$3:$L$6,6,0)/12),0))</f>
        <v/>
      </c>
      <c r="K1286" s="29" t="str">
        <f ca="1">IF(C1286&lt;&gt;"",IF(I1286&lt;&gt;"",IF(ISERROR(VLOOKUP(I1286,$C$3:$L$6,10,0)),"",VLOOKUP(I1286,$C$3:$L$6,10,0)+J1286+IF(OR(VLOOKUP(I1286,$C$3:$L$6,5,0)=Variables!$B$5,B1286&gt;VLOOKUP(I1286,$C$3:$L$6,8,0)),IF(VLOOKUP(I1286,$C$3:$L$6,5,0)=Variables!$B$5,((YEAR(B1286)-YEAR($B$12))*12+MONTH(B1286)-MONTH($B$12)),((YEAR(B1286)-YEAR(VLOOKUP(I1286,$C$3:$L$6,8,0)))*12+MONTH(B1286)-MONTH(VLOOKUP(I1286,$C$3:$L$6,8,0))))*VLOOKUP(I1286,$C$3:$L$6,7,0),0)),""),"")</f>
        <v/>
      </c>
      <c r="L1286" s="29" t="str">
        <f t="shared" ca="1" si="109"/>
        <v/>
      </c>
    </row>
    <row r="1287" spans="2:12" x14ac:dyDescent="0.25">
      <c r="B1287" s="14" t="str">
        <f t="shared" ca="1" si="110"/>
        <v/>
      </c>
      <c r="C1287" s="14" t="str">
        <f ca="1">IF(I1286&lt;&gt;Variables!$B$1,IF(H1286&lt;&gt;0,C1286,I1286),"")</f>
        <v/>
      </c>
      <c r="D1287" s="29" t="str">
        <f t="shared" ca="1" si="107"/>
        <v/>
      </c>
      <c r="E1287" s="29" t="str">
        <f t="shared" ca="1" si="108"/>
        <v/>
      </c>
      <c r="F1287" s="29" t="str">
        <f ca="1">IF(C1287&lt;&gt;"",IF(OR(VLOOKUP(C1287,$C$3:$L$6,5,0)=Variables!$B$5,B1287&gt;VLOOKUP(C1287,$C$3:$L$6,8,0)),-D1287*VLOOKUP(C1287,$C$3:$L$6,6,0)/12,0),"")</f>
        <v/>
      </c>
      <c r="G1287" s="29" t="str">
        <f ca="1">IF(I1287&lt;&gt;Variables!$B$1,IF(C1287&lt;&gt;"",$I$9-E1287-F1287,""),-D1287)</f>
        <v/>
      </c>
      <c r="H1287" s="29" t="str">
        <f t="shared" ca="1" si="111"/>
        <v/>
      </c>
      <c r="I1287" s="31" t="str">
        <f ca="1">IF(C1287&lt;&gt;"",IF(D1287+$I$9-E1287-F1287&gt;=0,IF(ISERROR(INDEX($C$3:$C$6,MATCH(C1287,$C$3:$C$6,0)+1,0)),Variables!$B$1,INDEX($C$3:$C$6,MATCH(C1287,$C$3:$C$6,0)+1,0)),""),"")</f>
        <v/>
      </c>
      <c r="J1287" s="29" t="str">
        <f ca="1">IF(ISERROR(VLOOKUP(I1287,$C$3:$L$6,5,0)),"",IF(OR(VLOOKUP(I1287,$C$3:$L$6,5,0)=Variables!$B$5,B1287&gt;VLOOKUP(I1287,$C$3:$L$6,8,0)),IF(VLOOKUP(I1287,$C$3:$L$6,5,0)=Variables!$B$5,((YEAR(B1287)-YEAR($B$12))*12+MONTH(B1287)-MONTH($B$12)),((YEAR(B1287)-YEAR(VLOOKUP(I1287,$C$3:$L$6,8,0)))*12+MONTH(B1287)-MONTH(VLOOKUP(I1287,$C$3:$L$6,8,0))))*(VLOOKUP(I1287,$C$3:$L$6,10,0)*VLOOKUP(I1287,$C$3:$L$6,6,0)/12),0))</f>
        <v/>
      </c>
      <c r="K1287" s="29" t="str">
        <f ca="1">IF(C1287&lt;&gt;"",IF(I1287&lt;&gt;"",IF(ISERROR(VLOOKUP(I1287,$C$3:$L$6,10,0)),"",VLOOKUP(I1287,$C$3:$L$6,10,0)+J1287+IF(OR(VLOOKUP(I1287,$C$3:$L$6,5,0)=Variables!$B$5,B1287&gt;VLOOKUP(I1287,$C$3:$L$6,8,0)),IF(VLOOKUP(I1287,$C$3:$L$6,5,0)=Variables!$B$5,((YEAR(B1287)-YEAR($B$12))*12+MONTH(B1287)-MONTH($B$12)),((YEAR(B1287)-YEAR(VLOOKUP(I1287,$C$3:$L$6,8,0)))*12+MONTH(B1287)-MONTH(VLOOKUP(I1287,$C$3:$L$6,8,0))))*VLOOKUP(I1287,$C$3:$L$6,7,0),0)),""),"")</f>
        <v/>
      </c>
      <c r="L1287" s="29" t="str">
        <f t="shared" ca="1" si="109"/>
        <v/>
      </c>
    </row>
    <row r="1288" spans="2:12" x14ac:dyDescent="0.25">
      <c r="B1288" s="14" t="str">
        <f t="shared" ca="1" si="110"/>
        <v/>
      </c>
      <c r="C1288" s="14" t="str">
        <f ca="1">IF(I1287&lt;&gt;Variables!$B$1,IF(H1287&lt;&gt;0,C1287,I1287),"")</f>
        <v/>
      </c>
      <c r="D1288" s="29" t="str">
        <f t="shared" ca="1" si="107"/>
        <v/>
      </c>
      <c r="E1288" s="29" t="str">
        <f t="shared" ca="1" si="108"/>
        <v/>
      </c>
      <c r="F1288" s="29" t="str">
        <f ca="1">IF(C1288&lt;&gt;"",IF(OR(VLOOKUP(C1288,$C$3:$L$6,5,0)=Variables!$B$5,B1288&gt;VLOOKUP(C1288,$C$3:$L$6,8,0)),-D1288*VLOOKUP(C1288,$C$3:$L$6,6,0)/12,0),"")</f>
        <v/>
      </c>
      <c r="G1288" s="29" t="str">
        <f ca="1">IF(I1288&lt;&gt;Variables!$B$1,IF(C1288&lt;&gt;"",$I$9-E1288-F1288,""),-D1288)</f>
        <v/>
      </c>
      <c r="H1288" s="29" t="str">
        <f t="shared" ca="1" si="111"/>
        <v/>
      </c>
      <c r="I1288" s="31" t="str">
        <f ca="1">IF(C1288&lt;&gt;"",IF(D1288+$I$9-E1288-F1288&gt;=0,IF(ISERROR(INDEX($C$3:$C$6,MATCH(C1288,$C$3:$C$6,0)+1,0)),Variables!$B$1,INDEX($C$3:$C$6,MATCH(C1288,$C$3:$C$6,0)+1,0)),""),"")</f>
        <v/>
      </c>
      <c r="J1288" s="29" t="str">
        <f ca="1">IF(ISERROR(VLOOKUP(I1288,$C$3:$L$6,5,0)),"",IF(OR(VLOOKUP(I1288,$C$3:$L$6,5,0)=Variables!$B$5,B1288&gt;VLOOKUP(I1288,$C$3:$L$6,8,0)),IF(VLOOKUP(I1288,$C$3:$L$6,5,0)=Variables!$B$5,((YEAR(B1288)-YEAR($B$12))*12+MONTH(B1288)-MONTH($B$12)),((YEAR(B1288)-YEAR(VLOOKUP(I1288,$C$3:$L$6,8,0)))*12+MONTH(B1288)-MONTH(VLOOKUP(I1288,$C$3:$L$6,8,0))))*(VLOOKUP(I1288,$C$3:$L$6,10,0)*VLOOKUP(I1288,$C$3:$L$6,6,0)/12),0))</f>
        <v/>
      </c>
      <c r="K1288" s="29" t="str">
        <f ca="1">IF(C1288&lt;&gt;"",IF(I1288&lt;&gt;"",IF(ISERROR(VLOOKUP(I1288,$C$3:$L$6,10,0)),"",VLOOKUP(I1288,$C$3:$L$6,10,0)+J1288+IF(OR(VLOOKUP(I1288,$C$3:$L$6,5,0)=Variables!$B$5,B1288&gt;VLOOKUP(I1288,$C$3:$L$6,8,0)),IF(VLOOKUP(I1288,$C$3:$L$6,5,0)=Variables!$B$5,((YEAR(B1288)-YEAR($B$12))*12+MONTH(B1288)-MONTH($B$12)),((YEAR(B1288)-YEAR(VLOOKUP(I1288,$C$3:$L$6,8,0)))*12+MONTH(B1288)-MONTH(VLOOKUP(I1288,$C$3:$L$6,8,0))))*VLOOKUP(I1288,$C$3:$L$6,7,0),0)),""),"")</f>
        <v/>
      </c>
      <c r="L1288" s="29" t="str">
        <f t="shared" ca="1" si="109"/>
        <v/>
      </c>
    </row>
    <row r="1289" spans="2:12" x14ac:dyDescent="0.25">
      <c r="B1289" s="14" t="str">
        <f t="shared" ca="1" si="110"/>
        <v/>
      </c>
      <c r="C1289" s="14" t="str">
        <f ca="1">IF(I1288&lt;&gt;Variables!$B$1,IF(H1288&lt;&gt;0,C1288,I1288),"")</f>
        <v/>
      </c>
      <c r="D1289" s="29" t="str">
        <f t="shared" ca="1" si="107"/>
        <v/>
      </c>
      <c r="E1289" s="29" t="str">
        <f t="shared" ca="1" si="108"/>
        <v/>
      </c>
      <c r="F1289" s="29" t="str">
        <f ca="1">IF(C1289&lt;&gt;"",IF(OR(VLOOKUP(C1289,$C$3:$L$6,5,0)=Variables!$B$5,B1289&gt;VLOOKUP(C1289,$C$3:$L$6,8,0)),-D1289*VLOOKUP(C1289,$C$3:$L$6,6,0)/12,0),"")</f>
        <v/>
      </c>
      <c r="G1289" s="29" t="str">
        <f ca="1">IF(I1289&lt;&gt;Variables!$B$1,IF(C1289&lt;&gt;"",$I$9-E1289-F1289,""),-D1289)</f>
        <v/>
      </c>
      <c r="H1289" s="29" t="str">
        <f t="shared" ca="1" si="111"/>
        <v/>
      </c>
      <c r="I1289" s="31" t="str">
        <f ca="1">IF(C1289&lt;&gt;"",IF(D1289+$I$9-E1289-F1289&gt;=0,IF(ISERROR(INDEX($C$3:$C$6,MATCH(C1289,$C$3:$C$6,0)+1,0)),Variables!$B$1,INDEX($C$3:$C$6,MATCH(C1289,$C$3:$C$6,0)+1,0)),""),"")</f>
        <v/>
      </c>
      <c r="J1289" s="29" t="str">
        <f ca="1">IF(ISERROR(VLOOKUP(I1289,$C$3:$L$6,5,0)),"",IF(OR(VLOOKUP(I1289,$C$3:$L$6,5,0)=Variables!$B$5,B1289&gt;VLOOKUP(I1289,$C$3:$L$6,8,0)),IF(VLOOKUP(I1289,$C$3:$L$6,5,0)=Variables!$B$5,((YEAR(B1289)-YEAR($B$12))*12+MONTH(B1289)-MONTH($B$12)),((YEAR(B1289)-YEAR(VLOOKUP(I1289,$C$3:$L$6,8,0)))*12+MONTH(B1289)-MONTH(VLOOKUP(I1289,$C$3:$L$6,8,0))))*(VLOOKUP(I1289,$C$3:$L$6,10,0)*VLOOKUP(I1289,$C$3:$L$6,6,0)/12),0))</f>
        <v/>
      </c>
      <c r="K1289" s="29" t="str">
        <f ca="1">IF(C1289&lt;&gt;"",IF(I1289&lt;&gt;"",IF(ISERROR(VLOOKUP(I1289,$C$3:$L$6,10,0)),"",VLOOKUP(I1289,$C$3:$L$6,10,0)+J1289+IF(OR(VLOOKUP(I1289,$C$3:$L$6,5,0)=Variables!$B$5,B1289&gt;VLOOKUP(I1289,$C$3:$L$6,8,0)),IF(VLOOKUP(I1289,$C$3:$L$6,5,0)=Variables!$B$5,((YEAR(B1289)-YEAR($B$12))*12+MONTH(B1289)-MONTH($B$12)),((YEAR(B1289)-YEAR(VLOOKUP(I1289,$C$3:$L$6,8,0)))*12+MONTH(B1289)-MONTH(VLOOKUP(I1289,$C$3:$L$6,8,0))))*VLOOKUP(I1289,$C$3:$L$6,7,0),0)),""),"")</f>
        <v/>
      </c>
      <c r="L1289" s="29" t="str">
        <f t="shared" ca="1" si="109"/>
        <v/>
      </c>
    </row>
    <row r="1290" spans="2:12" x14ac:dyDescent="0.25">
      <c r="B1290" s="14" t="str">
        <f t="shared" ca="1" si="110"/>
        <v/>
      </c>
      <c r="C1290" s="14" t="str">
        <f ca="1">IF(I1289&lt;&gt;Variables!$B$1,IF(H1289&lt;&gt;0,C1289,I1289),"")</f>
        <v/>
      </c>
      <c r="D1290" s="29" t="str">
        <f t="shared" ca="1" si="107"/>
        <v/>
      </c>
      <c r="E1290" s="29" t="str">
        <f t="shared" ca="1" si="108"/>
        <v/>
      </c>
      <c r="F1290" s="29" t="str">
        <f ca="1">IF(C1290&lt;&gt;"",IF(OR(VLOOKUP(C1290,$C$3:$L$6,5,0)=Variables!$B$5,B1290&gt;VLOOKUP(C1290,$C$3:$L$6,8,0)),-D1290*VLOOKUP(C1290,$C$3:$L$6,6,0)/12,0),"")</f>
        <v/>
      </c>
      <c r="G1290" s="29" t="str">
        <f ca="1">IF(I1290&lt;&gt;Variables!$B$1,IF(C1290&lt;&gt;"",$I$9-E1290-F1290,""),-D1290)</f>
        <v/>
      </c>
      <c r="H1290" s="29" t="str">
        <f t="shared" ca="1" si="111"/>
        <v/>
      </c>
      <c r="I1290" s="31" t="str">
        <f ca="1">IF(C1290&lt;&gt;"",IF(D1290+$I$9-E1290-F1290&gt;=0,IF(ISERROR(INDEX($C$3:$C$6,MATCH(C1290,$C$3:$C$6,0)+1,0)),Variables!$B$1,INDEX($C$3:$C$6,MATCH(C1290,$C$3:$C$6,0)+1,0)),""),"")</f>
        <v/>
      </c>
      <c r="J1290" s="29" t="str">
        <f ca="1">IF(ISERROR(VLOOKUP(I1290,$C$3:$L$6,5,0)),"",IF(OR(VLOOKUP(I1290,$C$3:$L$6,5,0)=Variables!$B$5,B1290&gt;VLOOKUP(I1290,$C$3:$L$6,8,0)),IF(VLOOKUP(I1290,$C$3:$L$6,5,0)=Variables!$B$5,((YEAR(B1290)-YEAR($B$12))*12+MONTH(B1290)-MONTH($B$12)),((YEAR(B1290)-YEAR(VLOOKUP(I1290,$C$3:$L$6,8,0)))*12+MONTH(B1290)-MONTH(VLOOKUP(I1290,$C$3:$L$6,8,0))))*(VLOOKUP(I1290,$C$3:$L$6,10,0)*VLOOKUP(I1290,$C$3:$L$6,6,0)/12),0))</f>
        <v/>
      </c>
      <c r="K1290" s="29" t="str">
        <f ca="1">IF(C1290&lt;&gt;"",IF(I1290&lt;&gt;"",IF(ISERROR(VLOOKUP(I1290,$C$3:$L$6,10,0)),"",VLOOKUP(I1290,$C$3:$L$6,10,0)+J1290+IF(OR(VLOOKUP(I1290,$C$3:$L$6,5,0)=Variables!$B$5,B1290&gt;VLOOKUP(I1290,$C$3:$L$6,8,0)),IF(VLOOKUP(I1290,$C$3:$L$6,5,0)=Variables!$B$5,((YEAR(B1290)-YEAR($B$12))*12+MONTH(B1290)-MONTH($B$12)),((YEAR(B1290)-YEAR(VLOOKUP(I1290,$C$3:$L$6,8,0)))*12+MONTH(B1290)-MONTH(VLOOKUP(I1290,$C$3:$L$6,8,0))))*VLOOKUP(I1290,$C$3:$L$6,7,0),0)),""),"")</f>
        <v/>
      </c>
      <c r="L1290" s="29" t="str">
        <f t="shared" ca="1" si="109"/>
        <v/>
      </c>
    </row>
    <row r="1291" spans="2:12" x14ac:dyDescent="0.25">
      <c r="B1291" s="14" t="str">
        <f t="shared" ca="1" si="110"/>
        <v/>
      </c>
      <c r="C1291" s="14" t="str">
        <f ca="1">IF(I1290&lt;&gt;Variables!$B$1,IF(H1290&lt;&gt;0,C1290,I1290),"")</f>
        <v/>
      </c>
      <c r="D1291" s="29" t="str">
        <f t="shared" ca="1" si="107"/>
        <v/>
      </c>
      <c r="E1291" s="29" t="str">
        <f t="shared" ca="1" si="108"/>
        <v/>
      </c>
      <c r="F1291" s="29" t="str">
        <f ca="1">IF(C1291&lt;&gt;"",IF(OR(VLOOKUP(C1291,$C$3:$L$6,5,0)=Variables!$B$5,B1291&gt;VLOOKUP(C1291,$C$3:$L$6,8,0)),-D1291*VLOOKUP(C1291,$C$3:$L$6,6,0)/12,0),"")</f>
        <v/>
      </c>
      <c r="G1291" s="29" t="str">
        <f ca="1">IF(I1291&lt;&gt;Variables!$B$1,IF(C1291&lt;&gt;"",$I$9-E1291-F1291,""),-D1291)</f>
        <v/>
      </c>
      <c r="H1291" s="29" t="str">
        <f t="shared" ca="1" si="111"/>
        <v/>
      </c>
      <c r="I1291" s="31" t="str">
        <f ca="1">IF(C1291&lt;&gt;"",IF(D1291+$I$9-E1291-F1291&gt;=0,IF(ISERROR(INDEX($C$3:$C$6,MATCH(C1291,$C$3:$C$6,0)+1,0)),Variables!$B$1,INDEX($C$3:$C$6,MATCH(C1291,$C$3:$C$6,0)+1,0)),""),"")</f>
        <v/>
      </c>
      <c r="J1291" s="29" t="str">
        <f ca="1">IF(ISERROR(VLOOKUP(I1291,$C$3:$L$6,5,0)),"",IF(OR(VLOOKUP(I1291,$C$3:$L$6,5,0)=Variables!$B$5,B1291&gt;VLOOKUP(I1291,$C$3:$L$6,8,0)),IF(VLOOKUP(I1291,$C$3:$L$6,5,0)=Variables!$B$5,((YEAR(B1291)-YEAR($B$12))*12+MONTH(B1291)-MONTH($B$12)),((YEAR(B1291)-YEAR(VLOOKUP(I1291,$C$3:$L$6,8,0)))*12+MONTH(B1291)-MONTH(VLOOKUP(I1291,$C$3:$L$6,8,0))))*(VLOOKUP(I1291,$C$3:$L$6,10,0)*VLOOKUP(I1291,$C$3:$L$6,6,0)/12),0))</f>
        <v/>
      </c>
      <c r="K1291" s="29" t="str">
        <f ca="1">IF(C1291&lt;&gt;"",IF(I1291&lt;&gt;"",IF(ISERROR(VLOOKUP(I1291,$C$3:$L$6,10,0)),"",VLOOKUP(I1291,$C$3:$L$6,10,0)+J1291+IF(OR(VLOOKUP(I1291,$C$3:$L$6,5,0)=Variables!$B$5,B1291&gt;VLOOKUP(I1291,$C$3:$L$6,8,0)),IF(VLOOKUP(I1291,$C$3:$L$6,5,0)=Variables!$B$5,((YEAR(B1291)-YEAR($B$12))*12+MONTH(B1291)-MONTH($B$12)),((YEAR(B1291)-YEAR(VLOOKUP(I1291,$C$3:$L$6,8,0)))*12+MONTH(B1291)-MONTH(VLOOKUP(I1291,$C$3:$L$6,8,0))))*VLOOKUP(I1291,$C$3:$L$6,7,0),0)),""),"")</f>
        <v/>
      </c>
      <c r="L1291" s="29" t="str">
        <f t="shared" ca="1" si="109"/>
        <v/>
      </c>
    </row>
    <row r="1292" spans="2:12" x14ac:dyDescent="0.25">
      <c r="B1292" s="14" t="str">
        <f t="shared" ca="1" si="110"/>
        <v/>
      </c>
      <c r="C1292" s="14" t="str">
        <f ca="1">IF(I1291&lt;&gt;Variables!$B$1,IF(H1291&lt;&gt;0,C1291,I1291),"")</f>
        <v/>
      </c>
      <c r="D1292" s="29" t="str">
        <f t="shared" ca="1" si="107"/>
        <v/>
      </c>
      <c r="E1292" s="29" t="str">
        <f t="shared" ca="1" si="108"/>
        <v/>
      </c>
      <c r="F1292" s="29" t="str">
        <f ca="1">IF(C1292&lt;&gt;"",IF(OR(VLOOKUP(C1292,$C$3:$L$6,5,0)=Variables!$B$5,B1292&gt;VLOOKUP(C1292,$C$3:$L$6,8,0)),-D1292*VLOOKUP(C1292,$C$3:$L$6,6,0)/12,0),"")</f>
        <v/>
      </c>
      <c r="G1292" s="29" t="str">
        <f ca="1">IF(I1292&lt;&gt;Variables!$B$1,IF(C1292&lt;&gt;"",$I$9-E1292-F1292,""),-D1292)</f>
        <v/>
      </c>
      <c r="H1292" s="29" t="str">
        <f t="shared" ca="1" si="111"/>
        <v/>
      </c>
      <c r="I1292" s="31" t="str">
        <f ca="1">IF(C1292&lt;&gt;"",IF(D1292+$I$9-E1292-F1292&gt;=0,IF(ISERROR(INDEX($C$3:$C$6,MATCH(C1292,$C$3:$C$6,0)+1,0)),Variables!$B$1,INDEX($C$3:$C$6,MATCH(C1292,$C$3:$C$6,0)+1,0)),""),"")</f>
        <v/>
      </c>
      <c r="J1292" s="29" t="str">
        <f ca="1">IF(ISERROR(VLOOKUP(I1292,$C$3:$L$6,5,0)),"",IF(OR(VLOOKUP(I1292,$C$3:$L$6,5,0)=Variables!$B$5,B1292&gt;VLOOKUP(I1292,$C$3:$L$6,8,0)),IF(VLOOKUP(I1292,$C$3:$L$6,5,0)=Variables!$B$5,((YEAR(B1292)-YEAR($B$12))*12+MONTH(B1292)-MONTH($B$12)),((YEAR(B1292)-YEAR(VLOOKUP(I1292,$C$3:$L$6,8,0)))*12+MONTH(B1292)-MONTH(VLOOKUP(I1292,$C$3:$L$6,8,0))))*(VLOOKUP(I1292,$C$3:$L$6,10,0)*VLOOKUP(I1292,$C$3:$L$6,6,0)/12),0))</f>
        <v/>
      </c>
      <c r="K1292" s="29" t="str">
        <f ca="1">IF(C1292&lt;&gt;"",IF(I1292&lt;&gt;"",IF(ISERROR(VLOOKUP(I1292,$C$3:$L$6,10,0)),"",VLOOKUP(I1292,$C$3:$L$6,10,0)+J1292+IF(OR(VLOOKUP(I1292,$C$3:$L$6,5,0)=Variables!$B$5,B1292&gt;VLOOKUP(I1292,$C$3:$L$6,8,0)),IF(VLOOKUP(I1292,$C$3:$L$6,5,0)=Variables!$B$5,((YEAR(B1292)-YEAR($B$12))*12+MONTH(B1292)-MONTH($B$12)),((YEAR(B1292)-YEAR(VLOOKUP(I1292,$C$3:$L$6,8,0)))*12+MONTH(B1292)-MONTH(VLOOKUP(I1292,$C$3:$L$6,8,0))))*VLOOKUP(I1292,$C$3:$L$6,7,0),0)),""),"")</f>
        <v/>
      </c>
      <c r="L1292" s="29" t="str">
        <f t="shared" ca="1" si="109"/>
        <v/>
      </c>
    </row>
    <row r="1293" spans="2:12" x14ac:dyDescent="0.25">
      <c r="B1293" s="14" t="str">
        <f t="shared" ca="1" si="110"/>
        <v/>
      </c>
      <c r="C1293" s="14" t="str">
        <f ca="1">IF(I1292&lt;&gt;Variables!$B$1,IF(H1292&lt;&gt;0,C1292,I1292),"")</f>
        <v/>
      </c>
      <c r="D1293" s="29" t="str">
        <f t="shared" ca="1" si="107"/>
        <v/>
      </c>
      <c r="E1293" s="29" t="str">
        <f t="shared" ca="1" si="108"/>
        <v/>
      </c>
      <c r="F1293" s="29" t="str">
        <f ca="1">IF(C1293&lt;&gt;"",IF(OR(VLOOKUP(C1293,$C$3:$L$6,5,0)=Variables!$B$5,B1293&gt;VLOOKUP(C1293,$C$3:$L$6,8,0)),-D1293*VLOOKUP(C1293,$C$3:$L$6,6,0)/12,0),"")</f>
        <v/>
      </c>
      <c r="G1293" s="29" t="str">
        <f ca="1">IF(I1293&lt;&gt;Variables!$B$1,IF(C1293&lt;&gt;"",$I$9-E1293-F1293,""),-D1293)</f>
        <v/>
      </c>
      <c r="H1293" s="29" t="str">
        <f t="shared" ca="1" si="111"/>
        <v/>
      </c>
      <c r="I1293" s="31" t="str">
        <f ca="1">IF(C1293&lt;&gt;"",IF(D1293+$I$9-E1293-F1293&gt;=0,IF(ISERROR(INDEX($C$3:$C$6,MATCH(C1293,$C$3:$C$6,0)+1,0)),Variables!$B$1,INDEX($C$3:$C$6,MATCH(C1293,$C$3:$C$6,0)+1,0)),""),"")</f>
        <v/>
      </c>
      <c r="J1293" s="29" t="str">
        <f ca="1">IF(ISERROR(VLOOKUP(I1293,$C$3:$L$6,5,0)),"",IF(OR(VLOOKUP(I1293,$C$3:$L$6,5,0)=Variables!$B$5,B1293&gt;VLOOKUP(I1293,$C$3:$L$6,8,0)),IF(VLOOKUP(I1293,$C$3:$L$6,5,0)=Variables!$B$5,((YEAR(B1293)-YEAR($B$12))*12+MONTH(B1293)-MONTH($B$12)),((YEAR(B1293)-YEAR(VLOOKUP(I1293,$C$3:$L$6,8,0)))*12+MONTH(B1293)-MONTH(VLOOKUP(I1293,$C$3:$L$6,8,0))))*(VLOOKUP(I1293,$C$3:$L$6,10,0)*VLOOKUP(I1293,$C$3:$L$6,6,0)/12),0))</f>
        <v/>
      </c>
      <c r="K1293" s="29" t="str">
        <f ca="1">IF(C1293&lt;&gt;"",IF(I1293&lt;&gt;"",IF(ISERROR(VLOOKUP(I1293,$C$3:$L$6,10,0)),"",VLOOKUP(I1293,$C$3:$L$6,10,0)+J1293+IF(OR(VLOOKUP(I1293,$C$3:$L$6,5,0)=Variables!$B$5,B1293&gt;VLOOKUP(I1293,$C$3:$L$6,8,0)),IF(VLOOKUP(I1293,$C$3:$L$6,5,0)=Variables!$B$5,((YEAR(B1293)-YEAR($B$12))*12+MONTH(B1293)-MONTH($B$12)),((YEAR(B1293)-YEAR(VLOOKUP(I1293,$C$3:$L$6,8,0)))*12+MONTH(B1293)-MONTH(VLOOKUP(I1293,$C$3:$L$6,8,0))))*VLOOKUP(I1293,$C$3:$L$6,7,0),0)),""),"")</f>
        <v/>
      </c>
      <c r="L1293" s="29" t="str">
        <f t="shared" ca="1" si="109"/>
        <v/>
      </c>
    </row>
    <row r="1294" spans="2:12" x14ac:dyDescent="0.25">
      <c r="B1294" s="14" t="str">
        <f t="shared" ca="1" si="110"/>
        <v/>
      </c>
      <c r="C1294" s="14" t="str">
        <f ca="1">IF(I1293&lt;&gt;Variables!$B$1,IF(H1293&lt;&gt;0,C1293,I1293),"")</f>
        <v/>
      </c>
      <c r="D1294" s="29" t="str">
        <f t="shared" ca="1" si="107"/>
        <v/>
      </c>
      <c r="E1294" s="29" t="str">
        <f t="shared" ca="1" si="108"/>
        <v/>
      </c>
      <c r="F1294" s="29" t="str">
        <f ca="1">IF(C1294&lt;&gt;"",IF(OR(VLOOKUP(C1294,$C$3:$L$6,5,0)=Variables!$B$5,B1294&gt;VLOOKUP(C1294,$C$3:$L$6,8,0)),-D1294*VLOOKUP(C1294,$C$3:$L$6,6,0)/12,0),"")</f>
        <v/>
      </c>
      <c r="G1294" s="29" t="str">
        <f ca="1">IF(I1294&lt;&gt;Variables!$B$1,IF(C1294&lt;&gt;"",$I$9-E1294-F1294,""),-D1294)</f>
        <v/>
      </c>
      <c r="H1294" s="29" t="str">
        <f t="shared" ca="1" si="111"/>
        <v/>
      </c>
      <c r="I1294" s="31" t="str">
        <f ca="1">IF(C1294&lt;&gt;"",IF(D1294+$I$9-E1294-F1294&gt;=0,IF(ISERROR(INDEX($C$3:$C$6,MATCH(C1294,$C$3:$C$6,0)+1,0)),Variables!$B$1,INDEX($C$3:$C$6,MATCH(C1294,$C$3:$C$6,0)+1,0)),""),"")</f>
        <v/>
      </c>
      <c r="J1294" s="29" t="str">
        <f ca="1">IF(ISERROR(VLOOKUP(I1294,$C$3:$L$6,5,0)),"",IF(OR(VLOOKUP(I1294,$C$3:$L$6,5,0)=Variables!$B$5,B1294&gt;VLOOKUP(I1294,$C$3:$L$6,8,0)),IF(VLOOKUP(I1294,$C$3:$L$6,5,0)=Variables!$B$5,((YEAR(B1294)-YEAR($B$12))*12+MONTH(B1294)-MONTH($B$12)),((YEAR(B1294)-YEAR(VLOOKUP(I1294,$C$3:$L$6,8,0)))*12+MONTH(B1294)-MONTH(VLOOKUP(I1294,$C$3:$L$6,8,0))))*(VLOOKUP(I1294,$C$3:$L$6,10,0)*VLOOKUP(I1294,$C$3:$L$6,6,0)/12),0))</f>
        <v/>
      </c>
      <c r="K1294" s="29" t="str">
        <f ca="1">IF(C1294&lt;&gt;"",IF(I1294&lt;&gt;"",IF(ISERROR(VLOOKUP(I1294,$C$3:$L$6,10,0)),"",VLOOKUP(I1294,$C$3:$L$6,10,0)+J1294+IF(OR(VLOOKUP(I1294,$C$3:$L$6,5,0)=Variables!$B$5,B1294&gt;VLOOKUP(I1294,$C$3:$L$6,8,0)),IF(VLOOKUP(I1294,$C$3:$L$6,5,0)=Variables!$B$5,((YEAR(B1294)-YEAR($B$12))*12+MONTH(B1294)-MONTH($B$12)),((YEAR(B1294)-YEAR(VLOOKUP(I1294,$C$3:$L$6,8,0)))*12+MONTH(B1294)-MONTH(VLOOKUP(I1294,$C$3:$L$6,8,0))))*VLOOKUP(I1294,$C$3:$L$6,7,0),0)),""),"")</f>
        <v/>
      </c>
      <c r="L1294" s="29" t="str">
        <f t="shared" ca="1" si="109"/>
        <v/>
      </c>
    </row>
    <row r="1295" spans="2:12" x14ac:dyDescent="0.25">
      <c r="B1295" s="14" t="str">
        <f t="shared" ca="1" si="110"/>
        <v/>
      </c>
      <c r="C1295" s="14" t="str">
        <f ca="1">IF(I1294&lt;&gt;Variables!$B$1,IF(H1294&lt;&gt;0,C1294,I1294),"")</f>
        <v/>
      </c>
      <c r="D1295" s="29" t="str">
        <f t="shared" ca="1" si="107"/>
        <v/>
      </c>
      <c r="E1295" s="29" t="str">
        <f t="shared" ca="1" si="108"/>
        <v/>
      </c>
      <c r="F1295" s="29" t="str">
        <f ca="1">IF(C1295&lt;&gt;"",IF(OR(VLOOKUP(C1295,$C$3:$L$6,5,0)=Variables!$B$5,B1295&gt;VLOOKUP(C1295,$C$3:$L$6,8,0)),-D1295*VLOOKUP(C1295,$C$3:$L$6,6,0)/12,0),"")</f>
        <v/>
      </c>
      <c r="G1295" s="29" t="str">
        <f ca="1">IF(I1295&lt;&gt;Variables!$B$1,IF(C1295&lt;&gt;"",$I$9-E1295-F1295,""),-D1295)</f>
        <v/>
      </c>
      <c r="H1295" s="29" t="str">
        <f t="shared" ca="1" si="111"/>
        <v/>
      </c>
      <c r="I1295" s="31" t="str">
        <f ca="1">IF(C1295&lt;&gt;"",IF(D1295+$I$9-E1295-F1295&gt;=0,IF(ISERROR(INDEX($C$3:$C$6,MATCH(C1295,$C$3:$C$6,0)+1,0)),Variables!$B$1,INDEX($C$3:$C$6,MATCH(C1295,$C$3:$C$6,0)+1,0)),""),"")</f>
        <v/>
      </c>
      <c r="J1295" s="29" t="str">
        <f ca="1">IF(ISERROR(VLOOKUP(I1295,$C$3:$L$6,5,0)),"",IF(OR(VLOOKUP(I1295,$C$3:$L$6,5,0)=Variables!$B$5,B1295&gt;VLOOKUP(I1295,$C$3:$L$6,8,0)),IF(VLOOKUP(I1295,$C$3:$L$6,5,0)=Variables!$B$5,((YEAR(B1295)-YEAR($B$12))*12+MONTH(B1295)-MONTH($B$12)),((YEAR(B1295)-YEAR(VLOOKUP(I1295,$C$3:$L$6,8,0)))*12+MONTH(B1295)-MONTH(VLOOKUP(I1295,$C$3:$L$6,8,0))))*(VLOOKUP(I1295,$C$3:$L$6,10,0)*VLOOKUP(I1295,$C$3:$L$6,6,0)/12),0))</f>
        <v/>
      </c>
      <c r="K1295" s="29" t="str">
        <f ca="1">IF(C1295&lt;&gt;"",IF(I1295&lt;&gt;"",IF(ISERROR(VLOOKUP(I1295,$C$3:$L$6,10,0)),"",VLOOKUP(I1295,$C$3:$L$6,10,0)+J1295+IF(OR(VLOOKUP(I1295,$C$3:$L$6,5,0)=Variables!$B$5,B1295&gt;VLOOKUP(I1295,$C$3:$L$6,8,0)),IF(VLOOKUP(I1295,$C$3:$L$6,5,0)=Variables!$B$5,((YEAR(B1295)-YEAR($B$12))*12+MONTH(B1295)-MONTH($B$12)),((YEAR(B1295)-YEAR(VLOOKUP(I1295,$C$3:$L$6,8,0)))*12+MONTH(B1295)-MONTH(VLOOKUP(I1295,$C$3:$L$6,8,0))))*VLOOKUP(I1295,$C$3:$L$6,7,0),0)),""),"")</f>
        <v/>
      </c>
      <c r="L1295" s="29" t="str">
        <f t="shared" ca="1" si="109"/>
        <v/>
      </c>
    </row>
    <row r="1296" spans="2:12" x14ac:dyDescent="0.25">
      <c r="B1296" s="14" t="str">
        <f t="shared" ca="1" si="110"/>
        <v/>
      </c>
      <c r="C1296" s="14" t="str">
        <f ca="1">IF(I1295&lt;&gt;Variables!$B$1,IF(H1295&lt;&gt;0,C1295,I1295),"")</f>
        <v/>
      </c>
      <c r="D1296" s="29" t="str">
        <f t="shared" ca="1" si="107"/>
        <v/>
      </c>
      <c r="E1296" s="29" t="str">
        <f t="shared" ca="1" si="108"/>
        <v/>
      </c>
      <c r="F1296" s="29" t="str">
        <f ca="1">IF(C1296&lt;&gt;"",IF(OR(VLOOKUP(C1296,$C$3:$L$6,5,0)=Variables!$B$5,B1296&gt;VLOOKUP(C1296,$C$3:$L$6,8,0)),-D1296*VLOOKUP(C1296,$C$3:$L$6,6,0)/12,0),"")</f>
        <v/>
      </c>
      <c r="G1296" s="29" t="str">
        <f ca="1">IF(I1296&lt;&gt;Variables!$B$1,IF(C1296&lt;&gt;"",$I$9-E1296-F1296,""),-D1296)</f>
        <v/>
      </c>
      <c r="H1296" s="29" t="str">
        <f t="shared" ca="1" si="111"/>
        <v/>
      </c>
      <c r="I1296" s="31" t="str">
        <f ca="1">IF(C1296&lt;&gt;"",IF(D1296+$I$9-E1296-F1296&gt;=0,IF(ISERROR(INDEX($C$3:$C$6,MATCH(C1296,$C$3:$C$6,0)+1,0)),Variables!$B$1,INDEX($C$3:$C$6,MATCH(C1296,$C$3:$C$6,0)+1,0)),""),"")</f>
        <v/>
      </c>
      <c r="J1296" s="29" t="str">
        <f ca="1">IF(ISERROR(VLOOKUP(I1296,$C$3:$L$6,5,0)),"",IF(OR(VLOOKUP(I1296,$C$3:$L$6,5,0)=Variables!$B$5,B1296&gt;VLOOKUP(I1296,$C$3:$L$6,8,0)),IF(VLOOKUP(I1296,$C$3:$L$6,5,0)=Variables!$B$5,((YEAR(B1296)-YEAR($B$12))*12+MONTH(B1296)-MONTH($B$12)),((YEAR(B1296)-YEAR(VLOOKUP(I1296,$C$3:$L$6,8,0)))*12+MONTH(B1296)-MONTH(VLOOKUP(I1296,$C$3:$L$6,8,0))))*(VLOOKUP(I1296,$C$3:$L$6,10,0)*VLOOKUP(I1296,$C$3:$L$6,6,0)/12),0))</f>
        <v/>
      </c>
      <c r="K1296" s="29" t="str">
        <f ca="1">IF(C1296&lt;&gt;"",IF(I1296&lt;&gt;"",IF(ISERROR(VLOOKUP(I1296,$C$3:$L$6,10,0)),"",VLOOKUP(I1296,$C$3:$L$6,10,0)+J1296+IF(OR(VLOOKUP(I1296,$C$3:$L$6,5,0)=Variables!$B$5,B1296&gt;VLOOKUP(I1296,$C$3:$L$6,8,0)),IF(VLOOKUP(I1296,$C$3:$L$6,5,0)=Variables!$B$5,((YEAR(B1296)-YEAR($B$12))*12+MONTH(B1296)-MONTH($B$12)),((YEAR(B1296)-YEAR(VLOOKUP(I1296,$C$3:$L$6,8,0)))*12+MONTH(B1296)-MONTH(VLOOKUP(I1296,$C$3:$L$6,8,0))))*VLOOKUP(I1296,$C$3:$L$6,7,0),0)),""),"")</f>
        <v/>
      </c>
      <c r="L1296" s="29" t="str">
        <f t="shared" ca="1" si="109"/>
        <v/>
      </c>
    </row>
    <row r="1297" spans="2:12" x14ac:dyDescent="0.25">
      <c r="B1297" s="14" t="str">
        <f t="shared" ca="1" si="110"/>
        <v/>
      </c>
      <c r="C1297" s="14" t="str">
        <f ca="1">IF(I1296&lt;&gt;Variables!$B$1,IF(H1296&lt;&gt;0,C1296,I1296),"")</f>
        <v/>
      </c>
      <c r="D1297" s="29" t="str">
        <f t="shared" ca="1" si="107"/>
        <v/>
      </c>
      <c r="E1297" s="29" t="str">
        <f t="shared" ca="1" si="108"/>
        <v/>
      </c>
      <c r="F1297" s="29" t="str">
        <f ca="1">IF(C1297&lt;&gt;"",IF(OR(VLOOKUP(C1297,$C$3:$L$6,5,0)=Variables!$B$5,B1297&gt;VLOOKUP(C1297,$C$3:$L$6,8,0)),-D1297*VLOOKUP(C1297,$C$3:$L$6,6,0)/12,0),"")</f>
        <v/>
      </c>
      <c r="G1297" s="29" t="str">
        <f ca="1">IF(I1297&lt;&gt;Variables!$B$1,IF(C1297&lt;&gt;"",$I$9-E1297-F1297,""),-D1297)</f>
        <v/>
      </c>
      <c r="H1297" s="29" t="str">
        <f t="shared" ca="1" si="111"/>
        <v/>
      </c>
      <c r="I1297" s="31" t="str">
        <f ca="1">IF(C1297&lt;&gt;"",IF(D1297+$I$9-E1297-F1297&gt;=0,IF(ISERROR(INDEX($C$3:$C$6,MATCH(C1297,$C$3:$C$6,0)+1,0)),Variables!$B$1,INDEX($C$3:$C$6,MATCH(C1297,$C$3:$C$6,0)+1,0)),""),"")</f>
        <v/>
      </c>
      <c r="J1297" s="29" t="str">
        <f ca="1">IF(ISERROR(VLOOKUP(I1297,$C$3:$L$6,5,0)),"",IF(OR(VLOOKUP(I1297,$C$3:$L$6,5,0)=Variables!$B$5,B1297&gt;VLOOKUP(I1297,$C$3:$L$6,8,0)),IF(VLOOKUP(I1297,$C$3:$L$6,5,0)=Variables!$B$5,((YEAR(B1297)-YEAR($B$12))*12+MONTH(B1297)-MONTH($B$12)),((YEAR(B1297)-YEAR(VLOOKUP(I1297,$C$3:$L$6,8,0)))*12+MONTH(B1297)-MONTH(VLOOKUP(I1297,$C$3:$L$6,8,0))))*(VLOOKUP(I1297,$C$3:$L$6,10,0)*VLOOKUP(I1297,$C$3:$L$6,6,0)/12),0))</f>
        <v/>
      </c>
      <c r="K1297" s="29" t="str">
        <f ca="1">IF(C1297&lt;&gt;"",IF(I1297&lt;&gt;"",IF(ISERROR(VLOOKUP(I1297,$C$3:$L$6,10,0)),"",VLOOKUP(I1297,$C$3:$L$6,10,0)+J1297+IF(OR(VLOOKUP(I1297,$C$3:$L$6,5,0)=Variables!$B$5,B1297&gt;VLOOKUP(I1297,$C$3:$L$6,8,0)),IF(VLOOKUP(I1297,$C$3:$L$6,5,0)=Variables!$B$5,((YEAR(B1297)-YEAR($B$12))*12+MONTH(B1297)-MONTH($B$12)),((YEAR(B1297)-YEAR(VLOOKUP(I1297,$C$3:$L$6,8,0)))*12+MONTH(B1297)-MONTH(VLOOKUP(I1297,$C$3:$L$6,8,0))))*VLOOKUP(I1297,$C$3:$L$6,7,0),0)),""),"")</f>
        <v/>
      </c>
      <c r="L1297" s="29" t="str">
        <f t="shared" ca="1" si="109"/>
        <v/>
      </c>
    </row>
    <row r="1298" spans="2:12" x14ac:dyDescent="0.25">
      <c r="B1298" s="14" t="str">
        <f t="shared" ca="1" si="110"/>
        <v/>
      </c>
      <c r="C1298" s="14" t="str">
        <f ca="1">IF(I1297&lt;&gt;Variables!$B$1,IF(H1297&lt;&gt;0,C1297,I1297),"")</f>
        <v/>
      </c>
      <c r="D1298" s="29" t="str">
        <f t="shared" ca="1" si="107"/>
        <v/>
      </c>
      <c r="E1298" s="29" t="str">
        <f t="shared" ca="1" si="108"/>
        <v/>
      </c>
      <c r="F1298" s="29" t="str">
        <f ca="1">IF(C1298&lt;&gt;"",IF(OR(VLOOKUP(C1298,$C$3:$L$6,5,0)=Variables!$B$5,B1298&gt;VLOOKUP(C1298,$C$3:$L$6,8,0)),-D1298*VLOOKUP(C1298,$C$3:$L$6,6,0)/12,0),"")</f>
        <v/>
      </c>
      <c r="G1298" s="29" t="str">
        <f ca="1">IF(I1298&lt;&gt;Variables!$B$1,IF(C1298&lt;&gt;"",$I$9-E1298-F1298,""),-D1298)</f>
        <v/>
      </c>
      <c r="H1298" s="29" t="str">
        <f t="shared" ca="1" si="111"/>
        <v/>
      </c>
      <c r="I1298" s="31" t="str">
        <f ca="1">IF(C1298&lt;&gt;"",IF(D1298+$I$9-E1298-F1298&gt;=0,IF(ISERROR(INDEX($C$3:$C$6,MATCH(C1298,$C$3:$C$6,0)+1,0)),Variables!$B$1,INDEX($C$3:$C$6,MATCH(C1298,$C$3:$C$6,0)+1,0)),""),"")</f>
        <v/>
      </c>
      <c r="J1298" s="29" t="str">
        <f ca="1">IF(ISERROR(VLOOKUP(I1298,$C$3:$L$6,5,0)),"",IF(OR(VLOOKUP(I1298,$C$3:$L$6,5,0)=Variables!$B$5,B1298&gt;VLOOKUP(I1298,$C$3:$L$6,8,0)),IF(VLOOKUP(I1298,$C$3:$L$6,5,0)=Variables!$B$5,((YEAR(B1298)-YEAR($B$12))*12+MONTH(B1298)-MONTH($B$12)),((YEAR(B1298)-YEAR(VLOOKUP(I1298,$C$3:$L$6,8,0)))*12+MONTH(B1298)-MONTH(VLOOKUP(I1298,$C$3:$L$6,8,0))))*(VLOOKUP(I1298,$C$3:$L$6,10,0)*VLOOKUP(I1298,$C$3:$L$6,6,0)/12),0))</f>
        <v/>
      </c>
      <c r="K1298" s="29" t="str">
        <f ca="1">IF(C1298&lt;&gt;"",IF(I1298&lt;&gt;"",IF(ISERROR(VLOOKUP(I1298,$C$3:$L$6,10,0)),"",VLOOKUP(I1298,$C$3:$L$6,10,0)+J1298+IF(OR(VLOOKUP(I1298,$C$3:$L$6,5,0)=Variables!$B$5,B1298&gt;VLOOKUP(I1298,$C$3:$L$6,8,0)),IF(VLOOKUP(I1298,$C$3:$L$6,5,0)=Variables!$B$5,((YEAR(B1298)-YEAR($B$12))*12+MONTH(B1298)-MONTH($B$12)),((YEAR(B1298)-YEAR(VLOOKUP(I1298,$C$3:$L$6,8,0)))*12+MONTH(B1298)-MONTH(VLOOKUP(I1298,$C$3:$L$6,8,0))))*VLOOKUP(I1298,$C$3:$L$6,7,0),0)),""),"")</f>
        <v/>
      </c>
      <c r="L1298" s="29" t="str">
        <f t="shared" ca="1" si="109"/>
        <v/>
      </c>
    </row>
    <row r="1299" spans="2:12" x14ac:dyDescent="0.25">
      <c r="B1299" s="14" t="str">
        <f t="shared" ca="1" si="110"/>
        <v/>
      </c>
      <c r="C1299" s="14" t="str">
        <f ca="1">IF(I1298&lt;&gt;Variables!$B$1,IF(H1298&lt;&gt;0,C1298,I1298),"")</f>
        <v/>
      </c>
      <c r="D1299" s="29" t="str">
        <f t="shared" ca="1" si="107"/>
        <v/>
      </c>
      <c r="E1299" s="29" t="str">
        <f t="shared" ca="1" si="108"/>
        <v/>
      </c>
      <c r="F1299" s="29" t="str">
        <f ca="1">IF(C1299&lt;&gt;"",IF(OR(VLOOKUP(C1299,$C$3:$L$6,5,0)=Variables!$B$5,B1299&gt;VLOOKUP(C1299,$C$3:$L$6,8,0)),-D1299*VLOOKUP(C1299,$C$3:$L$6,6,0)/12,0),"")</f>
        <v/>
      </c>
      <c r="G1299" s="29" t="str">
        <f ca="1">IF(I1299&lt;&gt;Variables!$B$1,IF(C1299&lt;&gt;"",$I$9-E1299-F1299,""),-D1299)</f>
        <v/>
      </c>
      <c r="H1299" s="29" t="str">
        <f t="shared" ca="1" si="111"/>
        <v/>
      </c>
      <c r="I1299" s="31" t="str">
        <f ca="1">IF(C1299&lt;&gt;"",IF(D1299+$I$9-E1299-F1299&gt;=0,IF(ISERROR(INDEX($C$3:$C$6,MATCH(C1299,$C$3:$C$6,0)+1,0)),Variables!$B$1,INDEX($C$3:$C$6,MATCH(C1299,$C$3:$C$6,0)+1,0)),""),"")</f>
        <v/>
      </c>
      <c r="J1299" s="29" t="str">
        <f ca="1">IF(ISERROR(VLOOKUP(I1299,$C$3:$L$6,5,0)),"",IF(OR(VLOOKUP(I1299,$C$3:$L$6,5,0)=Variables!$B$5,B1299&gt;VLOOKUP(I1299,$C$3:$L$6,8,0)),IF(VLOOKUP(I1299,$C$3:$L$6,5,0)=Variables!$B$5,((YEAR(B1299)-YEAR($B$12))*12+MONTH(B1299)-MONTH($B$12)),((YEAR(B1299)-YEAR(VLOOKUP(I1299,$C$3:$L$6,8,0)))*12+MONTH(B1299)-MONTH(VLOOKUP(I1299,$C$3:$L$6,8,0))))*(VLOOKUP(I1299,$C$3:$L$6,10,0)*VLOOKUP(I1299,$C$3:$L$6,6,0)/12),0))</f>
        <v/>
      </c>
      <c r="K1299" s="29" t="str">
        <f ca="1">IF(C1299&lt;&gt;"",IF(I1299&lt;&gt;"",IF(ISERROR(VLOOKUP(I1299,$C$3:$L$6,10,0)),"",VLOOKUP(I1299,$C$3:$L$6,10,0)+J1299+IF(OR(VLOOKUP(I1299,$C$3:$L$6,5,0)=Variables!$B$5,B1299&gt;VLOOKUP(I1299,$C$3:$L$6,8,0)),IF(VLOOKUP(I1299,$C$3:$L$6,5,0)=Variables!$B$5,((YEAR(B1299)-YEAR($B$12))*12+MONTH(B1299)-MONTH($B$12)),((YEAR(B1299)-YEAR(VLOOKUP(I1299,$C$3:$L$6,8,0)))*12+MONTH(B1299)-MONTH(VLOOKUP(I1299,$C$3:$L$6,8,0))))*VLOOKUP(I1299,$C$3:$L$6,7,0),0)),""),"")</f>
        <v/>
      </c>
      <c r="L1299" s="29" t="str">
        <f t="shared" ca="1" si="109"/>
        <v/>
      </c>
    </row>
    <row r="1300" spans="2:12" x14ac:dyDescent="0.25">
      <c r="B1300" s="14" t="str">
        <f t="shared" ca="1" si="110"/>
        <v/>
      </c>
      <c r="C1300" s="14" t="str">
        <f ca="1">IF(I1299&lt;&gt;Variables!$B$1,IF(H1299&lt;&gt;0,C1299,I1299),"")</f>
        <v/>
      </c>
      <c r="D1300" s="29" t="str">
        <f t="shared" ca="1" si="107"/>
        <v/>
      </c>
      <c r="E1300" s="29" t="str">
        <f t="shared" ca="1" si="108"/>
        <v/>
      </c>
      <c r="F1300" s="29" t="str">
        <f ca="1">IF(C1300&lt;&gt;"",IF(OR(VLOOKUP(C1300,$C$3:$L$6,5,0)=Variables!$B$5,B1300&gt;VLOOKUP(C1300,$C$3:$L$6,8,0)),-D1300*VLOOKUP(C1300,$C$3:$L$6,6,0)/12,0),"")</f>
        <v/>
      </c>
      <c r="G1300" s="29" t="str">
        <f ca="1">IF(I1300&lt;&gt;Variables!$B$1,IF(C1300&lt;&gt;"",$I$9-E1300-F1300,""),-D1300)</f>
        <v/>
      </c>
      <c r="H1300" s="29" t="str">
        <f t="shared" ca="1" si="111"/>
        <v/>
      </c>
      <c r="I1300" s="31" t="str">
        <f ca="1">IF(C1300&lt;&gt;"",IF(D1300+$I$9-E1300-F1300&gt;=0,IF(ISERROR(INDEX($C$3:$C$6,MATCH(C1300,$C$3:$C$6,0)+1,0)),Variables!$B$1,INDEX($C$3:$C$6,MATCH(C1300,$C$3:$C$6,0)+1,0)),""),"")</f>
        <v/>
      </c>
      <c r="J1300" s="29" t="str">
        <f ca="1">IF(ISERROR(VLOOKUP(I1300,$C$3:$L$6,5,0)),"",IF(OR(VLOOKUP(I1300,$C$3:$L$6,5,0)=Variables!$B$5,B1300&gt;VLOOKUP(I1300,$C$3:$L$6,8,0)),IF(VLOOKUP(I1300,$C$3:$L$6,5,0)=Variables!$B$5,((YEAR(B1300)-YEAR($B$12))*12+MONTH(B1300)-MONTH($B$12)),((YEAR(B1300)-YEAR(VLOOKUP(I1300,$C$3:$L$6,8,0)))*12+MONTH(B1300)-MONTH(VLOOKUP(I1300,$C$3:$L$6,8,0))))*(VLOOKUP(I1300,$C$3:$L$6,10,0)*VLOOKUP(I1300,$C$3:$L$6,6,0)/12),0))</f>
        <v/>
      </c>
      <c r="K1300" s="29" t="str">
        <f ca="1">IF(C1300&lt;&gt;"",IF(I1300&lt;&gt;"",IF(ISERROR(VLOOKUP(I1300,$C$3:$L$6,10,0)),"",VLOOKUP(I1300,$C$3:$L$6,10,0)+J1300+IF(OR(VLOOKUP(I1300,$C$3:$L$6,5,0)=Variables!$B$5,B1300&gt;VLOOKUP(I1300,$C$3:$L$6,8,0)),IF(VLOOKUP(I1300,$C$3:$L$6,5,0)=Variables!$B$5,((YEAR(B1300)-YEAR($B$12))*12+MONTH(B1300)-MONTH($B$12)),((YEAR(B1300)-YEAR(VLOOKUP(I1300,$C$3:$L$6,8,0)))*12+MONTH(B1300)-MONTH(VLOOKUP(I1300,$C$3:$L$6,8,0))))*VLOOKUP(I1300,$C$3:$L$6,7,0),0)),""),"")</f>
        <v/>
      </c>
      <c r="L1300" s="29" t="str">
        <f t="shared" ca="1" si="109"/>
        <v/>
      </c>
    </row>
    <row r="1301" spans="2:12" x14ac:dyDescent="0.25">
      <c r="B1301" s="14" t="str">
        <f t="shared" ca="1" si="110"/>
        <v/>
      </c>
      <c r="C1301" s="14" t="str">
        <f ca="1">IF(I1300&lt;&gt;Variables!$B$1,IF(H1300&lt;&gt;0,C1300,I1300),"")</f>
        <v/>
      </c>
      <c r="D1301" s="29" t="str">
        <f t="shared" ca="1" si="107"/>
        <v/>
      </c>
      <c r="E1301" s="29" t="str">
        <f t="shared" ca="1" si="108"/>
        <v/>
      </c>
      <c r="F1301" s="29" t="str">
        <f ca="1">IF(C1301&lt;&gt;"",IF(OR(VLOOKUP(C1301,$C$3:$L$6,5,0)=Variables!$B$5,B1301&gt;VLOOKUP(C1301,$C$3:$L$6,8,0)),-D1301*VLOOKUP(C1301,$C$3:$L$6,6,0)/12,0),"")</f>
        <v/>
      </c>
      <c r="G1301" s="29" t="str">
        <f ca="1">IF(I1301&lt;&gt;Variables!$B$1,IF(C1301&lt;&gt;"",$I$9-E1301-F1301,""),-D1301)</f>
        <v/>
      </c>
      <c r="H1301" s="29" t="str">
        <f t="shared" ca="1" si="111"/>
        <v/>
      </c>
      <c r="I1301" s="31" t="str">
        <f ca="1">IF(C1301&lt;&gt;"",IF(D1301+$I$9-E1301-F1301&gt;=0,IF(ISERROR(INDEX($C$3:$C$6,MATCH(C1301,$C$3:$C$6,0)+1,0)),Variables!$B$1,INDEX($C$3:$C$6,MATCH(C1301,$C$3:$C$6,0)+1,0)),""),"")</f>
        <v/>
      </c>
      <c r="J1301" s="29" t="str">
        <f ca="1">IF(ISERROR(VLOOKUP(I1301,$C$3:$L$6,5,0)),"",IF(OR(VLOOKUP(I1301,$C$3:$L$6,5,0)=Variables!$B$5,B1301&gt;VLOOKUP(I1301,$C$3:$L$6,8,0)),IF(VLOOKUP(I1301,$C$3:$L$6,5,0)=Variables!$B$5,((YEAR(B1301)-YEAR($B$12))*12+MONTH(B1301)-MONTH($B$12)),((YEAR(B1301)-YEAR(VLOOKUP(I1301,$C$3:$L$6,8,0)))*12+MONTH(B1301)-MONTH(VLOOKUP(I1301,$C$3:$L$6,8,0))))*(VLOOKUP(I1301,$C$3:$L$6,10,0)*VLOOKUP(I1301,$C$3:$L$6,6,0)/12),0))</f>
        <v/>
      </c>
      <c r="K1301" s="29" t="str">
        <f ca="1">IF(C1301&lt;&gt;"",IF(I1301&lt;&gt;"",IF(ISERROR(VLOOKUP(I1301,$C$3:$L$6,10,0)),"",VLOOKUP(I1301,$C$3:$L$6,10,0)+J1301+IF(OR(VLOOKUP(I1301,$C$3:$L$6,5,0)=Variables!$B$5,B1301&gt;VLOOKUP(I1301,$C$3:$L$6,8,0)),IF(VLOOKUP(I1301,$C$3:$L$6,5,0)=Variables!$B$5,((YEAR(B1301)-YEAR($B$12))*12+MONTH(B1301)-MONTH($B$12)),((YEAR(B1301)-YEAR(VLOOKUP(I1301,$C$3:$L$6,8,0)))*12+MONTH(B1301)-MONTH(VLOOKUP(I1301,$C$3:$L$6,8,0))))*VLOOKUP(I1301,$C$3:$L$6,7,0),0)),""),"")</f>
        <v/>
      </c>
      <c r="L1301" s="29" t="str">
        <f t="shared" ca="1" si="109"/>
        <v/>
      </c>
    </row>
    <row r="1302" spans="2:12" x14ac:dyDescent="0.25">
      <c r="B1302" s="14" t="str">
        <f t="shared" ca="1" si="110"/>
        <v/>
      </c>
      <c r="C1302" s="14" t="str">
        <f ca="1">IF(I1301&lt;&gt;Variables!$B$1,IF(H1301&lt;&gt;0,C1301,I1301),"")</f>
        <v/>
      </c>
      <c r="D1302" s="29" t="str">
        <f t="shared" ca="1" si="107"/>
        <v/>
      </c>
      <c r="E1302" s="29" t="str">
        <f t="shared" ca="1" si="108"/>
        <v/>
      </c>
      <c r="F1302" s="29" t="str">
        <f ca="1">IF(C1302&lt;&gt;"",IF(OR(VLOOKUP(C1302,$C$3:$L$6,5,0)=Variables!$B$5,B1302&gt;VLOOKUP(C1302,$C$3:$L$6,8,0)),-D1302*VLOOKUP(C1302,$C$3:$L$6,6,0)/12,0),"")</f>
        <v/>
      </c>
      <c r="G1302" s="29" t="str">
        <f ca="1">IF(I1302&lt;&gt;Variables!$B$1,IF(C1302&lt;&gt;"",$I$9-E1302-F1302,""),-D1302)</f>
        <v/>
      </c>
      <c r="H1302" s="29" t="str">
        <f t="shared" ca="1" si="111"/>
        <v/>
      </c>
      <c r="I1302" s="31" t="str">
        <f ca="1">IF(C1302&lt;&gt;"",IF(D1302+$I$9-E1302-F1302&gt;=0,IF(ISERROR(INDEX($C$3:$C$6,MATCH(C1302,$C$3:$C$6,0)+1,0)),Variables!$B$1,INDEX($C$3:$C$6,MATCH(C1302,$C$3:$C$6,0)+1,0)),""),"")</f>
        <v/>
      </c>
      <c r="J1302" s="29" t="str">
        <f ca="1">IF(ISERROR(VLOOKUP(I1302,$C$3:$L$6,5,0)),"",IF(OR(VLOOKUP(I1302,$C$3:$L$6,5,0)=Variables!$B$5,B1302&gt;VLOOKUP(I1302,$C$3:$L$6,8,0)),IF(VLOOKUP(I1302,$C$3:$L$6,5,0)=Variables!$B$5,((YEAR(B1302)-YEAR($B$12))*12+MONTH(B1302)-MONTH($B$12)),((YEAR(B1302)-YEAR(VLOOKUP(I1302,$C$3:$L$6,8,0)))*12+MONTH(B1302)-MONTH(VLOOKUP(I1302,$C$3:$L$6,8,0))))*(VLOOKUP(I1302,$C$3:$L$6,10,0)*VLOOKUP(I1302,$C$3:$L$6,6,0)/12),0))</f>
        <v/>
      </c>
      <c r="K1302" s="29" t="str">
        <f ca="1">IF(C1302&lt;&gt;"",IF(I1302&lt;&gt;"",IF(ISERROR(VLOOKUP(I1302,$C$3:$L$6,10,0)),"",VLOOKUP(I1302,$C$3:$L$6,10,0)+J1302+IF(OR(VLOOKUP(I1302,$C$3:$L$6,5,0)=Variables!$B$5,B1302&gt;VLOOKUP(I1302,$C$3:$L$6,8,0)),IF(VLOOKUP(I1302,$C$3:$L$6,5,0)=Variables!$B$5,((YEAR(B1302)-YEAR($B$12))*12+MONTH(B1302)-MONTH($B$12)),((YEAR(B1302)-YEAR(VLOOKUP(I1302,$C$3:$L$6,8,0)))*12+MONTH(B1302)-MONTH(VLOOKUP(I1302,$C$3:$L$6,8,0))))*VLOOKUP(I1302,$C$3:$L$6,7,0),0)),""),"")</f>
        <v/>
      </c>
      <c r="L1302" s="29" t="str">
        <f t="shared" ca="1" si="109"/>
        <v/>
      </c>
    </row>
    <row r="1303" spans="2:12" x14ac:dyDescent="0.25">
      <c r="B1303" s="14" t="str">
        <f t="shared" ca="1" si="110"/>
        <v/>
      </c>
      <c r="C1303" s="14" t="str">
        <f ca="1">IF(I1302&lt;&gt;Variables!$B$1,IF(H1302&lt;&gt;0,C1302,I1302),"")</f>
        <v/>
      </c>
      <c r="D1303" s="29" t="str">
        <f t="shared" ca="1" si="107"/>
        <v/>
      </c>
      <c r="E1303" s="29" t="str">
        <f t="shared" ca="1" si="108"/>
        <v/>
      </c>
      <c r="F1303" s="29" t="str">
        <f ca="1">IF(C1303&lt;&gt;"",IF(OR(VLOOKUP(C1303,$C$3:$L$6,5,0)=Variables!$B$5,B1303&gt;VLOOKUP(C1303,$C$3:$L$6,8,0)),-D1303*VLOOKUP(C1303,$C$3:$L$6,6,0)/12,0),"")</f>
        <v/>
      </c>
      <c r="G1303" s="29" t="str">
        <f ca="1">IF(I1303&lt;&gt;Variables!$B$1,IF(C1303&lt;&gt;"",$I$9-E1303-F1303,""),-D1303)</f>
        <v/>
      </c>
      <c r="H1303" s="29" t="str">
        <f t="shared" ca="1" si="111"/>
        <v/>
      </c>
      <c r="I1303" s="31" t="str">
        <f ca="1">IF(C1303&lt;&gt;"",IF(D1303+$I$9-E1303-F1303&gt;=0,IF(ISERROR(INDEX($C$3:$C$6,MATCH(C1303,$C$3:$C$6,0)+1,0)),Variables!$B$1,INDEX($C$3:$C$6,MATCH(C1303,$C$3:$C$6,0)+1,0)),""),"")</f>
        <v/>
      </c>
      <c r="J1303" s="29" t="str">
        <f ca="1">IF(ISERROR(VLOOKUP(I1303,$C$3:$L$6,5,0)),"",IF(OR(VLOOKUP(I1303,$C$3:$L$6,5,0)=Variables!$B$5,B1303&gt;VLOOKUP(I1303,$C$3:$L$6,8,0)),IF(VLOOKUP(I1303,$C$3:$L$6,5,0)=Variables!$B$5,((YEAR(B1303)-YEAR($B$12))*12+MONTH(B1303)-MONTH($B$12)),((YEAR(B1303)-YEAR(VLOOKUP(I1303,$C$3:$L$6,8,0)))*12+MONTH(B1303)-MONTH(VLOOKUP(I1303,$C$3:$L$6,8,0))))*(VLOOKUP(I1303,$C$3:$L$6,10,0)*VLOOKUP(I1303,$C$3:$L$6,6,0)/12),0))</f>
        <v/>
      </c>
      <c r="K1303" s="29" t="str">
        <f ca="1">IF(C1303&lt;&gt;"",IF(I1303&lt;&gt;"",IF(ISERROR(VLOOKUP(I1303,$C$3:$L$6,10,0)),"",VLOOKUP(I1303,$C$3:$L$6,10,0)+J1303+IF(OR(VLOOKUP(I1303,$C$3:$L$6,5,0)=Variables!$B$5,B1303&gt;VLOOKUP(I1303,$C$3:$L$6,8,0)),IF(VLOOKUP(I1303,$C$3:$L$6,5,0)=Variables!$B$5,((YEAR(B1303)-YEAR($B$12))*12+MONTH(B1303)-MONTH($B$12)),((YEAR(B1303)-YEAR(VLOOKUP(I1303,$C$3:$L$6,8,0)))*12+MONTH(B1303)-MONTH(VLOOKUP(I1303,$C$3:$L$6,8,0))))*VLOOKUP(I1303,$C$3:$L$6,7,0),0)),""),"")</f>
        <v/>
      </c>
      <c r="L1303" s="29" t="str">
        <f t="shared" ca="1" si="109"/>
        <v/>
      </c>
    </row>
    <row r="1304" spans="2:12" x14ac:dyDescent="0.25">
      <c r="B1304" s="14" t="str">
        <f t="shared" ca="1" si="110"/>
        <v/>
      </c>
      <c r="C1304" s="14" t="str">
        <f ca="1">IF(I1303&lt;&gt;Variables!$B$1,IF(H1303&lt;&gt;0,C1303,I1303),"")</f>
        <v/>
      </c>
      <c r="D1304" s="29" t="str">
        <f t="shared" ca="1" si="107"/>
        <v/>
      </c>
      <c r="E1304" s="29" t="str">
        <f t="shared" ca="1" si="108"/>
        <v/>
      </c>
      <c r="F1304" s="29" t="str">
        <f ca="1">IF(C1304&lt;&gt;"",IF(OR(VLOOKUP(C1304,$C$3:$L$6,5,0)=Variables!$B$5,B1304&gt;VLOOKUP(C1304,$C$3:$L$6,8,0)),-D1304*VLOOKUP(C1304,$C$3:$L$6,6,0)/12,0),"")</f>
        <v/>
      </c>
      <c r="G1304" s="29" t="str">
        <f ca="1">IF(I1304&lt;&gt;Variables!$B$1,IF(C1304&lt;&gt;"",$I$9-E1304-F1304,""),-D1304)</f>
        <v/>
      </c>
      <c r="H1304" s="29" t="str">
        <f t="shared" ca="1" si="111"/>
        <v/>
      </c>
      <c r="I1304" s="31" t="str">
        <f ca="1">IF(C1304&lt;&gt;"",IF(D1304+$I$9-E1304-F1304&gt;=0,IF(ISERROR(INDEX($C$3:$C$6,MATCH(C1304,$C$3:$C$6,0)+1,0)),Variables!$B$1,INDEX($C$3:$C$6,MATCH(C1304,$C$3:$C$6,0)+1,0)),""),"")</f>
        <v/>
      </c>
      <c r="J1304" s="29" t="str">
        <f ca="1">IF(ISERROR(VLOOKUP(I1304,$C$3:$L$6,5,0)),"",IF(OR(VLOOKUP(I1304,$C$3:$L$6,5,0)=Variables!$B$5,B1304&gt;VLOOKUP(I1304,$C$3:$L$6,8,0)),IF(VLOOKUP(I1304,$C$3:$L$6,5,0)=Variables!$B$5,((YEAR(B1304)-YEAR($B$12))*12+MONTH(B1304)-MONTH($B$12)),((YEAR(B1304)-YEAR(VLOOKUP(I1304,$C$3:$L$6,8,0)))*12+MONTH(B1304)-MONTH(VLOOKUP(I1304,$C$3:$L$6,8,0))))*(VLOOKUP(I1304,$C$3:$L$6,10,0)*VLOOKUP(I1304,$C$3:$L$6,6,0)/12),0))</f>
        <v/>
      </c>
      <c r="K1304" s="29" t="str">
        <f ca="1">IF(C1304&lt;&gt;"",IF(I1304&lt;&gt;"",IF(ISERROR(VLOOKUP(I1304,$C$3:$L$6,10,0)),"",VLOOKUP(I1304,$C$3:$L$6,10,0)+J1304+IF(OR(VLOOKUP(I1304,$C$3:$L$6,5,0)=Variables!$B$5,B1304&gt;VLOOKUP(I1304,$C$3:$L$6,8,0)),IF(VLOOKUP(I1304,$C$3:$L$6,5,0)=Variables!$B$5,((YEAR(B1304)-YEAR($B$12))*12+MONTH(B1304)-MONTH($B$12)),((YEAR(B1304)-YEAR(VLOOKUP(I1304,$C$3:$L$6,8,0)))*12+MONTH(B1304)-MONTH(VLOOKUP(I1304,$C$3:$L$6,8,0))))*VLOOKUP(I1304,$C$3:$L$6,7,0),0)),""),"")</f>
        <v/>
      </c>
      <c r="L1304" s="29" t="str">
        <f t="shared" ca="1" si="109"/>
        <v/>
      </c>
    </row>
    <row r="1305" spans="2:12" x14ac:dyDescent="0.25">
      <c r="B1305" s="14" t="str">
        <f t="shared" ca="1" si="110"/>
        <v/>
      </c>
      <c r="C1305" s="14" t="str">
        <f ca="1">IF(I1304&lt;&gt;Variables!$B$1,IF(H1304&lt;&gt;0,C1304,I1304),"")</f>
        <v/>
      </c>
      <c r="D1305" s="29" t="str">
        <f t="shared" ca="1" si="107"/>
        <v/>
      </c>
      <c r="E1305" s="29" t="str">
        <f t="shared" ca="1" si="108"/>
        <v/>
      </c>
      <c r="F1305" s="29" t="str">
        <f ca="1">IF(C1305&lt;&gt;"",IF(OR(VLOOKUP(C1305,$C$3:$L$6,5,0)=Variables!$B$5,B1305&gt;VLOOKUP(C1305,$C$3:$L$6,8,0)),-D1305*VLOOKUP(C1305,$C$3:$L$6,6,0)/12,0),"")</f>
        <v/>
      </c>
      <c r="G1305" s="29" t="str">
        <f ca="1">IF(I1305&lt;&gt;Variables!$B$1,IF(C1305&lt;&gt;"",$I$9-E1305-F1305,""),-D1305)</f>
        <v/>
      </c>
      <c r="H1305" s="29" t="str">
        <f t="shared" ca="1" si="111"/>
        <v/>
      </c>
      <c r="I1305" s="31" t="str">
        <f ca="1">IF(C1305&lt;&gt;"",IF(D1305+$I$9-E1305-F1305&gt;=0,IF(ISERROR(INDEX($C$3:$C$6,MATCH(C1305,$C$3:$C$6,0)+1,0)),Variables!$B$1,INDEX($C$3:$C$6,MATCH(C1305,$C$3:$C$6,0)+1,0)),""),"")</f>
        <v/>
      </c>
      <c r="J1305" s="29" t="str">
        <f ca="1">IF(ISERROR(VLOOKUP(I1305,$C$3:$L$6,5,0)),"",IF(OR(VLOOKUP(I1305,$C$3:$L$6,5,0)=Variables!$B$5,B1305&gt;VLOOKUP(I1305,$C$3:$L$6,8,0)),IF(VLOOKUP(I1305,$C$3:$L$6,5,0)=Variables!$B$5,((YEAR(B1305)-YEAR($B$12))*12+MONTH(B1305)-MONTH($B$12)),((YEAR(B1305)-YEAR(VLOOKUP(I1305,$C$3:$L$6,8,0)))*12+MONTH(B1305)-MONTH(VLOOKUP(I1305,$C$3:$L$6,8,0))))*(VLOOKUP(I1305,$C$3:$L$6,10,0)*VLOOKUP(I1305,$C$3:$L$6,6,0)/12),0))</f>
        <v/>
      </c>
      <c r="K1305" s="29" t="str">
        <f ca="1">IF(C1305&lt;&gt;"",IF(I1305&lt;&gt;"",IF(ISERROR(VLOOKUP(I1305,$C$3:$L$6,10,0)),"",VLOOKUP(I1305,$C$3:$L$6,10,0)+J1305+IF(OR(VLOOKUP(I1305,$C$3:$L$6,5,0)=Variables!$B$5,B1305&gt;VLOOKUP(I1305,$C$3:$L$6,8,0)),IF(VLOOKUP(I1305,$C$3:$L$6,5,0)=Variables!$B$5,((YEAR(B1305)-YEAR($B$12))*12+MONTH(B1305)-MONTH($B$12)),((YEAR(B1305)-YEAR(VLOOKUP(I1305,$C$3:$L$6,8,0)))*12+MONTH(B1305)-MONTH(VLOOKUP(I1305,$C$3:$L$6,8,0))))*VLOOKUP(I1305,$C$3:$L$6,7,0),0)),""),"")</f>
        <v/>
      </c>
      <c r="L1305" s="29" t="str">
        <f t="shared" ca="1" si="109"/>
        <v/>
      </c>
    </row>
    <row r="1306" spans="2:12" x14ac:dyDescent="0.25">
      <c r="B1306" s="14" t="str">
        <f t="shared" ca="1" si="110"/>
        <v/>
      </c>
      <c r="C1306" s="14" t="str">
        <f ca="1">IF(I1305&lt;&gt;Variables!$B$1,IF(H1305&lt;&gt;0,C1305,I1305),"")</f>
        <v/>
      </c>
      <c r="D1306" s="29" t="str">
        <f t="shared" ca="1" si="107"/>
        <v/>
      </c>
      <c r="E1306" s="29" t="str">
        <f t="shared" ca="1" si="108"/>
        <v/>
      </c>
      <c r="F1306" s="29" t="str">
        <f ca="1">IF(C1306&lt;&gt;"",IF(OR(VLOOKUP(C1306,$C$3:$L$6,5,0)=Variables!$B$5,B1306&gt;VLOOKUP(C1306,$C$3:$L$6,8,0)),-D1306*VLOOKUP(C1306,$C$3:$L$6,6,0)/12,0),"")</f>
        <v/>
      </c>
      <c r="G1306" s="29" t="str">
        <f ca="1">IF(I1306&lt;&gt;Variables!$B$1,IF(C1306&lt;&gt;"",$I$9-E1306-F1306,""),-D1306)</f>
        <v/>
      </c>
      <c r="H1306" s="29" t="str">
        <f t="shared" ca="1" si="111"/>
        <v/>
      </c>
      <c r="I1306" s="31" t="str">
        <f ca="1">IF(C1306&lt;&gt;"",IF(D1306+$I$9-E1306-F1306&gt;=0,IF(ISERROR(INDEX($C$3:$C$6,MATCH(C1306,$C$3:$C$6,0)+1,0)),Variables!$B$1,INDEX($C$3:$C$6,MATCH(C1306,$C$3:$C$6,0)+1,0)),""),"")</f>
        <v/>
      </c>
      <c r="J1306" s="29" t="str">
        <f ca="1">IF(ISERROR(VLOOKUP(I1306,$C$3:$L$6,5,0)),"",IF(OR(VLOOKUP(I1306,$C$3:$L$6,5,0)=Variables!$B$5,B1306&gt;VLOOKUP(I1306,$C$3:$L$6,8,0)),IF(VLOOKUP(I1306,$C$3:$L$6,5,0)=Variables!$B$5,((YEAR(B1306)-YEAR($B$12))*12+MONTH(B1306)-MONTH($B$12)),((YEAR(B1306)-YEAR(VLOOKUP(I1306,$C$3:$L$6,8,0)))*12+MONTH(B1306)-MONTH(VLOOKUP(I1306,$C$3:$L$6,8,0))))*(VLOOKUP(I1306,$C$3:$L$6,10,0)*VLOOKUP(I1306,$C$3:$L$6,6,0)/12),0))</f>
        <v/>
      </c>
      <c r="K1306" s="29" t="str">
        <f ca="1">IF(C1306&lt;&gt;"",IF(I1306&lt;&gt;"",IF(ISERROR(VLOOKUP(I1306,$C$3:$L$6,10,0)),"",VLOOKUP(I1306,$C$3:$L$6,10,0)+J1306+IF(OR(VLOOKUP(I1306,$C$3:$L$6,5,0)=Variables!$B$5,B1306&gt;VLOOKUP(I1306,$C$3:$L$6,8,0)),IF(VLOOKUP(I1306,$C$3:$L$6,5,0)=Variables!$B$5,((YEAR(B1306)-YEAR($B$12))*12+MONTH(B1306)-MONTH($B$12)),((YEAR(B1306)-YEAR(VLOOKUP(I1306,$C$3:$L$6,8,0)))*12+MONTH(B1306)-MONTH(VLOOKUP(I1306,$C$3:$L$6,8,0))))*VLOOKUP(I1306,$C$3:$L$6,7,0),0)),""),"")</f>
        <v/>
      </c>
      <c r="L1306" s="29" t="str">
        <f t="shared" ca="1" si="109"/>
        <v/>
      </c>
    </row>
    <row r="1307" spans="2:12" x14ac:dyDescent="0.25">
      <c r="B1307" s="14" t="str">
        <f t="shared" ca="1" si="110"/>
        <v/>
      </c>
      <c r="C1307" s="14" t="str">
        <f ca="1">IF(I1306&lt;&gt;Variables!$B$1,IF(H1306&lt;&gt;0,C1306,I1306),"")</f>
        <v/>
      </c>
      <c r="D1307" s="29" t="str">
        <f t="shared" ca="1" si="107"/>
        <v/>
      </c>
      <c r="E1307" s="29" t="str">
        <f t="shared" ca="1" si="108"/>
        <v/>
      </c>
      <c r="F1307" s="29" t="str">
        <f ca="1">IF(C1307&lt;&gt;"",IF(OR(VLOOKUP(C1307,$C$3:$L$6,5,0)=Variables!$B$5,B1307&gt;VLOOKUP(C1307,$C$3:$L$6,8,0)),-D1307*VLOOKUP(C1307,$C$3:$L$6,6,0)/12,0),"")</f>
        <v/>
      </c>
      <c r="G1307" s="29" t="str">
        <f ca="1">IF(I1307&lt;&gt;Variables!$B$1,IF(C1307&lt;&gt;"",$I$9-E1307-F1307,""),-D1307)</f>
        <v/>
      </c>
      <c r="H1307" s="29" t="str">
        <f t="shared" ca="1" si="111"/>
        <v/>
      </c>
      <c r="I1307" s="31" t="str">
        <f ca="1">IF(C1307&lt;&gt;"",IF(D1307+$I$9-E1307-F1307&gt;=0,IF(ISERROR(INDEX($C$3:$C$6,MATCH(C1307,$C$3:$C$6,0)+1,0)),Variables!$B$1,INDEX($C$3:$C$6,MATCH(C1307,$C$3:$C$6,0)+1,0)),""),"")</f>
        <v/>
      </c>
      <c r="J1307" s="29" t="str">
        <f ca="1">IF(ISERROR(VLOOKUP(I1307,$C$3:$L$6,5,0)),"",IF(OR(VLOOKUP(I1307,$C$3:$L$6,5,0)=Variables!$B$5,B1307&gt;VLOOKUP(I1307,$C$3:$L$6,8,0)),IF(VLOOKUP(I1307,$C$3:$L$6,5,0)=Variables!$B$5,((YEAR(B1307)-YEAR($B$12))*12+MONTH(B1307)-MONTH($B$12)),((YEAR(B1307)-YEAR(VLOOKUP(I1307,$C$3:$L$6,8,0)))*12+MONTH(B1307)-MONTH(VLOOKUP(I1307,$C$3:$L$6,8,0))))*(VLOOKUP(I1307,$C$3:$L$6,10,0)*VLOOKUP(I1307,$C$3:$L$6,6,0)/12),0))</f>
        <v/>
      </c>
      <c r="K1307" s="29" t="str">
        <f ca="1">IF(C1307&lt;&gt;"",IF(I1307&lt;&gt;"",IF(ISERROR(VLOOKUP(I1307,$C$3:$L$6,10,0)),"",VLOOKUP(I1307,$C$3:$L$6,10,0)+J1307+IF(OR(VLOOKUP(I1307,$C$3:$L$6,5,0)=Variables!$B$5,B1307&gt;VLOOKUP(I1307,$C$3:$L$6,8,0)),IF(VLOOKUP(I1307,$C$3:$L$6,5,0)=Variables!$B$5,((YEAR(B1307)-YEAR($B$12))*12+MONTH(B1307)-MONTH($B$12)),((YEAR(B1307)-YEAR(VLOOKUP(I1307,$C$3:$L$6,8,0)))*12+MONTH(B1307)-MONTH(VLOOKUP(I1307,$C$3:$L$6,8,0))))*VLOOKUP(I1307,$C$3:$L$6,7,0),0)),""),"")</f>
        <v/>
      </c>
      <c r="L1307" s="29" t="str">
        <f t="shared" ca="1" si="109"/>
        <v/>
      </c>
    </row>
    <row r="1308" spans="2:12" x14ac:dyDescent="0.25">
      <c r="B1308" s="14" t="str">
        <f t="shared" ca="1" si="110"/>
        <v/>
      </c>
      <c r="C1308" s="14" t="str">
        <f ca="1">IF(I1307&lt;&gt;Variables!$B$1,IF(H1307&lt;&gt;0,C1307,I1307),"")</f>
        <v/>
      </c>
      <c r="D1308" s="29" t="str">
        <f t="shared" ref="D1308:D1371" ca="1" si="112">IF(C1308&lt;&gt;"",IF(H1307&lt;&gt;0,H1307,L1307),"")</f>
        <v/>
      </c>
      <c r="E1308" s="29" t="str">
        <f t="shared" ref="E1308:E1371" ca="1" si="113">IF(C1308&lt;&gt;"",MINPAYMENT(C1308,ROW(B1308),COLUMN(B1308)),"")</f>
        <v/>
      </c>
      <c r="F1308" s="29" t="str">
        <f ca="1">IF(C1308&lt;&gt;"",IF(OR(VLOOKUP(C1308,$C$3:$L$6,5,0)=Variables!$B$5,B1308&gt;VLOOKUP(C1308,$C$3:$L$6,8,0)),-D1308*VLOOKUP(C1308,$C$3:$L$6,6,0)/12,0),"")</f>
        <v/>
      </c>
      <c r="G1308" s="29" t="str">
        <f ca="1">IF(I1308&lt;&gt;Variables!$B$1,IF(C1308&lt;&gt;"",$I$9-E1308-F1308,""),-D1308)</f>
        <v/>
      </c>
      <c r="H1308" s="29" t="str">
        <f t="shared" ca="1" si="111"/>
        <v/>
      </c>
      <c r="I1308" s="31" t="str">
        <f ca="1">IF(C1308&lt;&gt;"",IF(D1308+$I$9-E1308-F1308&gt;=0,IF(ISERROR(INDEX($C$3:$C$6,MATCH(C1308,$C$3:$C$6,0)+1,0)),Variables!$B$1,INDEX($C$3:$C$6,MATCH(C1308,$C$3:$C$6,0)+1,0)),""),"")</f>
        <v/>
      </c>
      <c r="J1308" s="29" t="str">
        <f ca="1">IF(ISERROR(VLOOKUP(I1308,$C$3:$L$6,5,0)),"",IF(OR(VLOOKUP(I1308,$C$3:$L$6,5,0)=Variables!$B$5,B1308&gt;VLOOKUP(I1308,$C$3:$L$6,8,0)),IF(VLOOKUP(I1308,$C$3:$L$6,5,0)=Variables!$B$5,((YEAR(B1308)-YEAR($B$12))*12+MONTH(B1308)-MONTH($B$12)),((YEAR(B1308)-YEAR(VLOOKUP(I1308,$C$3:$L$6,8,0)))*12+MONTH(B1308)-MONTH(VLOOKUP(I1308,$C$3:$L$6,8,0))))*(VLOOKUP(I1308,$C$3:$L$6,10,0)*VLOOKUP(I1308,$C$3:$L$6,6,0)/12),0))</f>
        <v/>
      </c>
      <c r="K1308" s="29" t="str">
        <f ca="1">IF(C1308&lt;&gt;"",IF(I1308&lt;&gt;"",IF(ISERROR(VLOOKUP(I1308,$C$3:$L$6,10,0)),"",VLOOKUP(I1308,$C$3:$L$6,10,0)+J1308+IF(OR(VLOOKUP(I1308,$C$3:$L$6,5,0)=Variables!$B$5,B1308&gt;VLOOKUP(I1308,$C$3:$L$6,8,0)),IF(VLOOKUP(I1308,$C$3:$L$6,5,0)=Variables!$B$5,((YEAR(B1308)-YEAR($B$12))*12+MONTH(B1308)-MONTH($B$12)),((YEAR(B1308)-YEAR(VLOOKUP(I1308,$C$3:$L$6,8,0)))*12+MONTH(B1308)-MONTH(VLOOKUP(I1308,$C$3:$L$6,8,0))))*VLOOKUP(I1308,$C$3:$L$6,7,0),0)),""),"")</f>
        <v/>
      </c>
      <c r="L1308" s="29" t="str">
        <f t="shared" ref="L1308:L1371" ca="1" si="114">IF(C1308&lt;&gt;"",IF(ISERROR(IF(D1308+G1308&gt;=0,K1308+D1308+G1308,"")),"",IF(D1308+G1308&gt;=0,K1308+D1308+G1308,"")),"")</f>
        <v/>
      </c>
    </row>
    <row r="1309" spans="2:12" x14ac:dyDescent="0.25">
      <c r="B1309" s="14" t="str">
        <f t="shared" ref="B1309:B1372" ca="1" si="115">IF(C1309&lt;&gt;"",DATE(YEAR(B1308),MONTH(B1308)+1,DAY(B1308)),"")</f>
        <v/>
      </c>
      <c r="C1309" s="14" t="str">
        <f ca="1">IF(I1308&lt;&gt;Variables!$B$1,IF(H1308&lt;&gt;0,C1308,I1308),"")</f>
        <v/>
      </c>
      <c r="D1309" s="29" t="str">
        <f t="shared" ca="1" si="112"/>
        <v/>
      </c>
      <c r="E1309" s="29" t="str">
        <f t="shared" ca="1" si="113"/>
        <v/>
      </c>
      <c r="F1309" s="29" t="str">
        <f ca="1">IF(C1309&lt;&gt;"",IF(OR(VLOOKUP(C1309,$C$3:$L$6,5,0)=Variables!$B$5,B1309&gt;VLOOKUP(C1309,$C$3:$L$6,8,0)),-D1309*VLOOKUP(C1309,$C$3:$L$6,6,0)/12,0),"")</f>
        <v/>
      </c>
      <c r="G1309" s="29" t="str">
        <f ca="1">IF(I1309&lt;&gt;Variables!$B$1,IF(C1309&lt;&gt;"",$I$9-E1309-F1309,""),-D1309)</f>
        <v/>
      </c>
      <c r="H1309" s="29" t="str">
        <f t="shared" ref="H1309:H1372" ca="1" si="116">IF(C1309&lt;&gt;"",IF(D1309+G1309&lt;0,D1309+G1309,0),"")</f>
        <v/>
      </c>
      <c r="I1309" s="31" t="str">
        <f ca="1">IF(C1309&lt;&gt;"",IF(D1309+$I$9-E1309-F1309&gt;=0,IF(ISERROR(INDEX($C$3:$C$6,MATCH(C1309,$C$3:$C$6,0)+1,0)),Variables!$B$1,INDEX($C$3:$C$6,MATCH(C1309,$C$3:$C$6,0)+1,0)),""),"")</f>
        <v/>
      </c>
      <c r="J1309" s="29" t="str">
        <f ca="1">IF(ISERROR(VLOOKUP(I1309,$C$3:$L$6,5,0)),"",IF(OR(VLOOKUP(I1309,$C$3:$L$6,5,0)=Variables!$B$5,B1309&gt;VLOOKUP(I1309,$C$3:$L$6,8,0)),IF(VLOOKUP(I1309,$C$3:$L$6,5,0)=Variables!$B$5,((YEAR(B1309)-YEAR($B$12))*12+MONTH(B1309)-MONTH($B$12)),((YEAR(B1309)-YEAR(VLOOKUP(I1309,$C$3:$L$6,8,0)))*12+MONTH(B1309)-MONTH(VLOOKUP(I1309,$C$3:$L$6,8,0))))*(VLOOKUP(I1309,$C$3:$L$6,10,0)*VLOOKUP(I1309,$C$3:$L$6,6,0)/12),0))</f>
        <v/>
      </c>
      <c r="K1309" s="29" t="str">
        <f ca="1">IF(C1309&lt;&gt;"",IF(I1309&lt;&gt;"",IF(ISERROR(VLOOKUP(I1309,$C$3:$L$6,10,0)),"",VLOOKUP(I1309,$C$3:$L$6,10,0)+J1309+IF(OR(VLOOKUP(I1309,$C$3:$L$6,5,0)=Variables!$B$5,B1309&gt;VLOOKUP(I1309,$C$3:$L$6,8,0)),IF(VLOOKUP(I1309,$C$3:$L$6,5,0)=Variables!$B$5,((YEAR(B1309)-YEAR($B$12))*12+MONTH(B1309)-MONTH($B$12)),((YEAR(B1309)-YEAR(VLOOKUP(I1309,$C$3:$L$6,8,0)))*12+MONTH(B1309)-MONTH(VLOOKUP(I1309,$C$3:$L$6,8,0))))*VLOOKUP(I1309,$C$3:$L$6,7,0),0)),""),"")</f>
        <v/>
      </c>
      <c r="L1309" s="29" t="str">
        <f t="shared" ca="1" si="114"/>
        <v/>
      </c>
    </row>
    <row r="1310" spans="2:12" x14ac:dyDescent="0.25">
      <c r="B1310" s="14" t="str">
        <f t="shared" ca="1" si="115"/>
        <v/>
      </c>
      <c r="C1310" s="14" t="str">
        <f ca="1">IF(I1309&lt;&gt;Variables!$B$1,IF(H1309&lt;&gt;0,C1309,I1309),"")</f>
        <v/>
      </c>
      <c r="D1310" s="29" t="str">
        <f t="shared" ca="1" si="112"/>
        <v/>
      </c>
      <c r="E1310" s="29" t="str">
        <f t="shared" ca="1" si="113"/>
        <v/>
      </c>
      <c r="F1310" s="29" t="str">
        <f ca="1">IF(C1310&lt;&gt;"",IF(OR(VLOOKUP(C1310,$C$3:$L$6,5,0)=Variables!$B$5,B1310&gt;VLOOKUP(C1310,$C$3:$L$6,8,0)),-D1310*VLOOKUP(C1310,$C$3:$L$6,6,0)/12,0),"")</f>
        <v/>
      </c>
      <c r="G1310" s="29" t="str">
        <f ca="1">IF(I1310&lt;&gt;Variables!$B$1,IF(C1310&lt;&gt;"",$I$9-E1310-F1310,""),-D1310)</f>
        <v/>
      </c>
      <c r="H1310" s="29" t="str">
        <f t="shared" ca="1" si="116"/>
        <v/>
      </c>
      <c r="I1310" s="31" t="str">
        <f ca="1">IF(C1310&lt;&gt;"",IF(D1310+$I$9-E1310-F1310&gt;=0,IF(ISERROR(INDEX($C$3:$C$6,MATCH(C1310,$C$3:$C$6,0)+1,0)),Variables!$B$1,INDEX($C$3:$C$6,MATCH(C1310,$C$3:$C$6,0)+1,0)),""),"")</f>
        <v/>
      </c>
      <c r="J1310" s="29" t="str">
        <f ca="1">IF(ISERROR(VLOOKUP(I1310,$C$3:$L$6,5,0)),"",IF(OR(VLOOKUP(I1310,$C$3:$L$6,5,0)=Variables!$B$5,B1310&gt;VLOOKUP(I1310,$C$3:$L$6,8,0)),IF(VLOOKUP(I1310,$C$3:$L$6,5,0)=Variables!$B$5,((YEAR(B1310)-YEAR($B$12))*12+MONTH(B1310)-MONTH($B$12)),((YEAR(B1310)-YEAR(VLOOKUP(I1310,$C$3:$L$6,8,0)))*12+MONTH(B1310)-MONTH(VLOOKUP(I1310,$C$3:$L$6,8,0))))*(VLOOKUP(I1310,$C$3:$L$6,10,0)*VLOOKUP(I1310,$C$3:$L$6,6,0)/12),0))</f>
        <v/>
      </c>
      <c r="K1310" s="29" t="str">
        <f ca="1">IF(C1310&lt;&gt;"",IF(I1310&lt;&gt;"",IF(ISERROR(VLOOKUP(I1310,$C$3:$L$6,10,0)),"",VLOOKUP(I1310,$C$3:$L$6,10,0)+J1310+IF(OR(VLOOKUP(I1310,$C$3:$L$6,5,0)=Variables!$B$5,B1310&gt;VLOOKUP(I1310,$C$3:$L$6,8,0)),IF(VLOOKUP(I1310,$C$3:$L$6,5,0)=Variables!$B$5,((YEAR(B1310)-YEAR($B$12))*12+MONTH(B1310)-MONTH($B$12)),((YEAR(B1310)-YEAR(VLOOKUP(I1310,$C$3:$L$6,8,0)))*12+MONTH(B1310)-MONTH(VLOOKUP(I1310,$C$3:$L$6,8,0))))*VLOOKUP(I1310,$C$3:$L$6,7,0),0)),""),"")</f>
        <v/>
      </c>
      <c r="L1310" s="29" t="str">
        <f t="shared" ca="1" si="114"/>
        <v/>
      </c>
    </row>
    <row r="1311" spans="2:12" x14ac:dyDescent="0.25">
      <c r="B1311" s="14" t="str">
        <f t="shared" ca="1" si="115"/>
        <v/>
      </c>
      <c r="C1311" s="14" t="str">
        <f ca="1">IF(I1310&lt;&gt;Variables!$B$1,IF(H1310&lt;&gt;0,C1310,I1310),"")</f>
        <v/>
      </c>
      <c r="D1311" s="29" t="str">
        <f t="shared" ca="1" si="112"/>
        <v/>
      </c>
      <c r="E1311" s="29" t="str">
        <f t="shared" ca="1" si="113"/>
        <v/>
      </c>
      <c r="F1311" s="29" t="str">
        <f ca="1">IF(C1311&lt;&gt;"",IF(OR(VLOOKUP(C1311,$C$3:$L$6,5,0)=Variables!$B$5,B1311&gt;VLOOKUP(C1311,$C$3:$L$6,8,0)),-D1311*VLOOKUP(C1311,$C$3:$L$6,6,0)/12,0),"")</f>
        <v/>
      </c>
      <c r="G1311" s="29" t="str">
        <f ca="1">IF(I1311&lt;&gt;Variables!$B$1,IF(C1311&lt;&gt;"",$I$9-E1311-F1311,""),-D1311)</f>
        <v/>
      </c>
      <c r="H1311" s="29" t="str">
        <f t="shared" ca="1" si="116"/>
        <v/>
      </c>
      <c r="I1311" s="31" t="str">
        <f ca="1">IF(C1311&lt;&gt;"",IF(D1311+$I$9-E1311-F1311&gt;=0,IF(ISERROR(INDEX($C$3:$C$6,MATCH(C1311,$C$3:$C$6,0)+1,0)),Variables!$B$1,INDEX($C$3:$C$6,MATCH(C1311,$C$3:$C$6,0)+1,0)),""),"")</f>
        <v/>
      </c>
      <c r="J1311" s="29" t="str">
        <f ca="1">IF(ISERROR(VLOOKUP(I1311,$C$3:$L$6,5,0)),"",IF(OR(VLOOKUP(I1311,$C$3:$L$6,5,0)=Variables!$B$5,B1311&gt;VLOOKUP(I1311,$C$3:$L$6,8,0)),IF(VLOOKUP(I1311,$C$3:$L$6,5,0)=Variables!$B$5,((YEAR(B1311)-YEAR($B$12))*12+MONTH(B1311)-MONTH($B$12)),((YEAR(B1311)-YEAR(VLOOKUP(I1311,$C$3:$L$6,8,0)))*12+MONTH(B1311)-MONTH(VLOOKUP(I1311,$C$3:$L$6,8,0))))*(VLOOKUP(I1311,$C$3:$L$6,10,0)*VLOOKUP(I1311,$C$3:$L$6,6,0)/12),0))</f>
        <v/>
      </c>
      <c r="K1311" s="29" t="str">
        <f ca="1">IF(C1311&lt;&gt;"",IF(I1311&lt;&gt;"",IF(ISERROR(VLOOKUP(I1311,$C$3:$L$6,10,0)),"",VLOOKUP(I1311,$C$3:$L$6,10,0)+J1311+IF(OR(VLOOKUP(I1311,$C$3:$L$6,5,0)=Variables!$B$5,B1311&gt;VLOOKUP(I1311,$C$3:$L$6,8,0)),IF(VLOOKUP(I1311,$C$3:$L$6,5,0)=Variables!$B$5,((YEAR(B1311)-YEAR($B$12))*12+MONTH(B1311)-MONTH($B$12)),((YEAR(B1311)-YEAR(VLOOKUP(I1311,$C$3:$L$6,8,0)))*12+MONTH(B1311)-MONTH(VLOOKUP(I1311,$C$3:$L$6,8,0))))*VLOOKUP(I1311,$C$3:$L$6,7,0),0)),""),"")</f>
        <v/>
      </c>
      <c r="L1311" s="29" t="str">
        <f t="shared" ca="1" si="114"/>
        <v/>
      </c>
    </row>
    <row r="1312" spans="2:12" x14ac:dyDescent="0.25">
      <c r="B1312" s="14" t="str">
        <f t="shared" ca="1" si="115"/>
        <v/>
      </c>
      <c r="C1312" s="14" t="str">
        <f ca="1">IF(I1311&lt;&gt;Variables!$B$1,IF(H1311&lt;&gt;0,C1311,I1311),"")</f>
        <v/>
      </c>
      <c r="D1312" s="29" t="str">
        <f t="shared" ca="1" si="112"/>
        <v/>
      </c>
      <c r="E1312" s="29" t="str">
        <f t="shared" ca="1" si="113"/>
        <v/>
      </c>
      <c r="F1312" s="29" t="str">
        <f ca="1">IF(C1312&lt;&gt;"",IF(OR(VLOOKUP(C1312,$C$3:$L$6,5,0)=Variables!$B$5,B1312&gt;VLOOKUP(C1312,$C$3:$L$6,8,0)),-D1312*VLOOKUP(C1312,$C$3:$L$6,6,0)/12,0),"")</f>
        <v/>
      </c>
      <c r="G1312" s="29" t="str">
        <f ca="1">IF(I1312&lt;&gt;Variables!$B$1,IF(C1312&lt;&gt;"",$I$9-E1312-F1312,""),-D1312)</f>
        <v/>
      </c>
      <c r="H1312" s="29" t="str">
        <f t="shared" ca="1" si="116"/>
        <v/>
      </c>
      <c r="I1312" s="31" t="str">
        <f ca="1">IF(C1312&lt;&gt;"",IF(D1312+$I$9-E1312-F1312&gt;=0,IF(ISERROR(INDEX($C$3:$C$6,MATCH(C1312,$C$3:$C$6,0)+1,0)),Variables!$B$1,INDEX($C$3:$C$6,MATCH(C1312,$C$3:$C$6,0)+1,0)),""),"")</f>
        <v/>
      </c>
      <c r="J1312" s="29" t="str">
        <f ca="1">IF(ISERROR(VLOOKUP(I1312,$C$3:$L$6,5,0)),"",IF(OR(VLOOKUP(I1312,$C$3:$L$6,5,0)=Variables!$B$5,B1312&gt;VLOOKUP(I1312,$C$3:$L$6,8,0)),IF(VLOOKUP(I1312,$C$3:$L$6,5,0)=Variables!$B$5,((YEAR(B1312)-YEAR($B$12))*12+MONTH(B1312)-MONTH($B$12)),((YEAR(B1312)-YEAR(VLOOKUP(I1312,$C$3:$L$6,8,0)))*12+MONTH(B1312)-MONTH(VLOOKUP(I1312,$C$3:$L$6,8,0))))*(VLOOKUP(I1312,$C$3:$L$6,10,0)*VLOOKUP(I1312,$C$3:$L$6,6,0)/12),0))</f>
        <v/>
      </c>
      <c r="K1312" s="29" t="str">
        <f ca="1">IF(C1312&lt;&gt;"",IF(I1312&lt;&gt;"",IF(ISERROR(VLOOKUP(I1312,$C$3:$L$6,10,0)),"",VLOOKUP(I1312,$C$3:$L$6,10,0)+J1312+IF(OR(VLOOKUP(I1312,$C$3:$L$6,5,0)=Variables!$B$5,B1312&gt;VLOOKUP(I1312,$C$3:$L$6,8,0)),IF(VLOOKUP(I1312,$C$3:$L$6,5,0)=Variables!$B$5,((YEAR(B1312)-YEAR($B$12))*12+MONTH(B1312)-MONTH($B$12)),((YEAR(B1312)-YEAR(VLOOKUP(I1312,$C$3:$L$6,8,0)))*12+MONTH(B1312)-MONTH(VLOOKUP(I1312,$C$3:$L$6,8,0))))*VLOOKUP(I1312,$C$3:$L$6,7,0),0)),""),"")</f>
        <v/>
      </c>
      <c r="L1312" s="29" t="str">
        <f t="shared" ca="1" si="114"/>
        <v/>
      </c>
    </row>
    <row r="1313" spans="2:12" x14ac:dyDescent="0.25">
      <c r="B1313" s="14" t="str">
        <f t="shared" ca="1" si="115"/>
        <v/>
      </c>
      <c r="C1313" s="14" t="str">
        <f ca="1">IF(I1312&lt;&gt;Variables!$B$1,IF(H1312&lt;&gt;0,C1312,I1312),"")</f>
        <v/>
      </c>
      <c r="D1313" s="29" t="str">
        <f t="shared" ca="1" si="112"/>
        <v/>
      </c>
      <c r="E1313" s="29" t="str">
        <f t="shared" ca="1" si="113"/>
        <v/>
      </c>
      <c r="F1313" s="29" t="str">
        <f ca="1">IF(C1313&lt;&gt;"",IF(OR(VLOOKUP(C1313,$C$3:$L$6,5,0)=Variables!$B$5,B1313&gt;VLOOKUP(C1313,$C$3:$L$6,8,0)),-D1313*VLOOKUP(C1313,$C$3:$L$6,6,0)/12,0),"")</f>
        <v/>
      </c>
      <c r="G1313" s="29" t="str">
        <f ca="1">IF(I1313&lt;&gt;Variables!$B$1,IF(C1313&lt;&gt;"",$I$9-E1313-F1313,""),-D1313)</f>
        <v/>
      </c>
      <c r="H1313" s="29" t="str">
        <f t="shared" ca="1" si="116"/>
        <v/>
      </c>
      <c r="I1313" s="31" t="str">
        <f ca="1">IF(C1313&lt;&gt;"",IF(D1313+$I$9-E1313-F1313&gt;=0,IF(ISERROR(INDEX($C$3:$C$6,MATCH(C1313,$C$3:$C$6,0)+1,0)),Variables!$B$1,INDEX($C$3:$C$6,MATCH(C1313,$C$3:$C$6,0)+1,0)),""),"")</f>
        <v/>
      </c>
      <c r="J1313" s="29" t="str">
        <f ca="1">IF(ISERROR(VLOOKUP(I1313,$C$3:$L$6,5,0)),"",IF(OR(VLOOKUP(I1313,$C$3:$L$6,5,0)=Variables!$B$5,B1313&gt;VLOOKUP(I1313,$C$3:$L$6,8,0)),IF(VLOOKUP(I1313,$C$3:$L$6,5,0)=Variables!$B$5,((YEAR(B1313)-YEAR($B$12))*12+MONTH(B1313)-MONTH($B$12)),((YEAR(B1313)-YEAR(VLOOKUP(I1313,$C$3:$L$6,8,0)))*12+MONTH(B1313)-MONTH(VLOOKUP(I1313,$C$3:$L$6,8,0))))*(VLOOKUP(I1313,$C$3:$L$6,10,0)*VLOOKUP(I1313,$C$3:$L$6,6,0)/12),0))</f>
        <v/>
      </c>
      <c r="K1313" s="29" t="str">
        <f ca="1">IF(C1313&lt;&gt;"",IF(I1313&lt;&gt;"",IF(ISERROR(VLOOKUP(I1313,$C$3:$L$6,10,0)),"",VLOOKUP(I1313,$C$3:$L$6,10,0)+J1313+IF(OR(VLOOKUP(I1313,$C$3:$L$6,5,0)=Variables!$B$5,B1313&gt;VLOOKUP(I1313,$C$3:$L$6,8,0)),IF(VLOOKUP(I1313,$C$3:$L$6,5,0)=Variables!$B$5,((YEAR(B1313)-YEAR($B$12))*12+MONTH(B1313)-MONTH($B$12)),((YEAR(B1313)-YEAR(VLOOKUP(I1313,$C$3:$L$6,8,0)))*12+MONTH(B1313)-MONTH(VLOOKUP(I1313,$C$3:$L$6,8,0))))*VLOOKUP(I1313,$C$3:$L$6,7,0),0)),""),"")</f>
        <v/>
      </c>
      <c r="L1313" s="29" t="str">
        <f t="shared" ca="1" si="114"/>
        <v/>
      </c>
    </row>
    <row r="1314" spans="2:12" x14ac:dyDescent="0.25">
      <c r="B1314" s="14" t="str">
        <f t="shared" ca="1" si="115"/>
        <v/>
      </c>
      <c r="C1314" s="14" t="str">
        <f ca="1">IF(I1313&lt;&gt;Variables!$B$1,IF(H1313&lt;&gt;0,C1313,I1313),"")</f>
        <v/>
      </c>
      <c r="D1314" s="29" t="str">
        <f t="shared" ca="1" si="112"/>
        <v/>
      </c>
      <c r="E1314" s="29" t="str">
        <f t="shared" ca="1" si="113"/>
        <v/>
      </c>
      <c r="F1314" s="29" t="str">
        <f ca="1">IF(C1314&lt;&gt;"",IF(OR(VLOOKUP(C1314,$C$3:$L$6,5,0)=Variables!$B$5,B1314&gt;VLOOKUP(C1314,$C$3:$L$6,8,0)),-D1314*VLOOKUP(C1314,$C$3:$L$6,6,0)/12,0),"")</f>
        <v/>
      </c>
      <c r="G1314" s="29" t="str">
        <f ca="1">IF(I1314&lt;&gt;Variables!$B$1,IF(C1314&lt;&gt;"",$I$9-E1314-F1314,""),-D1314)</f>
        <v/>
      </c>
      <c r="H1314" s="29" t="str">
        <f t="shared" ca="1" si="116"/>
        <v/>
      </c>
      <c r="I1314" s="31" t="str">
        <f ca="1">IF(C1314&lt;&gt;"",IF(D1314+$I$9-E1314-F1314&gt;=0,IF(ISERROR(INDEX($C$3:$C$6,MATCH(C1314,$C$3:$C$6,0)+1,0)),Variables!$B$1,INDEX($C$3:$C$6,MATCH(C1314,$C$3:$C$6,0)+1,0)),""),"")</f>
        <v/>
      </c>
      <c r="J1314" s="29" t="str">
        <f ca="1">IF(ISERROR(VLOOKUP(I1314,$C$3:$L$6,5,0)),"",IF(OR(VLOOKUP(I1314,$C$3:$L$6,5,0)=Variables!$B$5,B1314&gt;VLOOKUP(I1314,$C$3:$L$6,8,0)),IF(VLOOKUP(I1314,$C$3:$L$6,5,0)=Variables!$B$5,((YEAR(B1314)-YEAR($B$12))*12+MONTH(B1314)-MONTH($B$12)),((YEAR(B1314)-YEAR(VLOOKUP(I1314,$C$3:$L$6,8,0)))*12+MONTH(B1314)-MONTH(VLOOKUP(I1314,$C$3:$L$6,8,0))))*(VLOOKUP(I1314,$C$3:$L$6,10,0)*VLOOKUP(I1314,$C$3:$L$6,6,0)/12),0))</f>
        <v/>
      </c>
      <c r="K1314" s="29" t="str">
        <f ca="1">IF(C1314&lt;&gt;"",IF(I1314&lt;&gt;"",IF(ISERROR(VLOOKUP(I1314,$C$3:$L$6,10,0)),"",VLOOKUP(I1314,$C$3:$L$6,10,0)+J1314+IF(OR(VLOOKUP(I1314,$C$3:$L$6,5,0)=Variables!$B$5,B1314&gt;VLOOKUP(I1314,$C$3:$L$6,8,0)),IF(VLOOKUP(I1314,$C$3:$L$6,5,0)=Variables!$B$5,((YEAR(B1314)-YEAR($B$12))*12+MONTH(B1314)-MONTH($B$12)),((YEAR(B1314)-YEAR(VLOOKUP(I1314,$C$3:$L$6,8,0)))*12+MONTH(B1314)-MONTH(VLOOKUP(I1314,$C$3:$L$6,8,0))))*VLOOKUP(I1314,$C$3:$L$6,7,0),0)),""),"")</f>
        <v/>
      </c>
      <c r="L1314" s="29" t="str">
        <f t="shared" ca="1" si="114"/>
        <v/>
      </c>
    </row>
    <row r="1315" spans="2:12" x14ac:dyDescent="0.25">
      <c r="B1315" s="14" t="str">
        <f t="shared" ca="1" si="115"/>
        <v/>
      </c>
      <c r="C1315" s="14" t="str">
        <f ca="1">IF(I1314&lt;&gt;Variables!$B$1,IF(H1314&lt;&gt;0,C1314,I1314),"")</f>
        <v/>
      </c>
      <c r="D1315" s="29" t="str">
        <f t="shared" ca="1" si="112"/>
        <v/>
      </c>
      <c r="E1315" s="29" t="str">
        <f t="shared" ca="1" si="113"/>
        <v/>
      </c>
      <c r="F1315" s="29" t="str">
        <f ca="1">IF(C1315&lt;&gt;"",IF(OR(VLOOKUP(C1315,$C$3:$L$6,5,0)=Variables!$B$5,B1315&gt;VLOOKUP(C1315,$C$3:$L$6,8,0)),-D1315*VLOOKUP(C1315,$C$3:$L$6,6,0)/12,0),"")</f>
        <v/>
      </c>
      <c r="G1315" s="29" t="str">
        <f ca="1">IF(I1315&lt;&gt;Variables!$B$1,IF(C1315&lt;&gt;"",$I$9-E1315-F1315,""),-D1315)</f>
        <v/>
      </c>
      <c r="H1315" s="29" t="str">
        <f t="shared" ca="1" si="116"/>
        <v/>
      </c>
      <c r="I1315" s="31" t="str">
        <f ca="1">IF(C1315&lt;&gt;"",IF(D1315+$I$9-E1315-F1315&gt;=0,IF(ISERROR(INDEX($C$3:$C$6,MATCH(C1315,$C$3:$C$6,0)+1,0)),Variables!$B$1,INDEX($C$3:$C$6,MATCH(C1315,$C$3:$C$6,0)+1,0)),""),"")</f>
        <v/>
      </c>
      <c r="J1315" s="29" t="str">
        <f ca="1">IF(ISERROR(VLOOKUP(I1315,$C$3:$L$6,5,0)),"",IF(OR(VLOOKUP(I1315,$C$3:$L$6,5,0)=Variables!$B$5,B1315&gt;VLOOKUP(I1315,$C$3:$L$6,8,0)),IF(VLOOKUP(I1315,$C$3:$L$6,5,0)=Variables!$B$5,((YEAR(B1315)-YEAR($B$12))*12+MONTH(B1315)-MONTH($B$12)),((YEAR(B1315)-YEAR(VLOOKUP(I1315,$C$3:$L$6,8,0)))*12+MONTH(B1315)-MONTH(VLOOKUP(I1315,$C$3:$L$6,8,0))))*(VLOOKUP(I1315,$C$3:$L$6,10,0)*VLOOKUP(I1315,$C$3:$L$6,6,0)/12),0))</f>
        <v/>
      </c>
      <c r="K1315" s="29" t="str">
        <f ca="1">IF(C1315&lt;&gt;"",IF(I1315&lt;&gt;"",IF(ISERROR(VLOOKUP(I1315,$C$3:$L$6,10,0)),"",VLOOKUP(I1315,$C$3:$L$6,10,0)+J1315+IF(OR(VLOOKUP(I1315,$C$3:$L$6,5,0)=Variables!$B$5,B1315&gt;VLOOKUP(I1315,$C$3:$L$6,8,0)),IF(VLOOKUP(I1315,$C$3:$L$6,5,0)=Variables!$B$5,((YEAR(B1315)-YEAR($B$12))*12+MONTH(B1315)-MONTH($B$12)),((YEAR(B1315)-YEAR(VLOOKUP(I1315,$C$3:$L$6,8,0)))*12+MONTH(B1315)-MONTH(VLOOKUP(I1315,$C$3:$L$6,8,0))))*VLOOKUP(I1315,$C$3:$L$6,7,0),0)),""),"")</f>
        <v/>
      </c>
      <c r="L1315" s="29" t="str">
        <f t="shared" ca="1" si="114"/>
        <v/>
      </c>
    </row>
    <row r="1316" spans="2:12" x14ac:dyDescent="0.25">
      <c r="B1316" s="14" t="str">
        <f t="shared" ca="1" si="115"/>
        <v/>
      </c>
      <c r="C1316" s="14" t="str">
        <f ca="1">IF(I1315&lt;&gt;Variables!$B$1,IF(H1315&lt;&gt;0,C1315,I1315),"")</f>
        <v/>
      </c>
      <c r="D1316" s="29" t="str">
        <f t="shared" ca="1" si="112"/>
        <v/>
      </c>
      <c r="E1316" s="29" t="str">
        <f t="shared" ca="1" si="113"/>
        <v/>
      </c>
      <c r="F1316" s="29" t="str">
        <f ca="1">IF(C1316&lt;&gt;"",IF(OR(VLOOKUP(C1316,$C$3:$L$6,5,0)=Variables!$B$5,B1316&gt;VLOOKUP(C1316,$C$3:$L$6,8,0)),-D1316*VLOOKUP(C1316,$C$3:$L$6,6,0)/12,0),"")</f>
        <v/>
      </c>
      <c r="G1316" s="29" t="str">
        <f ca="1">IF(I1316&lt;&gt;Variables!$B$1,IF(C1316&lt;&gt;"",$I$9-E1316-F1316,""),-D1316)</f>
        <v/>
      </c>
      <c r="H1316" s="29" t="str">
        <f t="shared" ca="1" si="116"/>
        <v/>
      </c>
      <c r="I1316" s="31" t="str">
        <f ca="1">IF(C1316&lt;&gt;"",IF(D1316+$I$9-E1316-F1316&gt;=0,IF(ISERROR(INDEX($C$3:$C$6,MATCH(C1316,$C$3:$C$6,0)+1,0)),Variables!$B$1,INDEX($C$3:$C$6,MATCH(C1316,$C$3:$C$6,0)+1,0)),""),"")</f>
        <v/>
      </c>
      <c r="J1316" s="29" t="str">
        <f ca="1">IF(ISERROR(VLOOKUP(I1316,$C$3:$L$6,5,0)),"",IF(OR(VLOOKUP(I1316,$C$3:$L$6,5,0)=Variables!$B$5,B1316&gt;VLOOKUP(I1316,$C$3:$L$6,8,0)),IF(VLOOKUP(I1316,$C$3:$L$6,5,0)=Variables!$B$5,((YEAR(B1316)-YEAR($B$12))*12+MONTH(B1316)-MONTH($B$12)),((YEAR(B1316)-YEAR(VLOOKUP(I1316,$C$3:$L$6,8,0)))*12+MONTH(B1316)-MONTH(VLOOKUP(I1316,$C$3:$L$6,8,0))))*(VLOOKUP(I1316,$C$3:$L$6,10,0)*VLOOKUP(I1316,$C$3:$L$6,6,0)/12),0))</f>
        <v/>
      </c>
      <c r="K1316" s="29" t="str">
        <f ca="1">IF(C1316&lt;&gt;"",IF(I1316&lt;&gt;"",IF(ISERROR(VLOOKUP(I1316,$C$3:$L$6,10,0)),"",VLOOKUP(I1316,$C$3:$L$6,10,0)+J1316+IF(OR(VLOOKUP(I1316,$C$3:$L$6,5,0)=Variables!$B$5,B1316&gt;VLOOKUP(I1316,$C$3:$L$6,8,0)),IF(VLOOKUP(I1316,$C$3:$L$6,5,0)=Variables!$B$5,((YEAR(B1316)-YEAR($B$12))*12+MONTH(B1316)-MONTH($B$12)),((YEAR(B1316)-YEAR(VLOOKUP(I1316,$C$3:$L$6,8,0)))*12+MONTH(B1316)-MONTH(VLOOKUP(I1316,$C$3:$L$6,8,0))))*VLOOKUP(I1316,$C$3:$L$6,7,0),0)),""),"")</f>
        <v/>
      </c>
      <c r="L1316" s="29" t="str">
        <f t="shared" ca="1" si="114"/>
        <v/>
      </c>
    </row>
    <row r="1317" spans="2:12" x14ac:dyDescent="0.25">
      <c r="B1317" s="14" t="str">
        <f t="shared" ca="1" si="115"/>
        <v/>
      </c>
      <c r="C1317" s="14" t="str">
        <f ca="1">IF(I1316&lt;&gt;Variables!$B$1,IF(H1316&lt;&gt;0,C1316,I1316),"")</f>
        <v/>
      </c>
      <c r="D1317" s="29" t="str">
        <f t="shared" ca="1" si="112"/>
        <v/>
      </c>
      <c r="E1317" s="29" t="str">
        <f t="shared" ca="1" si="113"/>
        <v/>
      </c>
      <c r="F1317" s="29" t="str">
        <f ca="1">IF(C1317&lt;&gt;"",IF(OR(VLOOKUP(C1317,$C$3:$L$6,5,0)=Variables!$B$5,B1317&gt;VLOOKUP(C1317,$C$3:$L$6,8,0)),-D1317*VLOOKUP(C1317,$C$3:$L$6,6,0)/12,0),"")</f>
        <v/>
      </c>
      <c r="G1317" s="29" t="str">
        <f ca="1">IF(I1317&lt;&gt;Variables!$B$1,IF(C1317&lt;&gt;"",$I$9-E1317-F1317,""),-D1317)</f>
        <v/>
      </c>
      <c r="H1317" s="29" t="str">
        <f t="shared" ca="1" si="116"/>
        <v/>
      </c>
      <c r="I1317" s="31" t="str">
        <f ca="1">IF(C1317&lt;&gt;"",IF(D1317+$I$9-E1317-F1317&gt;=0,IF(ISERROR(INDEX($C$3:$C$6,MATCH(C1317,$C$3:$C$6,0)+1,0)),Variables!$B$1,INDEX($C$3:$C$6,MATCH(C1317,$C$3:$C$6,0)+1,0)),""),"")</f>
        <v/>
      </c>
      <c r="J1317" s="29" t="str">
        <f ca="1">IF(ISERROR(VLOOKUP(I1317,$C$3:$L$6,5,0)),"",IF(OR(VLOOKUP(I1317,$C$3:$L$6,5,0)=Variables!$B$5,B1317&gt;VLOOKUP(I1317,$C$3:$L$6,8,0)),IF(VLOOKUP(I1317,$C$3:$L$6,5,0)=Variables!$B$5,((YEAR(B1317)-YEAR($B$12))*12+MONTH(B1317)-MONTH($B$12)),((YEAR(B1317)-YEAR(VLOOKUP(I1317,$C$3:$L$6,8,0)))*12+MONTH(B1317)-MONTH(VLOOKUP(I1317,$C$3:$L$6,8,0))))*(VLOOKUP(I1317,$C$3:$L$6,10,0)*VLOOKUP(I1317,$C$3:$L$6,6,0)/12),0))</f>
        <v/>
      </c>
      <c r="K1317" s="29" t="str">
        <f ca="1">IF(C1317&lt;&gt;"",IF(I1317&lt;&gt;"",IF(ISERROR(VLOOKUP(I1317,$C$3:$L$6,10,0)),"",VLOOKUP(I1317,$C$3:$L$6,10,0)+J1317+IF(OR(VLOOKUP(I1317,$C$3:$L$6,5,0)=Variables!$B$5,B1317&gt;VLOOKUP(I1317,$C$3:$L$6,8,0)),IF(VLOOKUP(I1317,$C$3:$L$6,5,0)=Variables!$B$5,((YEAR(B1317)-YEAR($B$12))*12+MONTH(B1317)-MONTH($B$12)),((YEAR(B1317)-YEAR(VLOOKUP(I1317,$C$3:$L$6,8,0)))*12+MONTH(B1317)-MONTH(VLOOKUP(I1317,$C$3:$L$6,8,0))))*VLOOKUP(I1317,$C$3:$L$6,7,0),0)),""),"")</f>
        <v/>
      </c>
      <c r="L1317" s="29" t="str">
        <f t="shared" ca="1" si="114"/>
        <v/>
      </c>
    </row>
    <row r="1318" spans="2:12" x14ac:dyDescent="0.25">
      <c r="B1318" s="14" t="str">
        <f t="shared" ca="1" si="115"/>
        <v/>
      </c>
      <c r="C1318" s="14" t="str">
        <f ca="1">IF(I1317&lt;&gt;Variables!$B$1,IF(H1317&lt;&gt;0,C1317,I1317),"")</f>
        <v/>
      </c>
      <c r="D1318" s="29" t="str">
        <f t="shared" ca="1" si="112"/>
        <v/>
      </c>
      <c r="E1318" s="29" t="str">
        <f t="shared" ca="1" si="113"/>
        <v/>
      </c>
      <c r="F1318" s="29" t="str">
        <f ca="1">IF(C1318&lt;&gt;"",IF(OR(VLOOKUP(C1318,$C$3:$L$6,5,0)=Variables!$B$5,B1318&gt;VLOOKUP(C1318,$C$3:$L$6,8,0)),-D1318*VLOOKUP(C1318,$C$3:$L$6,6,0)/12,0),"")</f>
        <v/>
      </c>
      <c r="G1318" s="29" t="str">
        <f ca="1">IF(I1318&lt;&gt;Variables!$B$1,IF(C1318&lt;&gt;"",$I$9-E1318-F1318,""),-D1318)</f>
        <v/>
      </c>
      <c r="H1318" s="29" t="str">
        <f t="shared" ca="1" si="116"/>
        <v/>
      </c>
      <c r="I1318" s="31" t="str">
        <f ca="1">IF(C1318&lt;&gt;"",IF(D1318+$I$9-E1318-F1318&gt;=0,IF(ISERROR(INDEX($C$3:$C$6,MATCH(C1318,$C$3:$C$6,0)+1,0)),Variables!$B$1,INDEX($C$3:$C$6,MATCH(C1318,$C$3:$C$6,0)+1,0)),""),"")</f>
        <v/>
      </c>
      <c r="J1318" s="29" t="str">
        <f ca="1">IF(ISERROR(VLOOKUP(I1318,$C$3:$L$6,5,0)),"",IF(OR(VLOOKUP(I1318,$C$3:$L$6,5,0)=Variables!$B$5,B1318&gt;VLOOKUP(I1318,$C$3:$L$6,8,0)),IF(VLOOKUP(I1318,$C$3:$L$6,5,0)=Variables!$B$5,((YEAR(B1318)-YEAR($B$12))*12+MONTH(B1318)-MONTH($B$12)),((YEAR(B1318)-YEAR(VLOOKUP(I1318,$C$3:$L$6,8,0)))*12+MONTH(B1318)-MONTH(VLOOKUP(I1318,$C$3:$L$6,8,0))))*(VLOOKUP(I1318,$C$3:$L$6,10,0)*VLOOKUP(I1318,$C$3:$L$6,6,0)/12),0))</f>
        <v/>
      </c>
      <c r="K1318" s="29" t="str">
        <f ca="1">IF(C1318&lt;&gt;"",IF(I1318&lt;&gt;"",IF(ISERROR(VLOOKUP(I1318,$C$3:$L$6,10,0)),"",VLOOKUP(I1318,$C$3:$L$6,10,0)+J1318+IF(OR(VLOOKUP(I1318,$C$3:$L$6,5,0)=Variables!$B$5,B1318&gt;VLOOKUP(I1318,$C$3:$L$6,8,0)),IF(VLOOKUP(I1318,$C$3:$L$6,5,0)=Variables!$B$5,((YEAR(B1318)-YEAR($B$12))*12+MONTH(B1318)-MONTH($B$12)),((YEAR(B1318)-YEAR(VLOOKUP(I1318,$C$3:$L$6,8,0)))*12+MONTH(B1318)-MONTH(VLOOKUP(I1318,$C$3:$L$6,8,0))))*VLOOKUP(I1318,$C$3:$L$6,7,0),0)),""),"")</f>
        <v/>
      </c>
      <c r="L1318" s="29" t="str">
        <f t="shared" ca="1" si="114"/>
        <v/>
      </c>
    </row>
    <row r="1319" spans="2:12" x14ac:dyDescent="0.25">
      <c r="B1319" s="14" t="str">
        <f t="shared" ca="1" si="115"/>
        <v/>
      </c>
      <c r="C1319" s="14" t="str">
        <f ca="1">IF(I1318&lt;&gt;Variables!$B$1,IF(H1318&lt;&gt;0,C1318,I1318),"")</f>
        <v/>
      </c>
      <c r="D1319" s="29" t="str">
        <f t="shared" ca="1" si="112"/>
        <v/>
      </c>
      <c r="E1319" s="29" t="str">
        <f t="shared" ca="1" si="113"/>
        <v/>
      </c>
      <c r="F1319" s="29" t="str">
        <f ca="1">IF(C1319&lt;&gt;"",IF(OR(VLOOKUP(C1319,$C$3:$L$6,5,0)=Variables!$B$5,B1319&gt;VLOOKUP(C1319,$C$3:$L$6,8,0)),-D1319*VLOOKUP(C1319,$C$3:$L$6,6,0)/12,0),"")</f>
        <v/>
      </c>
      <c r="G1319" s="29" t="str">
        <f ca="1">IF(I1319&lt;&gt;Variables!$B$1,IF(C1319&lt;&gt;"",$I$9-E1319-F1319,""),-D1319)</f>
        <v/>
      </c>
      <c r="H1319" s="29" t="str">
        <f t="shared" ca="1" si="116"/>
        <v/>
      </c>
      <c r="I1319" s="31" t="str">
        <f ca="1">IF(C1319&lt;&gt;"",IF(D1319+$I$9-E1319-F1319&gt;=0,IF(ISERROR(INDEX($C$3:$C$6,MATCH(C1319,$C$3:$C$6,0)+1,0)),Variables!$B$1,INDEX($C$3:$C$6,MATCH(C1319,$C$3:$C$6,0)+1,0)),""),"")</f>
        <v/>
      </c>
      <c r="J1319" s="29" t="str">
        <f ca="1">IF(ISERROR(VLOOKUP(I1319,$C$3:$L$6,5,0)),"",IF(OR(VLOOKUP(I1319,$C$3:$L$6,5,0)=Variables!$B$5,B1319&gt;VLOOKUP(I1319,$C$3:$L$6,8,0)),IF(VLOOKUP(I1319,$C$3:$L$6,5,0)=Variables!$B$5,((YEAR(B1319)-YEAR($B$12))*12+MONTH(B1319)-MONTH($B$12)),((YEAR(B1319)-YEAR(VLOOKUP(I1319,$C$3:$L$6,8,0)))*12+MONTH(B1319)-MONTH(VLOOKUP(I1319,$C$3:$L$6,8,0))))*(VLOOKUP(I1319,$C$3:$L$6,10,0)*VLOOKUP(I1319,$C$3:$L$6,6,0)/12),0))</f>
        <v/>
      </c>
      <c r="K1319" s="29" t="str">
        <f ca="1">IF(C1319&lt;&gt;"",IF(I1319&lt;&gt;"",IF(ISERROR(VLOOKUP(I1319,$C$3:$L$6,10,0)),"",VLOOKUP(I1319,$C$3:$L$6,10,0)+J1319+IF(OR(VLOOKUP(I1319,$C$3:$L$6,5,0)=Variables!$B$5,B1319&gt;VLOOKUP(I1319,$C$3:$L$6,8,0)),IF(VLOOKUP(I1319,$C$3:$L$6,5,0)=Variables!$B$5,((YEAR(B1319)-YEAR($B$12))*12+MONTH(B1319)-MONTH($B$12)),((YEAR(B1319)-YEAR(VLOOKUP(I1319,$C$3:$L$6,8,0)))*12+MONTH(B1319)-MONTH(VLOOKUP(I1319,$C$3:$L$6,8,0))))*VLOOKUP(I1319,$C$3:$L$6,7,0),0)),""),"")</f>
        <v/>
      </c>
      <c r="L1319" s="29" t="str">
        <f t="shared" ca="1" si="114"/>
        <v/>
      </c>
    </row>
    <row r="1320" spans="2:12" x14ac:dyDescent="0.25">
      <c r="B1320" s="14" t="str">
        <f t="shared" ca="1" si="115"/>
        <v/>
      </c>
      <c r="C1320" s="14" t="str">
        <f ca="1">IF(I1319&lt;&gt;Variables!$B$1,IF(H1319&lt;&gt;0,C1319,I1319),"")</f>
        <v/>
      </c>
      <c r="D1320" s="29" t="str">
        <f t="shared" ca="1" si="112"/>
        <v/>
      </c>
      <c r="E1320" s="29" t="str">
        <f t="shared" ca="1" si="113"/>
        <v/>
      </c>
      <c r="F1320" s="29" t="str">
        <f ca="1">IF(C1320&lt;&gt;"",IF(OR(VLOOKUP(C1320,$C$3:$L$6,5,0)=Variables!$B$5,B1320&gt;VLOOKUP(C1320,$C$3:$L$6,8,0)),-D1320*VLOOKUP(C1320,$C$3:$L$6,6,0)/12,0),"")</f>
        <v/>
      </c>
      <c r="G1320" s="29" t="str">
        <f ca="1">IF(I1320&lt;&gt;Variables!$B$1,IF(C1320&lt;&gt;"",$I$9-E1320-F1320,""),-D1320)</f>
        <v/>
      </c>
      <c r="H1320" s="29" t="str">
        <f t="shared" ca="1" si="116"/>
        <v/>
      </c>
      <c r="I1320" s="31" t="str">
        <f ca="1">IF(C1320&lt;&gt;"",IF(D1320+$I$9-E1320-F1320&gt;=0,IF(ISERROR(INDEX($C$3:$C$6,MATCH(C1320,$C$3:$C$6,0)+1,0)),Variables!$B$1,INDEX($C$3:$C$6,MATCH(C1320,$C$3:$C$6,0)+1,0)),""),"")</f>
        <v/>
      </c>
      <c r="J1320" s="29" t="str">
        <f ca="1">IF(ISERROR(VLOOKUP(I1320,$C$3:$L$6,5,0)),"",IF(OR(VLOOKUP(I1320,$C$3:$L$6,5,0)=Variables!$B$5,B1320&gt;VLOOKUP(I1320,$C$3:$L$6,8,0)),IF(VLOOKUP(I1320,$C$3:$L$6,5,0)=Variables!$B$5,((YEAR(B1320)-YEAR($B$12))*12+MONTH(B1320)-MONTH($B$12)),((YEAR(B1320)-YEAR(VLOOKUP(I1320,$C$3:$L$6,8,0)))*12+MONTH(B1320)-MONTH(VLOOKUP(I1320,$C$3:$L$6,8,0))))*(VLOOKUP(I1320,$C$3:$L$6,10,0)*VLOOKUP(I1320,$C$3:$L$6,6,0)/12),0))</f>
        <v/>
      </c>
      <c r="K1320" s="29" t="str">
        <f ca="1">IF(C1320&lt;&gt;"",IF(I1320&lt;&gt;"",IF(ISERROR(VLOOKUP(I1320,$C$3:$L$6,10,0)),"",VLOOKUP(I1320,$C$3:$L$6,10,0)+J1320+IF(OR(VLOOKUP(I1320,$C$3:$L$6,5,0)=Variables!$B$5,B1320&gt;VLOOKUP(I1320,$C$3:$L$6,8,0)),IF(VLOOKUP(I1320,$C$3:$L$6,5,0)=Variables!$B$5,((YEAR(B1320)-YEAR($B$12))*12+MONTH(B1320)-MONTH($B$12)),((YEAR(B1320)-YEAR(VLOOKUP(I1320,$C$3:$L$6,8,0)))*12+MONTH(B1320)-MONTH(VLOOKUP(I1320,$C$3:$L$6,8,0))))*VLOOKUP(I1320,$C$3:$L$6,7,0),0)),""),"")</f>
        <v/>
      </c>
      <c r="L1320" s="29" t="str">
        <f t="shared" ca="1" si="114"/>
        <v/>
      </c>
    </row>
    <row r="1321" spans="2:12" x14ac:dyDescent="0.25">
      <c r="B1321" s="14" t="str">
        <f t="shared" ca="1" si="115"/>
        <v/>
      </c>
      <c r="C1321" s="14" t="str">
        <f ca="1">IF(I1320&lt;&gt;Variables!$B$1,IF(H1320&lt;&gt;0,C1320,I1320),"")</f>
        <v/>
      </c>
      <c r="D1321" s="29" t="str">
        <f t="shared" ca="1" si="112"/>
        <v/>
      </c>
      <c r="E1321" s="29" t="str">
        <f t="shared" ca="1" si="113"/>
        <v/>
      </c>
      <c r="F1321" s="29" t="str">
        <f ca="1">IF(C1321&lt;&gt;"",IF(OR(VLOOKUP(C1321,$C$3:$L$6,5,0)=Variables!$B$5,B1321&gt;VLOOKUP(C1321,$C$3:$L$6,8,0)),-D1321*VLOOKUP(C1321,$C$3:$L$6,6,0)/12,0),"")</f>
        <v/>
      </c>
      <c r="G1321" s="29" t="str">
        <f ca="1">IF(I1321&lt;&gt;Variables!$B$1,IF(C1321&lt;&gt;"",$I$9-E1321-F1321,""),-D1321)</f>
        <v/>
      </c>
      <c r="H1321" s="29" t="str">
        <f t="shared" ca="1" si="116"/>
        <v/>
      </c>
      <c r="I1321" s="31" t="str">
        <f ca="1">IF(C1321&lt;&gt;"",IF(D1321+$I$9-E1321-F1321&gt;=0,IF(ISERROR(INDEX($C$3:$C$6,MATCH(C1321,$C$3:$C$6,0)+1,0)),Variables!$B$1,INDEX($C$3:$C$6,MATCH(C1321,$C$3:$C$6,0)+1,0)),""),"")</f>
        <v/>
      </c>
      <c r="J1321" s="29" t="str">
        <f ca="1">IF(ISERROR(VLOOKUP(I1321,$C$3:$L$6,5,0)),"",IF(OR(VLOOKUP(I1321,$C$3:$L$6,5,0)=Variables!$B$5,B1321&gt;VLOOKUP(I1321,$C$3:$L$6,8,0)),IF(VLOOKUP(I1321,$C$3:$L$6,5,0)=Variables!$B$5,((YEAR(B1321)-YEAR($B$12))*12+MONTH(B1321)-MONTH($B$12)),((YEAR(B1321)-YEAR(VLOOKUP(I1321,$C$3:$L$6,8,0)))*12+MONTH(B1321)-MONTH(VLOOKUP(I1321,$C$3:$L$6,8,0))))*(VLOOKUP(I1321,$C$3:$L$6,10,0)*VLOOKUP(I1321,$C$3:$L$6,6,0)/12),0))</f>
        <v/>
      </c>
      <c r="K1321" s="29" t="str">
        <f ca="1">IF(C1321&lt;&gt;"",IF(I1321&lt;&gt;"",IF(ISERROR(VLOOKUP(I1321,$C$3:$L$6,10,0)),"",VLOOKUP(I1321,$C$3:$L$6,10,0)+J1321+IF(OR(VLOOKUP(I1321,$C$3:$L$6,5,0)=Variables!$B$5,B1321&gt;VLOOKUP(I1321,$C$3:$L$6,8,0)),IF(VLOOKUP(I1321,$C$3:$L$6,5,0)=Variables!$B$5,((YEAR(B1321)-YEAR($B$12))*12+MONTH(B1321)-MONTH($B$12)),((YEAR(B1321)-YEAR(VLOOKUP(I1321,$C$3:$L$6,8,0)))*12+MONTH(B1321)-MONTH(VLOOKUP(I1321,$C$3:$L$6,8,0))))*VLOOKUP(I1321,$C$3:$L$6,7,0),0)),""),"")</f>
        <v/>
      </c>
      <c r="L1321" s="29" t="str">
        <f t="shared" ca="1" si="114"/>
        <v/>
      </c>
    </row>
    <row r="1322" spans="2:12" x14ac:dyDescent="0.25">
      <c r="B1322" s="14" t="str">
        <f t="shared" ca="1" si="115"/>
        <v/>
      </c>
      <c r="C1322" s="14" t="str">
        <f ca="1">IF(I1321&lt;&gt;Variables!$B$1,IF(H1321&lt;&gt;0,C1321,I1321),"")</f>
        <v/>
      </c>
      <c r="D1322" s="29" t="str">
        <f t="shared" ca="1" si="112"/>
        <v/>
      </c>
      <c r="E1322" s="29" t="str">
        <f t="shared" ca="1" si="113"/>
        <v/>
      </c>
      <c r="F1322" s="29" t="str">
        <f ca="1">IF(C1322&lt;&gt;"",IF(OR(VLOOKUP(C1322,$C$3:$L$6,5,0)=Variables!$B$5,B1322&gt;VLOOKUP(C1322,$C$3:$L$6,8,0)),-D1322*VLOOKUP(C1322,$C$3:$L$6,6,0)/12,0),"")</f>
        <v/>
      </c>
      <c r="G1322" s="29" t="str">
        <f ca="1">IF(I1322&lt;&gt;Variables!$B$1,IF(C1322&lt;&gt;"",$I$9-E1322-F1322,""),-D1322)</f>
        <v/>
      </c>
      <c r="H1322" s="29" t="str">
        <f t="shared" ca="1" si="116"/>
        <v/>
      </c>
      <c r="I1322" s="31" t="str">
        <f ca="1">IF(C1322&lt;&gt;"",IF(D1322+$I$9-E1322-F1322&gt;=0,IF(ISERROR(INDEX($C$3:$C$6,MATCH(C1322,$C$3:$C$6,0)+1,0)),Variables!$B$1,INDEX($C$3:$C$6,MATCH(C1322,$C$3:$C$6,0)+1,0)),""),"")</f>
        <v/>
      </c>
      <c r="J1322" s="29" t="str">
        <f ca="1">IF(ISERROR(VLOOKUP(I1322,$C$3:$L$6,5,0)),"",IF(OR(VLOOKUP(I1322,$C$3:$L$6,5,0)=Variables!$B$5,B1322&gt;VLOOKUP(I1322,$C$3:$L$6,8,0)),IF(VLOOKUP(I1322,$C$3:$L$6,5,0)=Variables!$B$5,((YEAR(B1322)-YEAR($B$12))*12+MONTH(B1322)-MONTH($B$12)),((YEAR(B1322)-YEAR(VLOOKUP(I1322,$C$3:$L$6,8,0)))*12+MONTH(B1322)-MONTH(VLOOKUP(I1322,$C$3:$L$6,8,0))))*(VLOOKUP(I1322,$C$3:$L$6,10,0)*VLOOKUP(I1322,$C$3:$L$6,6,0)/12),0))</f>
        <v/>
      </c>
      <c r="K1322" s="29" t="str">
        <f ca="1">IF(C1322&lt;&gt;"",IF(I1322&lt;&gt;"",IF(ISERROR(VLOOKUP(I1322,$C$3:$L$6,10,0)),"",VLOOKUP(I1322,$C$3:$L$6,10,0)+J1322+IF(OR(VLOOKUP(I1322,$C$3:$L$6,5,0)=Variables!$B$5,B1322&gt;VLOOKUP(I1322,$C$3:$L$6,8,0)),IF(VLOOKUP(I1322,$C$3:$L$6,5,0)=Variables!$B$5,((YEAR(B1322)-YEAR($B$12))*12+MONTH(B1322)-MONTH($B$12)),((YEAR(B1322)-YEAR(VLOOKUP(I1322,$C$3:$L$6,8,0)))*12+MONTH(B1322)-MONTH(VLOOKUP(I1322,$C$3:$L$6,8,0))))*VLOOKUP(I1322,$C$3:$L$6,7,0),0)),""),"")</f>
        <v/>
      </c>
      <c r="L1322" s="29" t="str">
        <f t="shared" ca="1" si="114"/>
        <v/>
      </c>
    </row>
    <row r="1323" spans="2:12" x14ac:dyDescent="0.25">
      <c r="B1323" s="14" t="str">
        <f t="shared" ca="1" si="115"/>
        <v/>
      </c>
      <c r="C1323" s="14" t="str">
        <f ca="1">IF(I1322&lt;&gt;Variables!$B$1,IF(H1322&lt;&gt;0,C1322,I1322),"")</f>
        <v/>
      </c>
      <c r="D1323" s="29" t="str">
        <f t="shared" ca="1" si="112"/>
        <v/>
      </c>
      <c r="E1323" s="29" t="str">
        <f t="shared" ca="1" si="113"/>
        <v/>
      </c>
      <c r="F1323" s="29" t="str">
        <f ca="1">IF(C1323&lt;&gt;"",IF(OR(VLOOKUP(C1323,$C$3:$L$6,5,0)=Variables!$B$5,B1323&gt;VLOOKUP(C1323,$C$3:$L$6,8,0)),-D1323*VLOOKUP(C1323,$C$3:$L$6,6,0)/12,0),"")</f>
        <v/>
      </c>
      <c r="G1323" s="29" t="str">
        <f ca="1">IF(I1323&lt;&gt;Variables!$B$1,IF(C1323&lt;&gt;"",$I$9-E1323-F1323,""),-D1323)</f>
        <v/>
      </c>
      <c r="H1323" s="29" t="str">
        <f t="shared" ca="1" si="116"/>
        <v/>
      </c>
      <c r="I1323" s="31" t="str">
        <f ca="1">IF(C1323&lt;&gt;"",IF(D1323+$I$9-E1323-F1323&gt;=0,IF(ISERROR(INDEX($C$3:$C$6,MATCH(C1323,$C$3:$C$6,0)+1,0)),Variables!$B$1,INDEX($C$3:$C$6,MATCH(C1323,$C$3:$C$6,0)+1,0)),""),"")</f>
        <v/>
      </c>
      <c r="J1323" s="29" t="str">
        <f ca="1">IF(ISERROR(VLOOKUP(I1323,$C$3:$L$6,5,0)),"",IF(OR(VLOOKUP(I1323,$C$3:$L$6,5,0)=Variables!$B$5,B1323&gt;VLOOKUP(I1323,$C$3:$L$6,8,0)),IF(VLOOKUP(I1323,$C$3:$L$6,5,0)=Variables!$B$5,((YEAR(B1323)-YEAR($B$12))*12+MONTH(B1323)-MONTH($B$12)),((YEAR(B1323)-YEAR(VLOOKUP(I1323,$C$3:$L$6,8,0)))*12+MONTH(B1323)-MONTH(VLOOKUP(I1323,$C$3:$L$6,8,0))))*(VLOOKUP(I1323,$C$3:$L$6,10,0)*VLOOKUP(I1323,$C$3:$L$6,6,0)/12),0))</f>
        <v/>
      </c>
      <c r="K1323" s="29" t="str">
        <f ca="1">IF(C1323&lt;&gt;"",IF(I1323&lt;&gt;"",IF(ISERROR(VLOOKUP(I1323,$C$3:$L$6,10,0)),"",VLOOKUP(I1323,$C$3:$L$6,10,0)+J1323+IF(OR(VLOOKUP(I1323,$C$3:$L$6,5,0)=Variables!$B$5,B1323&gt;VLOOKUP(I1323,$C$3:$L$6,8,0)),IF(VLOOKUP(I1323,$C$3:$L$6,5,0)=Variables!$B$5,((YEAR(B1323)-YEAR($B$12))*12+MONTH(B1323)-MONTH($B$12)),((YEAR(B1323)-YEAR(VLOOKUP(I1323,$C$3:$L$6,8,0)))*12+MONTH(B1323)-MONTH(VLOOKUP(I1323,$C$3:$L$6,8,0))))*VLOOKUP(I1323,$C$3:$L$6,7,0),0)),""),"")</f>
        <v/>
      </c>
      <c r="L1323" s="29" t="str">
        <f t="shared" ca="1" si="114"/>
        <v/>
      </c>
    </row>
    <row r="1324" spans="2:12" x14ac:dyDescent="0.25">
      <c r="B1324" s="14" t="str">
        <f t="shared" ca="1" si="115"/>
        <v/>
      </c>
      <c r="C1324" s="14" t="str">
        <f ca="1">IF(I1323&lt;&gt;Variables!$B$1,IF(H1323&lt;&gt;0,C1323,I1323),"")</f>
        <v/>
      </c>
      <c r="D1324" s="29" t="str">
        <f t="shared" ca="1" si="112"/>
        <v/>
      </c>
      <c r="E1324" s="29" t="str">
        <f t="shared" ca="1" si="113"/>
        <v/>
      </c>
      <c r="F1324" s="29" t="str">
        <f ca="1">IF(C1324&lt;&gt;"",IF(OR(VLOOKUP(C1324,$C$3:$L$6,5,0)=Variables!$B$5,B1324&gt;VLOOKUP(C1324,$C$3:$L$6,8,0)),-D1324*VLOOKUP(C1324,$C$3:$L$6,6,0)/12,0),"")</f>
        <v/>
      </c>
      <c r="G1324" s="29" t="str">
        <f ca="1">IF(I1324&lt;&gt;Variables!$B$1,IF(C1324&lt;&gt;"",$I$9-E1324-F1324,""),-D1324)</f>
        <v/>
      </c>
      <c r="H1324" s="29" t="str">
        <f t="shared" ca="1" si="116"/>
        <v/>
      </c>
      <c r="I1324" s="31" t="str">
        <f ca="1">IF(C1324&lt;&gt;"",IF(D1324+$I$9-E1324-F1324&gt;=0,IF(ISERROR(INDEX($C$3:$C$6,MATCH(C1324,$C$3:$C$6,0)+1,0)),Variables!$B$1,INDEX($C$3:$C$6,MATCH(C1324,$C$3:$C$6,0)+1,0)),""),"")</f>
        <v/>
      </c>
      <c r="J1324" s="29" t="str">
        <f ca="1">IF(ISERROR(VLOOKUP(I1324,$C$3:$L$6,5,0)),"",IF(OR(VLOOKUP(I1324,$C$3:$L$6,5,0)=Variables!$B$5,B1324&gt;VLOOKUP(I1324,$C$3:$L$6,8,0)),IF(VLOOKUP(I1324,$C$3:$L$6,5,0)=Variables!$B$5,((YEAR(B1324)-YEAR($B$12))*12+MONTH(B1324)-MONTH($B$12)),((YEAR(B1324)-YEAR(VLOOKUP(I1324,$C$3:$L$6,8,0)))*12+MONTH(B1324)-MONTH(VLOOKUP(I1324,$C$3:$L$6,8,0))))*(VLOOKUP(I1324,$C$3:$L$6,10,0)*VLOOKUP(I1324,$C$3:$L$6,6,0)/12),0))</f>
        <v/>
      </c>
      <c r="K1324" s="29" t="str">
        <f ca="1">IF(C1324&lt;&gt;"",IF(I1324&lt;&gt;"",IF(ISERROR(VLOOKUP(I1324,$C$3:$L$6,10,0)),"",VLOOKUP(I1324,$C$3:$L$6,10,0)+J1324+IF(OR(VLOOKUP(I1324,$C$3:$L$6,5,0)=Variables!$B$5,B1324&gt;VLOOKUP(I1324,$C$3:$L$6,8,0)),IF(VLOOKUP(I1324,$C$3:$L$6,5,0)=Variables!$B$5,((YEAR(B1324)-YEAR($B$12))*12+MONTH(B1324)-MONTH($B$12)),((YEAR(B1324)-YEAR(VLOOKUP(I1324,$C$3:$L$6,8,0)))*12+MONTH(B1324)-MONTH(VLOOKUP(I1324,$C$3:$L$6,8,0))))*VLOOKUP(I1324,$C$3:$L$6,7,0),0)),""),"")</f>
        <v/>
      </c>
      <c r="L1324" s="29" t="str">
        <f t="shared" ca="1" si="114"/>
        <v/>
      </c>
    </row>
    <row r="1325" spans="2:12" x14ac:dyDescent="0.25">
      <c r="B1325" s="14" t="str">
        <f t="shared" ca="1" si="115"/>
        <v/>
      </c>
      <c r="C1325" s="14" t="str">
        <f ca="1">IF(I1324&lt;&gt;Variables!$B$1,IF(H1324&lt;&gt;0,C1324,I1324),"")</f>
        <v/>
      </c>
      <c r="D1325" s="29" t="str">
        <f t="shared" ca="1" si="112"/>
        <v/>
      </c>
      <c r="E1325" s="29" t="str">
        <f t="shared" ca="1" si="113"/>
        <v/>
      </c>
      <c r="F1325" s="29" t="str">
        <f ca="1">IF(C1325&lt;&gt;"",IF(OR(VLOOKUP(C1325,$C$3:$L$6,5,0)=Variables!$B$5,B1325&gt;VLOOKUP(C1325,$C$3:$L$6,8,0)),-D1325*VLOOKUP(C1325,$C$3:$L$6,6,0)/12,0),"")</f>
        <v/>
      </c>
      <c r="G1325" s="29" t="str">
        <f ca="1">IF(I1325&lt;&gt;Variables!$B$1,IF(C1325&lt;&gt;"",$I$9-E1325-F1325,""),-D1325)</f>
        <v/>
      </c>
      <c r="H1325" s="29" t="str">
        <f t="shared" ca="1" si="116"/>
        <v/>
      </c>
      <c r="I1325" s="31" t="str">
        <f ca="1">IF(C1325&lt;&gt;"",IF(D1325+$I$9-E1325-F1325&gt;=0,IF(ISERROR(INDEX($C$3:$C$6,MATCH(C1325,$C$3:$C$6,0)+1,0)),Variables!$B$1,INDEX($C$3:$C$6,MATCH(C1325,$C$3:$C$6,0)+1,0)),""),"")</f>
        <v/>
      </c>
      <c r="J1325" s="29" t="str">
        <f ca="1">IF(ISERROR(VLOOKUP(I1325,$C$3:$L$6,5,0)),"",IF(OR(VLOOKUP(I1325,$C$3:$L$6,5,0)=Variables!$B$5,B1325&gt;VLOOKUP(I1325,$C$3:$L$6,8,0)),IF(VLOOKUP(I1325,$C$3:$L$6,5,0)=Variables!$B$5,((YEAR(B1325)-YEAR($B$12))*12+MONTH(B1325)-MONTH($B$12)),((YEAR(B1325)-YEAR(VLOOKUP(I1325,$C$3:$L$6,8,0)))*12+MONTH(B1325)-MONTH(VLOOKUP(I1325,$C$3:$L$6,8,0))))*(VLOOKUP(I1325,$C$3:$L$6,10,0)*VLOOKUP(I1325,$C$3:$L$6,6,0)/12),0))</f>
        <v/>
      </c>
      <c r="K1325" s="29" t="str">
        <f ca="1">IF(C1325&lt;&gt;"",IF(I1325&lt;&gt;"",IF(ISERROR(VLOOKUP(I1325,$C$3:$L$6,10,0)),"",VLOOKUP(I1325,$C$3:$L$6,10,0)+J1325+IF(OR(VLOOKUP(I1325,$C$3:$L$6,5,0)=Variables!$B$5,B1325&gt;VLOOKUP(I1325,$C$3:$L$6,8,0)),IF(VLOOKUP(I1325,$C$3:$L$6,5,0)=Variables!$B$5,((YEAR(B1325)-YEAR($B$12))*12+MONTH(B1325)-MONTH($B$12)),((YEAR(B1325)-YEAR(VLOOKUP(I1325,$C$3:$L$6,8,0)))*12+MONTH(B1325)-MONTH(VLOOKUP(I1325,$C$3:$L$6,8,0))))*VLOOKUP(I1325,$C$3:$L$6,7,0),0)),""),"")</f>
        <v/>
      </c>
      <c r="L1325" s="29" t="str">
        <f t="shared" ca="1" si="114"/>
        <v/>
      </c>
    </row>
    <row r="1326" spans="2:12" x14ac:dyDescent="0.25">
      <c r="B1326" s="14" t="str">
        <f t="shared" ca="1" si="115"/>
        <v/>
      </c>
      <c r="C1326" s="14" t="str">
        <f ca="1">IF(I1325&lt;&gt;Variables!$B$1,IF(H1325&lt;&gt;0,C1325,I1325),"")</f>
        <v/>
      </c>
      <c r="D1326" s="29" t="str">
        <f t="shared" ca="1" si="112"/>
        <v/>
      </c>
      <c r="E1326" s="29" t="str">
        <f t="shared" ca="1" si="113"/>
        <v/>
      </c>
      <c r="F1326" s="29" t="str">
        <f ca="1">IF(C1326&lt;&gt;"",IF(OR(VLOOKUP(C1326,$C$3:$L$6,5,0)=Variables!$B$5,B1326&gt;VLOOKUP(C1326,$C$3:$L$6,8,0)),-D1326*VLOOKUP(C1326,$C$3:$L$6,6,0)/12,0),"")</f>
        <v/>
      </c>
      <c r="G1326" s="29" t="str">
        <f ca="1">IF(I1326&lt;&gt;Variables!$B$1,IF(C1326&lt;&gt;"",$I$9-E1326-F1326,""),-D1326)</f>
        <v/>
      </c>
      <c r="H1326" s="29" t="str">
        <f t="shared" ca="1" si="116"/>
        <v/>
      </c>
      <c r="I1326" s="31" t="str">
        <f ca="1">IF(C1326&lt;&gt;"",IF(D1326+$I$9-E1326-F1326&gt;=0,IF(ISERROR(INDEX($C$3:$C$6,MATCH(C1326,$C$3:$C$6,0)+1,0)),Variables!$B$1,INDEX($C$3:$C$6,MATCH(C1326,$C$3:$C$6,0)+1,0)),""),"")</f>
        <v/>
      </c>
      <c r="J1326" s="29" t="str">
        <f ca="1">IF(ISERROR(VLOOKUP(I1326,$C$3:$L$6,5,0)),"",IF(OR(VLOOKUP(I1326,$C$3:$L$6,5,0)=Variables!$B$5,B1326&gt;VLOOKUP(I1326,$C$3:$L$6,8,0)),IF(VLOOKUP(I1326,$C$3:$L$6,5,0)=Variables!$B$5,((YEAR(B1326)-YEAR($B$12))*12+MONTH(B1326)-MONTH($B$12)),((YEAR(B1326)-YEAR(VLOOKUP(I1326,$C$3:$L$6,8,0)))*12+MONTH(B1326)-MONTH(VLOOKUP(I1326,$C$3:$L$6,8,0))))*(VLOOKUP(I1326,$C$3:$L$6,10,0)*VLOOKUP(I1326,$C$3:$L$6,6,0)/12),0))</f>
        <v/>
      </c>
      <c r="K1326" s="29" t="str">
        <f ca="1">IF(C1326&lt;&gt;"",IF(I1326&lt;&gt;"",IF(ISERROR(VLOOKUP(I1326,$C$3:$L$6,10,0)),"",VLOOKUP(I1326,$C$3:$L$6,10,0)+J1326+IF(OR(VLOOKUP(I1326,$C$3:$L$6,5,0)=Variables!$B$5,B1326&gt;VLOOKUP(I1326,$C$3:$L$6,8,0)),IF(VLOOKUP(I1326,$C$3:$L$6,5,0)=Variables!$B$5,((YEAR(B1326)-YEAR($B$12))*12+MONTH(B1326)-MONTH($B$12)),((YEAR(B1326)-YEAR(VLOOKUP(I1326,$C$3:$L$6,8,0)))*12+MONTH(B1326)-MONTH(VLOOKUP(I1326,$C$3:$L$6,8,0))))*VLOOKUP(I1326,$C$3:$L$6,7,0),0)),""),"")</f>
        <v/>
      </c>
      <c r="L1326" s="29" t="str">
        <f t="shared" ca="1" si="114"/>
        <v/>
      </c>
    </row>
    <row r="1327" spans="2:12" x14ac:dyDescent="0.25">
      <c r="B1327" s="14" t="str">
        <f t="shared" ca="1" si="115"/>
        <v/>
      </c>
      <c r="C1327" s="14" t="str">
        <f ca="1">IF(I1326&lt;&gt;Variables!$B$1,IF(H1326&lt;&gt;0,C1326,I1326),"")</f>
        <v/>
      </c>
      <c r="D1327" s="29" t="str">
        <f t="shared" ca="1" si="112"/>
        <v/>
      </c>
      <c r="E1327" s="29" t="str">
        <f t="shared" ca="1" si="113"/>
        <v/>
      </c>
      <c r="F1327" s="29" t="str">
        <f ca="1">IF(C1327&lt;&gt;"",IF(OR(VLOOKUP(C1327,$C$3:$L$6,5,0)=Variables!$B$5,B1327&gt;VLOOKUP(C1327,$C$3:$L$6,8,0)),-D1327*VLOOKUP(C1327,$C$3:$L$6,6,0)/12,0),"")</f>
        <v/>
      </c>
      <c r="G1327" s="29" t="str">
        <f ca="1">IF(I1327&lt;&gt;Variables!$B$1,IF(C1327&lt;&gt;"",$I$9-E1327-F1327,""),-D1327)</f>
        <v/>
      </c>
      <c r="H1327" s="29" t="str">
        <f t="shared" ca="1" si="116"/>
        <v/>
      </c>
      <c r="I1327" s="31" t="str">
        <f ca="1">IF(C1327&lt;&gt;"",IF(D1327+$I$9-E1327-F1327&gt;=0,IF(ISERROR(INDEX($C$3:$C$6,MATCH(C1327,$C$3:$C$6,0)+1,0)),Variables!$B$1,INDEX($C$3:$C$6,MATCH(C1327,$C$3:$C$6,0)+1,0)),""),"")</f>
        <v/>
      </c>
      <c r="J1327" s="29" t="str">
        <f ca="1">IF(ISERROR(VLOOKUP(I1327,$C$3:$L$6,5,0)),"",IF(OR(VLOOKUP(I1327,$C$3:$L$6,5,0)=Variables!$B$5,B1327&gt;VLOOKUP(I1327,$C$3:$L$6,8,0)),IF(VLOOKUP(I1327,$C$3:$L$6,5,0)=Variables!$B$5,((YEAR(B1327)-YEAR($B$12))*12+MONTH(B1327)-MONTH($B$12)),((YEAR(B1327)-YEAR(VLOOKUP(I1327,$C$3:$L$6,8,0)))*12+MONTH(B1327)-MONTH(VLOOKUP(I1327,$C$3:$L$6,8,0))))*(VLOOKUP(I1327,$C$3:$L$6,10,0)*VLOOKUP(I1327,$C$3:$L$6,6,0)/12),0))</f>
        <v/>
      </c>
      <c r="K1327" s="29" t="str">
        <f ca="1">IF(C1327&lt;&gt;"",IF(I1327&lt;&gt;"",IF(ISERROR(VLOOKUP(I1327,$C$3:$L$6,10,0)),"",VLOOKUP(I1327,$C$3:$L$6,10,0)+J1327+IF(OR(VLOOKUP(I1327,$C$3:$L$6,5,0)=Variables!$B$5,B1327&gt;VLOOKUP(I1327,$C$3:$L$6,8,0)),IF(VLOOKUP(I1327,$C$3:$L$6,5,0)=Variables!$B$5,((YEAR(B1327)-YEAR($B$12))*12+MONTH(B1327)-MONTH($B$12)),((YEAR(B1327)-YEAR(VLOOKUP(I1327,$C$3:$L$6,8,0)))*12+MONTH(B1327)-MONTH(VLOOKUP(I1327,$C$3:$L$6,8,0))))*VLOOKUP(I1327,$C$3:$L$6,7,0),0)),""),"")</f>
        <v/>
      </c>
      <c r="L1327" s="29" t="str">
        <f t="shared" ca="1" si="114"/>
        <v/>
      </c>
    </row>
    <row r="1328" spans="2:12" x14ac:dyDescent="0.25">
      <c r="B1328" s="14" t="str">
        <f t="shared" ca="1" si="115"/>
        <v/>
      </c>
      <c r="C1328" s="14" t="str">
        <f ca="1">IF(I1327&lt;&gt;Variables!$B$1,IF(H1327&lt;&gt;0,C1327,I1327),"")</f>
        <v/>
      </c>
      <c r="D1328" s="29" t="str">
        <f t="shared" ca="1" si="112"/>
        <v/>
      </c>
      <c r="E1328" s="29" t="str">
        <f t="shared" ca="1" si="113"/>
        <v/>
      </c>
      <c r="F1328" s="29" t="str">
        <f ca="1">IF(C1328&lt;&gt;"",IF(OR(VLOOKUP(C1328,$C$3:$L$6,5,0)=Variables!$B$5,B1328&gt;VLOOKUP(C1328,$C$3:$L$6,8,0)),-D1328*VLOOKUP(C1328,$C$3:$L$6,6,0)/12,0),"")</f>
        <v/>
      </c>
      <c r="G1328" s="29" t="str">
        <f ca="1">IF(I1328&lt;&gt;Variables!$B$1,IF(C1328&lt;&gt;"",$I$9-E1328-F1328,""),-D1328)</f>
        <v/>
      </c>
      <c r="H1328" s="29" t="str">
        <f t="shared" ca="1" si="116"/>
        <v/>
      </c>
      <c r="I1328" s="31" t="str">
        <f ca="1">IF(C1328&lt;&gt;"",IF(D1328+$I$9-E1328-F1328&gt;=0,IF(ISERROR(INDEX($C$3:$C$6,MATCH(C1328,$C$3:$C$6,0)+1,0)),Variables!$B$1,INDEX($C$3:$C$6,MATCH(C1328,$C$3:$C$6,0)+1,0)),""),"")</f>
        <v/>
      </c>
      <c r="J1328" s="29" t="str">
        <f ca="1">IF(ISERROR(VLOOKUP(I1328,$C$3:$L$6,5,0)),"",IF(OR(VLOOKUP(I1328,$C$3:$L$6,5,0)=Variables!$B$5,B1328&gt;VLOOKUP(I1328,$C$3:$L$6,8,0)),IF(VLOOKUP(I1328,$C$3:$L$6,5,0)=Variables!$B$5,((YEAR(B1328)-YEAR($B$12))*12+MONTH(B1328)-MONTH($B$12)),((YEAR(B1328)-YEAR(VLOOKUP(I1328,$C$3:$L$6,8,0)))*12+MONTH(B1328)-MONTH(VLOOKUP(I1328,$C$3:$L$6,8,0))))*(VLOOKUP(I1328,$C$3:$L$6,10,0)*VLOOKUP(I1328,$C$3:$L$6,6,0)/12),0))</f>
        <v/>
      </c>
      <c r="K1328" s="29" t="str">
        <f ca="1">IF(C1328&lt;&gt;"",IF(I1328&lt;&gt;"",IF(ISERROR(VLOOKUP(I1328,$C$3:$L$6,10,0)),"",VLOOKUP(I1328,$C$3:$L$6,10,0)+J1328+IF(OR(VLOOKUP(I1328,$C$3:$L$6,5,0)=Variables!$B$5,B1328&gt;VLOOKUP(I1328,$C$3:$L$6,8,0)),IF(VLOOKUP(I1328,$C$3:$L$6,5,0)=Variables!$B$5,((YEAR(B1328)-YEAR($B$12))*12+MONTH(B1328)-MONTH($B$12)),((YEAR(B1328)-YEAR(VLOOKUP(I1328,$C$3:$L$6,8,0)))*12+MONTH(B1328)-MONTH(VLOOKUP(I1328,$C$3:$L$6,8,0))))*VLOOKUP(I1328,$C$3:$L$6,7,0),0)),""),"")</f>
        <v/>
      </c>
      <c r="L1328" s="29" t="str">
        <f t="shared" ca="1" si="114"/>
        <v/>
      </c>
    </row>
    <row r="1329" spans="2:12" x14ac:dyDescent="0.25">
      <c r="B1329" s="14" t="str">
        <f t="shared" ca="1" si="115"/>
        <v/>
      </c>
      <c r="C1329" s="14" t="str">
        <f ca="1">IF(I1328&lt;&gt;Variables!$B$1,IF(H1328&lt;&gt;0,C1328,I1328),"")</f>
        <v/>
      </c>
      <c r="D1329" s="29" t="str">
        <f t="shared" ca="1" si="112"/>
        <v/>
      </c>
      <c r="E1329" s="29" t="str">
        <f t="shared" ca="1" si="113"/>
        <v/>
      </c>
      <c r="F1329" s="29" t="str">
        <f ca="1">IF(C1329&lt;&gt;"",IF(OR(VLOOKUP(C1329,$C$3:$L$6,5,0)=Variables!$B$5,B1329&gt;VLOOKUP(C1329,$C$3:$L$6,8,0)),-D1329*VLOOKUP(C1329,$C$3:$L$6,6,0)/12,0),"")</f>
        <v/>
      </c>
      <c r="G1329" s="29" t="str">
        <f ca="1">IF(I1329&lt;&gt;Variables!$B$1,IF(C1329&lt;&gt;"",$I$9-E1329-F1329,""),-D1329)</f>
        <v/>
      </c>
      <c r="H1329" s="29" t="str">
        <f t="shared" ca="1" si="116"/>
        <v/>
      </c>
      <c r="I1329" s="31" t="str">
        <f ca="1">IF(C1329&lt;&gt;"",IF(D1329+$I$9-E1329-F1329&gt;=0,IF(ISERROR(INDEX($C$3:$C$6,MATCH(C1329,$C$3:$C$6,0)+1,0)),Variables!$B$1,INDEX($C$3:$C$6,MATCH(C1329,$C$3:$C$6,0)+1,0)),""),"")</f>
        <v/>
      </c>
      <c r="J1329" s="29" t="str">
        <f ca="1">IF(ISERROR(VLOOKUP(I1329,$C$3:$L$6,5,0)),"",IF(OR(VLOOKUP(I1329,$C$3:$L$6,5,0)=Variables!$B$5,B1329&gt;VLOOKUP(I1329,$C$3:$L$6,8,0)),IF(VLOOKUP(I1329,$C$3:$L$6,5,0)=Variables!$B$5,((YEAR(B1329)-YEAR($B$12))*12+MONTH(B1329)-MONTH($B$12)),((YEAR(B1329)-YEAR(VLOOKUP(I1329,$C$3:$L$6,8,0)))*12+MONTH(B1329)-MONTH(VLOOKUP(I1329,$C$3:$L$6,8,0))))*(VLOOKUP(I1329,$C$3:$L$6,10,0)*VLOOKUP(I1329,$C$3:$L$6,6,0)/12),0))</f>
        <v/>
      </c>
      <c r="K1329" s="29" t="str">
        <f ca="1">IF(C1329&lt;&gt;"",IF(I1329&lt;&gt;"",IF(ISERROR(VLOOKUP(I1329,$C$3:$L$6,10,0)),"",VLOOKUP(I1329,$C$3:$L$6,10,0)+J1329+IF(OR(VLOOKUP(I1329,$C$3:$L$6,5,0)=Variables!$B$5,B1329&gt;VLOOKUP(I1329,$C$3:$L$6,8,0)),IF(VLOOKUP(I1329,$C$3:$L$6,5,0)=Variables!$B$5,((YEAR(B1329)-YEAR($B$12))*12+MONTH(B1329)-MONTH($B$12)),((YEAR(B1329)-YEAR(VLOOKUP(I1329,$C$3:$L$6,8,0)))*12+MONTH(B1329)-MONTH(VLOOKUP(I1329,$C$3:$L$6,8,0))))*VLOOKUP(I1329,$C$3:$L$6,7,0),0)),""),"")</f>
        <v/>
      </c>
      <c r="L1329" s="29" t="str">
        <f t="shared" ca="1" si="114"/>
        <v/>
      </c>
    </row>
    <row r="1330" spans="2:12" x14ac:dyDescent="0.25">
      <c r="B1330" s="14" t="str">
        <f t="shared" ca="1" si="115"/>
        <v/>
      </c>
      <c r="C1330" s="14" t="str">
        <f ca="1">IF(I1329&lt;&gt;Variables!$B$1,IF(H1329&lt;&gt;0,C1329,I1329),"")</f>
        <v/>
      </c>
      <c r="D1330" s="29" t="str">
        <f t="shared" ca="1" si="112"/>
        <v/>
      </c>
      <c r="E1330" s="29" t="str">
        <f t="shared" ca="1" si="113"/>
        <v/>
      </c>
      <c r="F1330" s="29" t="str">
        <f ca="1">IF(C1330&lt;&gt;"",IF(OR(VLOOKUP(C1330,$C$3:$L$6,5,0)=Variables!$B$5,B1330&gt;VLOOKUP(C1330,$C$3:$L$6,8,0)),-D1330*VLOOKUP(C1330,$C$3:$L$6,6,0)/12,0),"")</f>
        <v/>
      </c>
      <c r="G1330" s="29" t="str">
        <f ca="1">IF(I1330&lt;&gt;Variables!$B$1,IF(C1330&lt;&gt;"",$I$9-E1330-F1330,""),-D1330)</f>
        <v/>
      </c>
      <c r="H1330" s="29" t="str">
        <f t="shared" ca="1" si="116"/>
        <v/>
      </c>
      <c r="I1330" s="31" t="str">
        <f ca="1">IF(C1330&lt;&gt;"",IF(D1330+$I$9-E1330-F1330&gt;=0,IF(ISERROR(INDEX($C$3:$C$6,MATCH(C1330,$C$3:$C$6,0)+1,0)),Variables!$B$1,INDEX($C$3:$C$6,MATCH(C1330,$C$3:$C$6,0)+1,0)),""),"")</f>
        <v/>
      </c>
      <c r="J1330" s="29" t="str">
        <f ca="1">IF(ISERROR(VLOOKUP(I1330,$C$3:$L$6,5,0)),"",IF(OR(VLOOKUP(I1330,$C$3:$L$6,5,0)=Variables!$B$5,B1330&gt;VLOOKUP(I1330,$C$3:$L$6,8,0)),IF(VLOOKUP(I1330,$C$3:$L$6,5,0)=Variables!$B$5,((YEAR(B1330)-YEAR($B$12))*12+MONTH(B1330)-MONTH($B$12)),((YEAR(B1330)-YEAR(VLOOKUP(I1330,$C$3:$L$6,8,0)))*12+MONTH(B1330)-MONTH(VLOOKUP(I1330,$C$3:$L$6,8,0))))*(VLOOKUP(I1330,$C$3:$L$6,10,0)*VLOOKUP(I1330,$C$3:$L$6,6,0)/12),0))</f>
        <v/>
      </c>
      <c r="K1330" s="29" t="str">
        <f ca="1">IF(C1330&lt;&gt;"",IF(I1330&lt;&gt;"",IF(ISERROR(VLOOKUP(I1330,$C$3:$L$6,10,0)),"",VLOOKUP(I1330,$C$3:$L$6,10,0)+J1330+IF(OR(VLOOKUP(I1330,$C$3:$L$6,5,0)=Variables!$B$5,B1330&gt;VLOOKUP(I1330,$C$3:$L$6,8,0)),IF(VLOOKUP(I1330,$C$3:$L$6,5,0)=Variables!$B$5,((YEAR(B1330)-YEAR($B$12))*12+MONTH(B1330)-MONTH($B$12)),((YEAR(B1330)-YEAR(VLOOKUP(I1330,$C$3:$L$6,8,0)))*12+MONTH(B1330)-MONTH(VLOOKUP(I1330,$C$3:$L$6,8,0))))*VLOOKUP(I1330,$C$3:$L$6,7,0),0)),""),"")</f>
        <v/>
      </c>
      <c r="L1330" s="29" t="str">
        <f t="shared" ca="1" si="114"/>
        <v/>
      </c>
    </row>
    <row r="1331" spans="2:12" x14ac:dyDescent="0.25">
      <c r="B1331" s="14" t="str">
        <f t="shared" ca="1" si="115"/>
        <v/>
      </c>
      <c r="C1331" s="14" t="str">
        <f ca="1">IF(I1330&lt;&gt;Variables!$B$1,IF(H1330&lt;&gt;0,C1330,I1330),"")</f>
        <v/>
      </c>
      <c r="D1331" s="29" t="str">
        <f t="shared" ca="1" si="112"/>
        <v/>
      </c>
      <c r="E1331" s="29" t="str">
        <f t="shared" ca="1" si="113"/>
        <v/>
      </c>
      <c r="F1331" s="29" t="str">
        <f ca="1">IF(C1331&lt;&gt;"",IF(OR(VLOOKUP(C1331,$C$3:$L$6,5,0)=Variables!$B$5,B1331&gt;VLOOKUP(C1331,$C$3:$L$6,8,0)),-D1331*VLOOKUP(C1331,$C$3:$L$6,6,0)/12,0),"")</f>
        <v/>
      </c>
      <c r="G1331" s="29" t="str">
        <f ca="1">IF(I1331&lt;&gt;Variables!$B$1,IF(C1331&lt;&gt;"",$I$9-E1331-F1331,""),-D1331)</f>
        <v/>
      </c>
      <c r="H1331" s="29" t="str">
        <f t="shared" ca="1" si="116"/>
        <v/>
      </c>
      <c r="I1331" s="31" t="str">
        <f ca="1">IF(C1331&lt;&gt;"",IF(D1331+$I$9-E1331-F1331&gt;=0,IF(ISERROR(INDEX($C$3:$C$6,MATCH(C1331,$C$3:$C$6,0)+1,0)),Variables!$B$1,INDEX($C$3:$C$6,MATCH(C1331,$C$3:$C$6,0)+1,0)),""),"")</f>
        <v/>
      </c>
      <c r="J1331" s="29" t="str">
        <f ca="1">IF(ISERROR(VLOOKUP(I1331,$C$3:$L$6,5,0)),"",IF(OR(VLOOKUP(I1331,$C$3:$L$6,5,0)=Variables!$B$5,B1331&gt;VLOOKUP(I1331,$C$3:$L$6,8,0)),IF(VLOOKUP(I1331,$C$3:$L$6,5,0)=Variables!$B$5,((YEAR(B1331)-YEAR($B$12))*12+MONTH(B1331)-MONTH($B$12)),((YEAR(B1331)-YEAR(VLOOKUP(I1331,$C$3:$L$6,8,0)))*12+MONTH(B1331)-MONTH(VLOOKUP(I1331,$C$3:$L$6,8,0))))*(VLOOKUP(I1331,$C$3:$L$6,10,0)*VLOOKUP(I1331,$C$3:$L$6,6,0)/12),0))</f>
        <v/>
      </c>
      <c r="K1331" s="29" t="str">
        <f ca="1">IF(C1331&lt;&gt;"",IF(I1331&lt;&gt;"",IF(ISERROR(VLOOKUP(I1331,$C$3:$L$6,10,0)),"",VLOOKUP(I1331,$C$3:$L$6,10,0)+J1331+IF(OR(VLOOKUP(I1331,$C$3:$L$6,5,0)=Variables!$B$5,B1331&gt;VLOOKUP(I1331,$C$3:$L$6,8,0)),IF(VLOOKUP(I1331,$C$3:$L$6,5,0)=Variables!$B$5,((YEAR(B1331)-YEAR($B$12))*12+MONTH(B1331)-MONTH($B$12)),((YEAR(B1331)-YEAR(VLOOKUP(I1331,$C$3:$L$6,8,0)))*12+MONTH(B1331)-MONTH(VLOOKUP(I1331,$C$3:$L$6,8,0))))*VLOOKUP(I1331,$C$3:$L$6,7,0),0)),""),"")</f>
        <v/>
      </c>
      <c r="L1331" s="29" t="str">
        <f t="shared" ca="1" si="114"/>
        <v/>
      </c>
    </row>
    <row r="1332" spans="2:12" x14ac:dyDescent="0.25">
      <c r="B1332" s="14" t="str">
        <f t="shared" ca="1" si="115"/>
        <v/>
      </c>
      <c r="C1332" s="14" t="str">
        <f ca="1">IF(I1331&lt;&gt;Variables!$B$1,IF(H1331&lt;&gt;0,C1331,I1331),"")</f>
        <v/>
      </c>
      <c r="D1332" s="29" t="str">
        <f t="shared" ca="1" si="112"/>
        <v/>
      </c>
      <c r="E1332" s="29" t="str">
        <f t="shared" ca="1" si="113"/>
        <v/>
      </c>
      <c r="F1332" s="29" t="str">
        <f ca="1">IF(C1332&lt;&gt;"",IF(OR(VLOOKUP(C1332,$C$3:$L$6,5,0)=Variables!$B$5,B1332&gt;VLOOKUP(C1332,$C$3:$L$6,8,0)),-D1332*VLOOKUP(C1332,$C$3:$L$6,6,0)/12,0),"")</f>
        <v/>
      </c>
      <c r="G1332" s="29" t="str">
        <f ca="1">IF(I1332&lt;&gt;Variables!$B$1,IF(C1332&lt;&gt;"",$I$9-E1332-F1332,""),-D1332)</f>
        <v/>
      </c>
      <c r="H1332" s="29" t="str">
        <f t="shared" ca="1" si="116"/>
        <v/>
      </c>
      <c r="I1332" s="31" t="str">
        <f ca="1">IF(C1332&lt;&gt;"",IF(D1332+$I$9-E1332-F1332&gt;=0,IF(ISERROR(INDEX($C$3:$C$6,MATCH(C1332,$C$3:$C$6,0)+1,0)),Variables!$B$1,INDEX($C$3:$C$6,MATCH(C1332,$C$3:$C$6,0)+1,0)),""),"")</f>
        <v/>
      </c>
      <c r="J1332" s="29" t="str">
        <f ca="1">IF(ISERROR(VLOOKUP(I1332,$C$3:$L$6,5,0)),"",IF(OR(VLOOKUP(I1332,$C$3:$L$6,5,0)=Variables!$B$5,B1332&gt;VLOOKUP(I1332,$C$3:$L$6,8,0)),IF(VLOOKUP(I1332,$C$3:$L$6,5,0)=Variables!$B$5,((YEAR(B1332)-YEAR($B$12))*12+MONTH(B1332)-MONTH($B$12)),((YEAR(B1332)-YEAR(VLOOKUP(I1332,$C$3:$L$6,8,0)))*12+MONTH(B1332)-MONTH(VLOOKUP(I1332,$C$3:$L$6,8,0))))*(VLOOKUP(I1332,$C$3:$L$6,10,0)*VLOOKUP(I1332,$C$3:$L$6,6,0)/12),0))</f>
        <v/>
      </c>
      <c r="K1332" s="29" t="str">
        <f ca="1">IF(C1332&lt;&gt;"",IF(I1332&lt;&gt;"",IF(ISERROR(VLOOKUP(I1332,$C$3:$L$6,10,0)),"",VLOOKUP(I1332,$C$3:$L$6,10,0)+J1332+IF(OR(VLOOKUP(I1332,$C$3:$L$6,5,0)=Variables!$B$5,B1332&gt;VLOOKUP(I1332,$C$3:$L$6,8,0)),IF(VLOOKUP(I1332,$C$3:$L$6,5,0)=Variables!$B$5,((YEAR(B1332)-YEAR($B$12))*12+MONTH(B1332)-MONTH($B$12)),((YEAR(B1332)-YEAR(VLOOKUP(I1332,$C$3:$L$6,8,0)))*12+MONTH(B1332)-MONTH(VLOOKUP(I1332,$C$3:$L$6,8,0))))*VLOOKUP(I1332,$C$3:$L$6,7,0),0)),""),"")</f>
        <v/>
      </c>
      <c r="L1332" s="29" t="str">
        <f t="shared" ca="1" si="114"/>
        <v/>
      </c>
    </row>
    <row r="1333" spans="2:12" x14ac:dyDescent="0.25">
      <c r="B1333" s="14" t="str">
        <f t="shared" ca="1" si="115"/>
        <v/>
      </c>
      <c r="C1333" s="14" t="str">
        <f ca="1">IF(I1332&lt;&gt;Variables!$B$1,IF(H1332&lt;&gt;0,C1332,I1332),"")</f>
        <v/>
      </c>
      <c r="D1333" s="29" t="str">
        <f t="shared" ca="1" si="112"/>
        <v/>
      </c>
      <c r="E1333" s="29" t="str">
        <f t="shared" ca="1" si="113"/>
        <v/>
      </c>
      <c r="F1333" s="29" t="str">
        <f ca="1">IF(C1333&lt;&gt;"",IF(OR(VLOOKUP(C1333,$C$3:$L$6,5,0)=Variables!$B$5,B1333&gt;VLOOKUP(C1333,$C$3:$L$6,8,0)),-D1333*VLOOKUP(C1333,$C$3:$L$6,6,0)/12,0),"")</f>
        <v/>
      </c>
      <c r="G1333" s="29" t="str">
        <f ca="1">IF(I1333&lt;&gt;Variables!$B$1,IF(C1333&lt;&gt;"",$I$9-E1333-F1333,""),-D1333)</f>
        <v/>
      </c>
      <c r="H1333" s="29" t="str">
        <f t="shared" ca="1" si="116"/>
        <v/>
      </c>
      <c r="I1333" s="31" t="str">
        <f ca="1">IF(C1333&lt;&gt;"",IF(D1333+$I$9-E1333-F1333&gt;=0,IF(ISERROR(INDEX($C$3:$C$6,MATCH(C1333,$C$3:$C$6,0)+1,0)),Variables!$B$1,INDEX($C$3:$C$6,MATCH(C1333,$C$3:$C$6,0)+1,0)),""),"")</f>
        <v/>
      </c>
      <c r="J1333" s="29" t="str">
        <f ca="1">IF(ISERROR(VLOOKUP(I1333,$C$3:$L$6,5,0)),"",IF(OR(VLOOKUP(I1333,$C$3:$L$6,5,0)=Variables!$B$5,B1333&gt;VLOOKUP(I1333,$C$3:$L$6,8,0)),IF(VLOOKUP(I1333,$C$3:$L$6,5,0)=Variables!$B$5,((YEAR(B1333)-YEAR($B$12))*12+MONTH(B1333)-MONTH($B$12)),((YEAR(B1333)-YEAR(VLOOKUP(I1333,$C$3:$L$6,8,0)))*12+MONTH(B1333)-MONTH(VLOOKUP(I1333,$C$3:$L$6,8,0))))*(VLOOKUP(I1333,$C$3:$L$6,10,0)*VLOOKUP(I1333,$C$3:$L$6,6,0)/12),0))</f>
        <v/>
      </c>
      <c r="K1333" s="29" t="str">
        <f ca="1">IF(C1333&lt;&gt;"",IF(I1333&lt;&gt;"",IF(ISERROR(VLOOKUP(I1333,$C$3:$L$6,10,0)),"",VLOOKUP(I1333,$C$3:$L$6,10,0)+J1333+IF(OR(VLOOKUP(I1333,$C$3:$L$6,5,0)=Variables!$B$5,B1333&gt;VLOOKUP(I1333,$C$3:$L$6,8,0)),IF(VLOOKUP(I1333,$C$3:$L$6,5,0)=Variables!$B$5,((YEAR(B1333)-YEAR($B$12))*12+MONTH(B1333)-MONTH($B$12)),((YEAR(B1333)-YEAR(VLOOKUP(I1333,$C$3:$L$6,8,0)))*12+MONTH(B1333)-MONTH(VLOOKUP(I1333,$C$3:$L$6,8,0))))*VLOOKUP(I1333,$C$3:$L$6,7,0),0)),""),"")</f>
        <v/>
      </c>
      <c r="L1333" s="29" t="str">
        <f t="shared" ca="1" si="114"/>
        <v/>
      </c>
    </row>
    <row r="1334" spans="2:12" x14ac:dyDescent="0.25">
      <c r="B1334" s="14" t="str">
        <f t="shared" ca="1" si="115"/>
        <v/>
      </c>
      <c r="C1334" s="14" t="str">
        <f ca="1">IF(I1333&lt;&gt;Variables!$B$1,IF(H1333&lt;&gt;0,C1333,I1333),"")</f>
        <v/>
      </c>
      <c r="D1334" s="29" t="str">
        <f t="shared" ca="1" si="112"/>
        <v/>
      </c>
      <c r="E1334" s="29" t="str">
        <f t="shared" ca="1" si="113"/>
        <v/>
      </c>
      <c r="F1334" s="29" t="str">
        <f ca="1">IF(C1334&lt;&gt;"",IF(OR(VLOOKUP(C1334,$C$3:$L$6,5,0)=Variables!$B$5,B1334&gt;VLOOKUP(C1334,$C$3:$L$6,8,0)),-D1334*VLOOKUP(C1334,$C$3:$L$6,6,0)/12,0),"")</f>
        <v/>
      </c>
      <c r="G1334" s="29" t="str">
        <f ca="1">IF(I1334&lt;&gt;Variables!$B$1,IF(C1334&lt;&gt;"",$I$9-E1334-F1334,""),-D1334)</f>
        <v/>
      </c>
      <c r="H1334" s="29" t="str">
        <f t="shared" ca="1" si="116"/>
        <v/>
      </c>
      <c r="I1334" s="31" t="str">
        <f ca="1">IF(C1334&lt;&gt;"",IF(D1334+$I$9-E1334-F1334&gt;=0,IF(ISERROR(INDEX($C$3:$C$6,MATCH(C1334,$C$3:$C$6,0)+1,0)),Variables!$B$1,INDEX($C$3:$C$6,MATCH(C1334,$C$3:$C$6,0)+1,0)),""),"")</f>
        <v/>
      </c>
      <c r="J1334" s="29" t="str">
        <f ca="1">IF(ISERROR(VLOOKUP(I1334,$C$3:$L$6,5,0)),"",IF(OR(VLOOKUP(I1334,$C$3:$L$6,5,0)=Variables!$B$5,B1334&gt;VLOOKUP(I1334,$C$3:$L$6,8,0)),IF(VLOOKUP(I1334,$C$3:$L$6,5,0)=Variables!$B$5,((YEAR(B1334)-YEAR($B$12))*12+MONTH(B1334)-MONTH($B$12)),((YEAR(B1334)-YEAR(VLOOKUP(I1334,$C$3:$L$6,8,0)))*12+MONTH(B1334)-MONTH(VLOOKUP(I1334,$C$3:$L$6,8,0))))*(VLOOKUP(I1334,$C$3:$L$6,10,0)*VLOOKUP(I1334,$C$3:$L$6,6,0)/12),0))</f>
        <v/>
      </c>
      <c r="K1334" s="29" t="str">
        <f ca="1">IF(C1334&lt;&gt;"",IF(I1334&lt;&gt;"",IF(ISERROR(VLOOKUP(I1334,$C$3:$L$6,10,0)),"",VLOOKUP(I1334,$C$3:$L$6,10,0)+J1334+IF(OR(VLOOKUP(I1334,$C$3:$L$6,5,0)=Variables!$B$5,B1334&gt;VLOOKUP(I1334,$C$3:$L$6,8,0)),IF(VLOOKUP(I1334,$C$3:$L$6,5,0)=Variables!$B$5,((YEAR(B1334)-YEAR($B$12))*12+MONTH(B1334)-MONTH($B$12)),((YEAR(B1334)-YEAR(VLOOKUP(I1334,$C$3:$L$6,8,0)))*12+MONTH(B1334)-MONTH(VLOOKUP(I1334,$C$3:$L$6,8,0))))*VLOOKUP(I1334,$C$3:$L$6,7,0),0)),""),"")</f>
        <v/>
      </c>
      <c r="L1334" s="29" t="str">
        <f t="shared" ca="1" si="114"/>
        <v/>
      </c>
    </row>
    <row r="1335" spans="2:12" x14ac:dyDescent="0.25">
      <c r="B1335" s="14" t="str">
        <f t="shared" ca="1" si="115"/>
        <v/>
      </c>
      <c r="C1335" s="14" t="str">
        <f ca="1">IF(I1334&lt;&gt;Variables!$B$1,IF(H1334&lt;&gt;0,C1334,I1334),"")</f>
        <v/>
      </c>
      <c r="D1335" s="29" t="str">
        <f t="shared" ca="1" si="112"/>
        <v/>
      </c>
      <c r="E1335" s="29" t="str">
        <f t="shared" ca="1" si="113"/>
        <v/>
      </c>
      <c r="F1335" s="29" t="str">
        <f ca="1">IF(C1335&lt;&gt;"",IF(OR(VLOOKUP(C1335,$C$3:$L$6,5,0)=Variables!$B$5,B1335&gt;VLOOKUP(C1335,$C$3:$L$6,8,0)),-D1335*VLOOKUP(C1335,$C$3:$L$6,6,0)/12,0),"")</f>
        <v/>
      </c>
      <c r="G1335" s="29" t="str">
        <f ca="1">IF(I1335&lt;&gt;Variables!$B$1,IF(C1335&lt;&gt;"",$I$9-E1335-F1335,""),-D1335)</f>
        <v/>
      </c>
      <c r="H1335" s="29" t="str">
        <f t="shared" ca="1" si="116"/>
        <v/>
      </c>
      <c r="I1335" s="31" t="str">
        <f ca="1">IF(C1335&lt;&gt;"",IF(D1335+$I$9-E1335-F1335&gt;=0,IF(ISERROR(INDEX($C$3:$C$6,MATCH(C1335,$C$3:$C$6,0)+1,0)),Variables!$B$1,INDEX($C$3:$C$6,MATCH(C1335,$C$3:$C$6,0)+1,0)),""),"")</f>
        <v/>
      </c>
      <c r="J1335" s="29" t="str">
        <f ca="1">IF(ISERROR(VLOOKUP(I1335,$C$3:$L$6,5,0)),"",IF(OR(VLOOKUP(I1335,$C$3:$L$6,5,0)=Variables!$B$5,B1335&gt;VLOOKUP(I1335,$C$3:$L$6,8,0)),IF(VLOOKUP(I1335,$C$3:$L$6,5,0)=Variables!$B$5,((YEAR(B1335)-YEAR($B$12))*12+MONTH(B1335)-MONTH($B$12)),((YEAR(B1335)-YEAR(VLOOKUP(I1335,$C$3:$L$6,8,0)))*12+MONTH(B1335)-MONTH(VLOOKUP(I1335,$C$3:$L$6,8,0))))*(VLOOKUP(I1335,$C$3:$L$6,10,0)*VLOOKUP(I1335,$C$3:$L$6,6,0)/12),0))</f>
        <v/>
      </c>
      <c r="K1335" s="29" t="str">
        <f ca="1">IF(C1335&lt;&gt;"",IF(I1335&lt;&gt;"",IF(ISERROR(VLOOKUP(I1335,$C$3:$L$6,10,0)),"",VLOOKUP(I1335,$C$3:$L$6,10,0)+J1335+IF(OR(VLOOKUP(I1335,$C$3:$L$6,5,0)=Variables!$B$5,B1335&gt;VLOOKUP(I1335,$C$3:$L$6,8,0)),IF(VLOOKUP(I1335,$C$3:$L$6,5,0)=Variables!$B$5,((YEAR(B1335)-YEAR($B$12))*12+MONTH(B1335)-MONTH($B$12)),((YEAR(B1335)-YEAR(VLOOKUP(I1335,$C$3:$L$6,8,0)))*12+MONTH(B1335)-MONTH(VLOOKUP(I1335,$C$3:$L$6,8,0))))*VLOOKUP(I1335,$C$3:$L$6,7,0),0)),""),"")</f>
        <v/>
      </c>
      <c r="L1335" s="29" t="str">
        <f t="shared" ca="1" si="114"/>
        <v/>
      </c>
    </row>
    <row r="1336" spans="2:12" x14ac:dyDescent="0.25">
      <c r="B1336" s="14" t="str">
        <f t="shared" ca="1" si="115"/>
        <v/>
      </c>
      <c r="C1336" s="14" t="str">
        <f ca="1">IF(I1335&lt;&gt;Variables!$B$1,IF(H1335&lt;&gt;0,C1335,I1335),"")</f>
        <v/>
      </c>
      <c r="D1336" s="29" t="str">
        <f t="shared" ca="1" si="112"/>
        <v/>
      </c>
      <c r="E1336" s="29" t="str">
        <f t="shared" ca="1" si="113"/>
        <v/>
      </c>
      <c r="F1336" s="29" t="str">
        <f ca="1">IF(C1336&lt;&gt;"",IF(OR(VLOOKUP(C1336,$C$3:$L$6,5,0)=Variables!$B$5,B1336&gt;VLOOKUP(C1336,$C$3:$L$6,8,0)),-D1336*VLOOKUP(C1336,$C$3:$L$6,6,0)/12,0),"")</f>
        <v/>
      </c>
      <c r="G1336" s="29" t="str">
        <f ca="1">IF(I1336&lt;&gt;Variables!$B$1,IF(C1336&lt;&gt;"",$I$9-E1336-F1336,""),-D1336)</f>
        <v/>
      </c>
      <c r="H1336" s="29" t="str">
        <f t="shared" ca="1" si="116"/>
        <v/>
      </c>
      <c r="I1336" s="31" t="str">
        <f ca="1">IF(C1336&lt;&gt;"",IF(D1336+$I$9-E1336-F1336&gt;=0,IF(ISERROR(INDEX($C$3:$C$6,MATCH(C1336,$C$3:$C$6,0)+1,0)),Variables!$B$1,INDEX($C$3:$C$6,MATCH(C1336,$C$3:$C$6,0)+1,0)),""),"")</f>
        <v/>
      </c>
      <c r="J1336" s="29" t="str">
        <f ca="1">IF(ISERROR(VLOOKUP(I1336,$C$3:$L$6,5,0)),"",IF(OR(VLOOKUP(I1336,$C$3:$L$6,5,0)=Variables!$B$5,B1336&gt;VLOOKUP(I1336,$C$3:$L$6,8,0)),IF(VLOOKUP(I1336,$C$3:$L$6,5,0)=Variables!$B$5,((YEAR(B1336)-YEAR($B$12))*12+MONTH(B1336)-MONTH($B$12)),((YEAR(B1336)-YEAR(VLOOKUP(I1336,$C$3:$L$6,8,0)))*12+MONTH(B1336)-MONTH(VLOOKUP(I1336,$C$3:$L$6,8,0))))*(VLOOKUP(I1336,$C$3:$L$6,10,0)*VLOOKUP(I1336,$C$3:$L$6,6,0)/12),0))</f>
        <v/>
      </c>
      <c r="K1336" s="29" t="str">
        <f ca="1">IF(C1336&lt;&gt;"",IF(I1336&lt;&gt;"",IF(ISERROR(VLOOKUP(I1336,$C$3:$L$6,10,0)),"",VLOOKUP(I1336,$C$3:$L$6,10,0)+J1336+IF(OR(VLOOKUP(I1336,$C$3:$L$6,5,0)=Variables!$B$5,B1336&gt;VLOOKUP(I1336,$C$3:$L$6,8,0)),IF(VLOOKUP(I1336,$C$3:$L$6,5,0)=Variables!$B$5,((YEAR(B1336)-YEAR($B$12))*12+MONTH(B1336)-MONTH($B$12)),((YEAR(B1336)-YEAR(VLOOKUP(I1336,$C$3:$L$6,8,0)))*12+MONTH(B1336)-MONTH(VLOOKUP(I1336,$C$3:$L$6,8,0))))*VLOOKUP(I1336,$C$3:$L$6,7,0),0)),""),"")</f>
        <v/>
      </c>
      <c r="L1336" s="29" t="str">
        <f t="shared" ca="1" si="114"/>
        <v/>
      </c>
    </row>
    <row r="1337" spans="2:12" x14ac:dyDescent="0.25">
      <c r="B1337" s="14" t="str">
        <f t="shared" ca="1" si="115"/>
        <v/>
      </c>
      <c r="C1337" s="14" t="str">
        <f ca="1">IF(I1336&lt;&gt;Variables!$B$1,IF(H1336&lt;&gt;0,C1336,I1336),"")</f>
        <v/>
      </c>
      <c r="D1337" s="29" t="str">
        <f t="shared" ca="1" si="112"/>
        <v/>
      </c>
      <c r="E1337" s="29" t="str">
        <f t="shared" ca="1" si="113"/>
        <v/>
      </c>
      <c r="F1337" s="29" t="str">
        <f ca="1">IF(C1337&lt;&gt;"",IF(OR(VLOOKUP(C1337,$C$3:$L$6,5,0)=Variables!$B$5,B1337&gt;VLOOKUP(C1337,$C$3:$L$6,8,0)),-D1337*VLOOKUP(C1337,$C$3:$L$6,6,0)/12,0),"")</f>
        <v/>
      </c>
      <c r="G1337" s="29" t="str">
        <f ca="1">IF(I1337&lt;&gt;Variables!$B$1,IF(C1337&lt;&gt;"",$I$9-E1337-F1337,""),-D1337)</f>
        <v/>
      </c>
      <c r="H1337" s="29" t="str">
        <f t="shared" ca="1" si="116"/>
        <v/>
      </c>
      <c r="I1337" s="31" t="str">
        <f ca="1">IF(C1337&lt;&gt;"",IF(D1337+$I$9-E1337-F1337&gt;=0,IF(ISERROR(INDEX($C$3:$C$6,MATCH(C1337,$C$3:$C$6,0)+1,0)),Variables!$B$1,INDEX($C$3:$C$6,MATCH(C1337,$C$3:$C$6,0)+1,0)),""),"")</f>
        <v/>
      </c>
      <c r="J1337" s="29" t="str">
        <f ca="1">IF(ISERROR(VLOOKUP(I1337,$C$3:$L$6,5,0)),"",IF(OR(VLOOKUP(I1337,$C$3:$L$6,5,0)=Variables!$B$5,B1337&gt;VLOOKUP(I1337,$C$3:$L$6,8,0)),IF(VLOOKUP(I1337,$C$3:$L$6,5,0)=Variables!$B$5,((YEAR(B1337)-YEAR($B$12))*12+MONTH(B1337)-MONTH($B$12)),((YEAR(B1337)-YEAR(VLOOKUP(I1337,$C$3:$L$6,8,0)))*12+MONTH(B1337)-MONTH(VLOOKUP(I1337,$C$3:$L$6,8,0))))*(VLOOKUP(I1337,$C$3:$L$6,10,0)*VLOOKUP(I1337,$C$3:$L$6,6,0)/12),0))</f>
        <v/>
      </c>
      <c r="K1337" s="29" t="str">
        <f ca="1">IF(C1337&lt;&gt;"",IF(I1337&lt;&gt;"",IF(ISERROR(VLOOKUP(I1337,$C$3:$L$6,10,0)),"",VLOOKUP(I1337,$C$3:$L$6,10,0)+J1337+IF(OR(VLOOKUP(I1337,$C$3:$L$6,5,0)=Variables!$B$5,B1337&gt;VLOOKUP(I1337,$C$3:$L$6,8,0)),IF(VLOOKUP(I1337,$C$3:$L$6,5,0)=Variables!$B$5,((YEAR(B1337)-YEAR($B$12))*12+MONTH(B1337)-MONTH($B$12)),((YEAR(B1337)-YEAR(VLOOKUP(I1337,$C$3:$L$6,8,0)))*12+MONTH(B1337)-MONTH(VLOOKUP(I1337,$C$3:$L$6,8,0))))*VLOOKUP(I1337,$C$3:$L$6,7,0),0)),""),"")</f>
        <v/>
      </c>
      <c r="L1337" s="29" t="str">
        <f t="shared" ca="1" si="114"/>
        <v/>
      </c>
    </row>
    <row r="1338" spans="2:12" x14ac:dyDescent="0.25">
      <c r="B1338" s="14" t="str">
        <f t="shared" ca="1" si="115"/>
        <v/>
      </c>
      <c r="C1338" s="14" t="str">
        <f ca="1">IF(I1337&lt;&gt;Variables!$B$1,IF(H1337&lt;&gt;0,C1337,I1337),"")</f>
        <v/>
      </c>
      <c r="D1338" s="29" t="str">
        <f t="shared" ca="1" si="112"/>
        <v/>
      </c>
      <c r="E1338" s="29" t="str">
        <f t="shared" ca="1" si="113"/>
        <v/>
      </c>
      <c r="F1338" s="29" t="str">
        <f ca="1">IF(C1338&lt;&gt;"",IF(OR(VLOOKUP(C1338,$C$3:$L$6,5,0)=Variables!$B$5,B1338&gt;VLOOKUP(C1338,$C$3:$L$6,8,0)),-D1338*VLOOKUP(C1338,$C$3:$L$6,6,0)/12,0),"")</f>
        <v/>
      </c>
      <c r="G1338" s="29" t="str">
        <f ca="1">IF(I1338&lt;&gt;Variables!$B$1,IF(C1338&lt;&gt;"",$I$9-E1338-F1338,""),-D1338)</f>
        <v/>
      </c>
      <c r="H1338" s="29" t="str">
        <f t="shared" ca="1" si="116"/>
        <v/>
      </c>
      <c r="I1338" s="31" t="str">
        <f ca="1">IF(C1338&lt;&gt;"",IF(D1338+$I$9-E1338-F1338&gt;=0,IF(ISERROR(INDEX($C$3:$C$6,MATCH(C1338,$C$3:$C$6,0)+1,0)),Variables!$B$1,INDEX($C$3:$C$6,MATCH(C1338,$C$3:$C$6,0)+1,0)),""),"")</f>
        <v/>
      </c>
      <c r="J1338" s="29" t="str">
        <f ca="1">IF(ISERROR(VLOOKUP(I1338,$C$3:$L$6,5,0)),"",IF(OR(VLOOKUP(I1338,$C$3:$L$6,5,0)=Variables!$B$5,B1338&gt;VLOOKUP(I1338,$C$3:$L$6,8,0)),IF(VLOOKUP(I1338,$C$3:$L$6,5,0)=Variables!$B$5,((YEAR(B1338)-YEAR($B$12))*12+MONTH(B1338)-MONTH($B$12)),((YEAR(B1338)-YEAR(VLOOKUP(I1338,$C$3:$L$6,8,0)))*12+MONTH(B1338)-MONTH(VLOOKUP(I1338,$C$3:$L$6,8,0))))*(VLOOKUP(I1338,$C$3:$L$6,10,0)*VLOOKUP(I1338,$C$3:$L$6,6,0)/12),0))</f>
        <v/>
      </c>
      <c r="K1338" s="29" t="str">
        <f ca="1">IF(C1338&lt;&gt;"",IF(I1338&lt;&gt;"",IF(ISERROR(VLOOKUP(I1338,$C$3:$L$6,10,0)),"",VLOOKUP(I1338,$C$3:$L$6,10,0)+J1338+IF(OR(VLOOKUP(I1338,$C$3:$L$6,5,0)=Variables!$B$5,B1338&gt;VLOOKUP(I1338,$C$3:$L$6,8,0)),IF(VLOOKUP(I1338,$C$3:$L$6,5,0)=Variables!$B$5,((YEAR(B1338)-YEAR($B$12))*12+MONTH(B1338)-MONTH($B$12)),((YEAR(B1338)-YEAR(VLOOKUP(I1338,$C$3:$L$6,8,0)))*12+MONTH(B1338)-MONTH(VLOOKUP(I1338,$C$3:$L$6,8,0))))*VLOOKUP(I1338,$C$3:$L$6,7,0),0)),""),"")</f>
        <v/>
      </c>
      <c r="L1338" s="29" t="str">
        <f t="shared" ca="1" si="114"/>
        <v/>
      </c>
    </row>
    <row r="1339" spans="2:12" x14ac:dyDescent="0.25">
      <c r="B1339" s="14" t="str">
        <f t="shared" ca="1" si="115"/>
        <v/>
      </c>
      <c r="C1339" s="14" t="str">
        <f ca="1">IF(I1338&lt;&gt;Variables!$B$1,IF(H1338&lt;&gt;0,C1338,I1338),"")</f>
        <v/>
      </c>
      <c r="D1339" s="29" t="str">
        <f t="shared" ca="1" si="112"/>
        <v/>
      </c>
      <c r="E1339" s="29" t="str">
        <f t="shared" ca="1" si="113"/>
        <v/>
      </c>
      <c r="F1339" s="29" t="str">
        <f ca="1">IF(C1339&lt;&gt;"",IF(OR(VLOOKUP(C1339,$C$3:$L$6,5,0)=Variables!$B$5,B1339&gt;VLOOKUP(C1339,$C$3:$L$6,8,0)),-D1339*VLOOKUP(C1339,$C$3:$L$6,6,0)/12,0),"")</f>
        <v/>
      </c>
      <c r="G1339" s="29" t="str">
        <f ca="1">IF(I1339&lt;&gt;Variables!$B$1,IF(C1339&lt;&gt;"",$I$9-E1339-F1339,""),-D1339)</f>
        <v/>
      </c>
      <c r="H1339" s="29" t="str">
        <f t="shared" ca="1" si="116"/>
        <v/>
      </c>
      <c r="I1339" s="31" t="str">
        <f ca="1">IF(C1339&lt;&gt;"",IF(D1339+$I$9-E1339-F1339&gt;=0,IF(ISERROR(INDEX($C$3:$C$6,MATCH(C1339,$C$3:$C$6,0)+1,0)),Variables!$B$1,INDEX($C$3:$C$6,MATCH(C1339,$C$3:$C$6,0)+1,0)),""),"")</f>
        <v/>
      </c>
      <c r="J1339" s="29" t="str">
        <f ca="1">IF(ISERROR(VLOOKUP(I1339,$C$3:$L$6,5,0)),"",IF(OR(VLOOKUP(I1339,$C$3:$L$6,5,0)=Variables!$B$5,B1339&gt;VLOOKUP(I1339,$C$3:$L$6,8,0)),IF(VLOOKUP(I1339,$C$3:$L$6,5,0)=Variables!$B$5,((YEAR(B1339)-YEAR($B$12))*12+MONTH(B1339)-MONTH($B$12)),((YEAR(B1339)-YEAR(VLOOKUP(I1339,$C$3:$L$6,8,0)))*12+MONTH(B1339)-MONTH(VLOOKUP(I1339,$C$3:$L$6,8,0))))*(VLOOKUP(I1339,$C$3:$L$6,10,0)*VLOOKUP(I1339,$C$3:$L$6,6,0)/12),0))</f>
        <v/>
      </c>
      <c r="K1339" s="29" t="str">
        <f ca="1">IF(C1339&lt;&gt;"",IF(I1339&lt;&gt;"",IF(ISERROR(VLOOKUP(I1339,$C$3:$L$6,10,0)),"",VLOOKUP(I1339,$C$3:$L$6,10,0)+J1339+IF(OR(VLOOKUP(I1339,$C$3:$L$6,5,0)=Variables!$B$5,B1339&gt;VLOOKUP(I1339,$C$3:$L$6,8,0)),IF(VLOOKUP(I1339,$C$3:$L$6,5,0)=Variables!$B$5,((YEAR(B1339)-YEAR($B$12))*12+MONTH(B1339)-MONTH($B$12)),((YEAR(B1339)-YEAR(VLOOKUP(I1339,$C$3:$L$6,8,0)))*12+MONTH(B1339)-MONTH(VLOOKUP(I1339,$C$3:$L$6,8,0))))*VLOOKUP(I1339,$C$3:$L$6,7,0),0)),""),"")</f>
        <v/>
      </c>
      <c r="L1339" s="29" t="str">
        <f t="shared" ca="1" si="114"/>
        <v/>
      </c>
    </row>
    <row r="1340" spans="2:12" x14ac:dyDescent="0.25">
      <c r="B1340" s="14" t="str">
        <f t="shared" ca="1" si="115"/>
        <v/>
      </c>
      <c r="C1340" s="14" t="str">
        <f ca="1">IF(I1339&lt;&gt;Variables!$B$1,IF(H1339&lt;&gt;0,C1339,I1339),"")</f>
        <v/>
      </c>
      <c r="D1340" s="29" t="str">
        <f t="shared" ca="1" si="112"/>
        <v/>
      </c>
      <c r="E1340" s="29" t="str">
        <f t="shared" ca="1" si="113"/>
        <v/>
      </c>
      <c r="F1340" s="29" t="str">
        <f ca="1">IF(C1340&lt;&gt;"",IF(OR(VLOOKUP(C1340,$C$3:$L$6,5,0)=Variables!$B$5,B1340&gt;VLOOKUP(C1340,$C$3:$L$6,8,0)),-D1340*VLOOKUP(C1340,$C$3:$L$6,6,0)/12,0),"")</f>
        <v/>
      </c>
      <c r="G1340" s="29" t="str">
        <f ca="1">IF(I1340&lt;&gt;Variables!$B$1,IF(C1340&lt;&gt;"",$I$9-E1340-F1340,""),-D1340)</f>
        <v/>
      </c>
      <c r="H1340" s="29" t="str">
        <f t="shared" ca="1" si="116"/>
        <v/>
      </c>
      <c r="I1340" s="31" t="str">
        <f ca="1">IF(C1340&lt;&gt;"",IF(D1340+$I$9-E1340-F1340&gt;=0,IF(ISERROR(INDEX($C$3:$C$6,MATCH(C1340,$C$3:$C$6,0)+1,0)),Variables!$B$1,INDEX($C$3:$C$6,MATCH(C1340,$C$3:$C$6,0)+1,0)),""),"")</f>
        <v/>
      </c>
      <c r="J1340" s="29" t="str">
        <f ca="1">IF(ISERROR(VLOOKUP(I1340,$C$3:$L$6,5,0)),"",IF(OR(VLOOKUP(I1340,$C$3:$L$6,5,0)=Variables!$B$5,B1340&gt;VLOOKUP(I1340,$C$3:$L$6,8,0)),IF(VLOOKUP(I1340,$C$3:$L$6,5,0)=Variables!$B$5,((YEAR(B1340)-YEAR($B$12))*12+MONTH(B1340)-MONTH($B$12)),((YEAR(B1340)-YEAR(VLOOKUP(I1340,$C$3:$L$6,8,0)))*12+MONTH(B1340)-MONTH(VLOOKUP(I1340,$C$3:$L$6,8,0))))*(VLOOKUP(I1340,$C$3:$L$6,10,0)*VLOOKUP(I1340,$C$3:$L$6,6,0)/12),0))</f>
        <v/>
      </c>
      <c r="K1340" s="29" t="str">
        <f ca="1">IF(C1340&lt;&gt;"",IF(I1340&lt;&gt;"",IF(ISERROR(VLOOKUP(I1340,$C$3:$L$6,10,0)),"",VLOOKUP(I1340,$C$3:$L$6,10,0)+J1340+IF(OR(VLOOKUP(I1340,$C$3:$L$6,5,0)=Variables!$B$5,B1340&gt;VLOOKUP(I1340,$C$3:$L$6,8,0)),IF(VLOOKUP(I1340,$C$3:$L$6,5,0)=Variables!$B$5,((YEAR(B1340)-YEAR($B$12))*12+MONTH(B1340)-MONTH($B$12)),((YEAR(B1340)-YEAR(VLOOKUP(I1340,$C$3:$L$6,8,0)))*12+MONTH(B1340)-MONTH(VLOOKUP(I1340,$C$3:$L$6,8,0))))*VLOOKUP(I1340,$C$3:$L$6,7,0),0)),""),"")</f>
        <v/>
      </c>
      <c r="L1340" s="29" t="str">
        <f t="shared" ca="1" si="114"/>
        <v/>
      </c>
    </row>
    <row r="1341" spans="2:12" x14ac:dyDescent="0.25">
      <c r="B1341" s="14" t="str">
        <f t="shared" ca="1" si="115"/>
        <v/>
      </c>
      <c r="C1341" s="14" t="str">
        <f ca="1">IF(I1340&lt;&gt;Variables!$B$1,IF(H1340&lt;&gt;0,C1340,I1340),"")</f>
        <v/>
      </c>
      <c r="D1341" s="29" t="str">
        <f t="shared" ca="1" si="112"/>
        <v/>
      </c>
      <c r="E1341" s="29" t="str">
        <f t="shared" ca="1" si="113"/>
        <v/>
      </c>
      <c r="F1341" s="29" t="str">
        <f ca="1">IF(C1341&lt;&gt;"",IF(OR(VLOOKUP(C1341,$C$3:$L$6,5,0)=Variables!$B$5,B1341&gt;VLOOKUP(C1341,$C$3:$L$6,8,0)),-D1341*VLOOKUP(C1341,$C$3:$L$6,6,0)/12,0),"")</f>
        <v/>
      </c>
      <c r="G1341" s="29" t="str">
        <f ca="1">IF(I1341&lt;&gt;Variables!$B$1,IF(C1341&lt;&gt;"",$I$9-E1341-F1341,""),-D1341)</f>
        <v/>
      </c>
      <c r="H1341" s="29" t="str">
        <f t="shared" ca="1" si="116"/>
        <v/>
      </c>
      <c r="I1341" s="31" t="str">
        <f ca="1">IF(C1341&lt;&gt;"",IF(D1341+$I$9-E1341-F1341&gt;=0,IF(ISERROR(INDEX($C$3:$C$6,MATCH(C1341,$C$3:$C$6,0)+1,0)),Variables!$B$1,INDEX($C$3:$C$6,MATCH(C1341,$C$3:$C$6,0)+1,0)),""),"")</f>
        <v/>
      </c>
      <c r="J1341" s="29" t="str">
        <f ca="1">IF(ISERROR(VLOOKUP(I1341,$C$3:$L$6,5,0)),"",IF(OR(VLOOKUP(I1341,$C$3:$L$6,5,0)=Variables!$B$5,B1341&gt;VLOOKUP(I1341,$C$3:$L$6,8,0)),IF(VLOOKUP(I1341,$C$3:$L$6,5,0)=Variables!$B$5,((YEAR(B1341)-YEAR($B$12))*12+MONTH(B1341)-MONTH($B$12)),((YEAR(B1341)-YEAR(VLOOKUP(I1341,$C$3:$L$6,8,0)))*12+MONTH(B1341)-MONTH(VLOOKUP(I1341,$C$3:$L$6,8,0))))*(VLOOKUP(I1341,$C$3:$L$6,10,0)*VLOOKUP(I1341,$C$3:$L$6,6,0)/12),0))</f>
        <v/>
      </c>
      <c r="K1341" s="29" t="str">
        <f ca="1">IF(C1341&lt;&gt;"",IF(I1341&lt;&gt;"",IF(ISERROR(VLOOKUP(I1341,$C$3:$L$6,10,0)),"",VLOOKUP(I1341,$C$3:$L$6,10,0)+J1341+IF(OR(VLOOKUP(I1341,$C$3:$L$6,5,0)=Variables!$B$5,B1341&gt;VLOOKUP(I1341,$C$3:$L$6,8,0)),IF(VLOOKUP(I1341,$C$3:$L$6,5,0)=Variables!$B$5,((YEAR(B1341)-YEAR($B$12))*12+MONTH(B1341)-MONTH($B$12)),((YEAR(B1341)-YEAR(VLOOKUP(I1341,$C$3:$L$6,8,0)))*12+MONTH(B1341)-MONTH(VLOOKUP(I1341,$C$3:$L$6,8,0))))*VLOOKUP(I1341,$C$3:$L$6,7,0),0)),""),"")</f>
        <v/>
      </c>
      <c r="L1341" s="29" t="str">
        <f t="shared" ca="1" si="114"/>
        <v/>
      </c>
    </row>
    <row r="1342" spans="2:12" x14ac:dyDescent="0.25">
      <c r="B1342" s="14" t="str">
        <f t="shared" ca="1" si="115"/>
        <v/>
      </c>
      <c r="C1342" s="14" t="str">
        <f ca="1">IF(I1341&lt;&gt;Variables!$B$1,IF(H1341&lt;&gt;0,C1341,I1341),"")</f>
        <v/>
      </c>
      <c r="D1342" s="29" t="str">
        <f t="shared" ca="1" si="112"/>
        <v/>
      </c>
      <c r="E1342" s="29" t="str">
        <f t="shared" ca="1" si="113"/>
        <v/>
      </c>
      <c r="F1342" s="29" t="str">
        <f ca="1">IF(C1342&lt;&gt;"",IF(OR(VLOOKUP(C1342,$C$3:$L$6,5,0)=Variables!$B$5,B1342&gt;VLOOKUP(C1342,$C$3:$L$6,8,0)),-D1342*VLOOKUP(C1342,$C$3:$L$6,6,0)/12,0),"")</f>
        <v/>
      </c>
      <c r="G1342" s="29" t="str">
        <f ca="1">IF(I1342&lt;&gt;Variables!$B$1,IF(C1342&lt;&gt;"",$I$9-E1342-F1342,""),-D1342)</f>
        <v/>
      </c>
      <c r="H1342" s="29" t="str">
        <f t="shared" ca="1" si="116"/>
        <v/>
      </c>
      <c r="I1342" s="31" t="str">
        <f ca="1">IF(C1342&lt;&gt;"",IF(D1342+$I$9-E1342-F1342&gt;=0,IF(ISERROR(INDEX($C$3:$C$6,MATCH(C1342,$C$3:$C$6,0)+1,0)),Variables!$B$1,INDEX($C$3:$C$6,MATCH(C1342,$C$3:$C$6,0)+1,0)),""),"")</f>
        <v/>
      </c>
      <c r="J1342" s="29" t="str">
        <f ca="1">IF(ISERROR(VLOOKUP(I1342,$C$3:$L$6,5,0)),"",IF(OR(VLOOKUP(I1342,$C$3:$L$6,5,0)=Variables!$B$5,B1342&gt;VLOOKUP(I1342,$C$3:$L$6,8,0)),IF(VLOOKUP(I1342,$C$3:$L$6,5,0)=Variables!$B$5,((YEAR(B1342)-YEAR($B$12))*12+MONTH(B1342)-MONTH($B$12)),((YEAR(B1342)-YEAR(VLOOKUP(I1342,$C$3:$L$6,8,0)))*12+MONTH(B1342)-MONTH(VLOOKUP(I1342,$C$3:$L$6,8,0))))*(VLOOKUP(I1342,$C$3:$L$6,10,0)*VLOOKUP(I1342,$C$3:$L$6,6,0)/12),0))</f>
        <v/>
      </c>
      <c r="K1342" s="29" t="str">
        <f ca="1">IF(C1342&lt;&gt;"",IF(I1342&lt;&gt;"",IF(ISERROR(VLOOKUP(I1342,$C$3:$L$6,10,0)),"",VLOOKUP(I1342,$C$3:$L$6,10,0)+J1342+IF(OR(VLOOKUP(I1342,$C$3:$L$6,5,0)=Variables!$B$5,B1342&gt;VLOOKUP(I1342,$C$3:$L$6,8,0)),IF(VLOOKUP(I1342,$C$3:$L$6,5,0)=Variables!$B$5,((YEAR(B1342)-YEAR($B$12))*12+MONTH(B1342)-MONTH($B$12)),((YEAR(B1342)-YEAR(VLOOKUP(I1342,$C$3:$L$6,8,0)))*12+MONTH(B1342)-MONTH(VLOOKUP(I1342,$C$3:$L$6,8,0))))*VLOOKUP(I1342,$C$3:$L$6,7,0),0)),""),"")</f>
        <v/>
      </c>
      <c r="L1342" s="29" t="str">
        <f t="shared" ca="1" si="114"/>
        <v/>
      </c>
    </row>
    <row r="1343" spans="2:12" x14ac:dyDescent="0.25">
      <c r="B1343" s="14" t="str">
        <f t="shared" ca="1" si="115"/>
        <v/>
      </c>
      <c r="C1343" s="14" t="str">
        <f ca="1">IF(I1342&lt;&gt;Variables!$B$1,IF(H1342&lt;&gt;0,C1342,I1342),"")</f>
        <v/>
      </c>
      <c r="D1343" s="29" t="str">
        <f t="shared" ca="1" si="112"/>
        <v/>
      </c>
      <c r="E1343" s="29" t="str">
        <f t="shared" ca="1" si="113"/>
        <v/>
      </c>
      <c r="F1343" s="29" t="str">
        <f ca="1">IF(C1343&lt;&gt;"",IF(OR(VLOOKUP(C1343,$C$3:$L$6,5,0)=Variables!$B$5,B1343&gt;VLOOKUP(C1343,$C$3:$L$6,8,0)),-D1343*VLOOKUP(C1343,$C$3:$L$6,6,0)/12,0),"")</f>
        <v/>
      </c>
      <c r="G1343" s="29" t="str">
        <f ca="1">IF(I1343&lt;&gt;Variables!$B$1,IF(C1343&lt;&gt;"",$I$9-E1343-F1343,""),-D1343)</f>
        <v/>
      </c>
      <c r="H1343" s="29" t="str">
        <f t="shared" ca="1" si="116"/>
        <v/>
      </c>
      <c r="I1343" s="31" t="str">
        <f ca="1">IF(C1343&lt;&gt;"",IF(D1343+$I$9-E1343-F1343&gt;=0,IF(ISERROR(INDEX($C$3:$C$6,MATCH(C1343,$C$3:$C$6,0)+1,0)),Variables!$B$1,INDEX($C$3:$C$6,MATCH(C1343,$C$3:$C$6,0)+1,0)),""),"")</f>
        <v/>
      </c>
      <c r="J1343" s="29" t="str">
        <f ca="1">IF(ISERROR(VLOOKUP(I1343,$C$3:$L$6,5,0)),"",IF(OR(VLOOKUP(I1343,$C$3:$L$6,5,0)=Variables!$B$5,B1343&gt;VLOOKUP(I1343,$C$3:$L$6,8,0)),IF(VLOOKUP(I1343,$C$3:$L$6,5,0)=Variables!$B$5,((YEAR(B1343)-YEAR($B$12))*12+MONTH(B1343)-MONTH($B$12)),((YEAR(B1343)-YEAR(VLOOKUP(I1343,$C$3:$L$6,8,0)))*12+MONTH(B1343)-MONTH(VLOOKUP(I1343,$C$3:$L$6,8,0))))*(VLOOKUP(I1343,$C$3:$L$6,10,0)*VLOOKUP(I1343,$C$3:$L$6,6,0)/12),0))</f>
        <v/>
      </c>
      <c r="K1343" s="29" t="str">
        <f ca="1">IF(C1343&lt;&gt;"",IF(I1343&lt;&gt;"",IF(ISERROR(VLOOKUP(I1343,$C$3:$L$6,10,0)),"",VLOOKUP(I1343,$C$3:$L$6,10,0)+J1343+IF(OR(VLOOKUP(I1343,$C$3:$L$6,5,0)=Variables!$B$5,B1343&gt;VLOOKUP(I1343,$C$3:$L$6,8,0)),IF(VLOOKUP(I1343,$C$3:$L$6,5,0)=Variables!$B$5,((YEAR(B1343)-YEAR($B$12))*12+MONTH(B1343)-MONTH($B$12)),((YEAR(B1343)-YEAR(VLOOKUP(I1343,$C$3:$L$6,8,0)))*12+MONTH(B1343)-MONTH(VLOOKUP(I1343,$C$3:$L$6,8,0))))*VLOOKUP(I1343,$C$3:$L$6,7,0),0)),""),"")</f>
        <v/>
      </c>
      <c r="L1343" s="29" t="str">
        <f t="shared" ca="1" si="114"/>
        <v/>
      </c>
    </row>
    <row r="1344" spans="2:12" x14ac:dyDescent="0.25">
      <c r="B1344" s="14" t="str">
        <f t="shared" ca="1" si="115"/>
        <v/>
      </c>
      <c r="C1344" s="14" t="str">
        <f ca="1">IF(I1343&lt;&gt;Variables!$B$1,IF(H1343&lt;&gt;0,C1343,I1343),"")</f>
        <v/>
      </c>
      <c r="D1344" s="29" t="str">
        <f t="shared" ca="1" si="112"/>
        <v/>
      </c>
      <c r="E1344" s="29" t="str">
        <f t="shared" ca="1" si="113"/>
        <v/>
      </c>
      <c r="F1344" s="29" t="str">
        <f ca="1">IF(C1344&lt;&gt;"",IF(OR(VLOOKUP(C1344,$C$3:$L$6,5,0)=Variables!$B$5,B1344&gt;VLOOKUP(C1344,$C$3:$L$6,8,0)),-D1344*VLOOKUP(C1344,$C$3:$L$6,6,0)/12,0),"")</f>
        <v/>
      </c>
      <c r="G1344" s="29" t="str">
        <f ca="1">IF(I1344&lt;&gt;Variables!$B$1,IF(C1344&lt;&gt;"",$I$9-E1344-F1344,""),-D1344)</f>
        <v/>
      </c>
      <c r="H1344" s="29" t="str">
        <f t="shared" ca="1" si="116"/>
        <v/>
      </c>
      <c r="I1344" s="31" t="str">
        <f ca="1">IF(C1344&lt;&gt;"",IF(D1344+$I$9-E1344-F1344&gt;=0,IF(ISERROR(INDEX($C$3:$C$6,MATCH(C1344,$C$3:$C$6,0)+1,0)),Variables!$B$1,INDEX($C$3:$C$6,MATCH(C1344,$C$3:$C$6,0)+1,0)),""),"")</f>
        <v/>
      </c>
      <c r="J1344" s="29" t="str">
        <f ca="1">IF(ISERROR(VLOOKUP(I1344,$C$3:$L$6,5,0)),"",IF(OR(VLOOKUP(I1344,$C$3:$L$6,5,0)=Variables!$B$5,B1344&gt;VLOOKUP(I1344,$C$3:$L$6,8,0)),IF(VLOOKUP(I1344,$C$3:$L$6,5,0)=Variables!$B$5,((YEAR(B1344)-YEAR($B$12))*12+MONTH(B1344)-MONTH($B$12)),((YEAR(B1344)-YEAR(VLOOKUP(I1344,$C$3:$L$6,8,0)))*12+MONTH(B1344)-MONTH(VLOOKUP(I1344,$C$3:$L$6,8,0))))*(VLOOKUP(I1344,$C$3:$L$6,10,0)*VLOOKUP(I1344,$C$3:$L$6,6,0)/12),0))</f>
        <v/>
      </c>
      <c r="K1344" s="29" t="str">
        <f ca="1">IF(C1344&lt;&gt;"",IF(I1344&lt;&gt;"",IF(ISERROR(VLOOKUP(I1344,$C$3:$L$6,10,0)),"",VLOOKUP(I1344,$C$3:$L$6,10,0)+J1344+IF(OR(VLOOKUP(I1344,$C$3:$L$6,5,0)=Variables!$B$5,B1344&gt;VLOOKUP(I1344,$C$3:$L$6,8,0)),IF(VLOOKUP(I1344,$C$3:$L$6,5,0)=Variables!$B$5,((YEAR(B1344)-YEAR($B$12))*12+MONTH(B1344)-MONTH($B$12)),((YEAR(B1344)-YEAR(VLOOKUP(I1344,$C$3:$L$6,8,0)))*12+MONTH(B1344)-MONTH(VLOOKUP(I1344,$C$3:$L$6,8,0))))*VLOOKUP(I1344,$C$3:$L$6,7,0),0)),""),"")</f>
        <v/>
      </c>
      <c r="L1344" s="29" t="str">
        <f t="shared" ca="1" si="114"/>
        <v/>
      </c>
    </row>
    <row r="1345" spans="2:12" x14ac:dyDescent="0.25">
      <c r="B1345" s="14" t="str">
        <f t="shared" ca="1" si="115"/>
        <v/>
      </c>
      <c r="C1345" s="14" t="str">
        <f ca="1">IF(I1344&lt;&gt;Variables!$B$1,IF(H1344&lt;&gt;0,C1344,I1344),"")</f>
        <v/>
      </c>
      <c r="D1345" s="29" t="str">
        <f t="shared" ca="1" si="112"/>
        <v/>
      </c>
      <c r="E1345" s="29" t="str">
        <f t="shared" ca="1" si="113"/>
        <v/>
      </c>
      <c r="F1345" s="29" t="str">
        <f ca="1">IF(C1345&lt;&gt;"",IF(OR(VLOOKUP(C1345,$C$3:$L$6,5,0)=Variables!$B$5,B1345&gt;VLOOKUP(C1345,$C$3:$L$6,8,0)),-D1345*VLOOKUP(C1345,$C$3:$L$6,6,0)/12,0),"")</f>
        <v/>
      </c>
      <c r="G1345" s="29" t="str">
        <f ca="1">IF(I1345&lt;&gt;Variables!$B$1,IF(C1345&lt;&gt;"",$I$9-E1345-F1345,""),-D1345)</f>
        <v/>
      </c>
      <c r="H1345" s="29" t="str">
        <f t="shared" ca="1" si="116"/>
        <v/>
      </c>
      <c r="I1345" s="31" t="str">
        <f ca="1">IF(C1345&lt;&gt;"",IF(D1345+$I$9-E1345-F1345&gt;=0,IF(ISERROR(INDEX($C$3:$C$6,MATCH(C1345,$C$3:$C$6,0)+1,0)),Variables!$B$1,INDEX($C$3:$C$6,MATCH(C1345,$C$3:$C$6,0)+1,0)),""),"")</f>
        <v/>
      </c>
      <c r="J1345" s="29" t="str">
        <f ca="1">IF(ISERROR(VLOOKUP(I1345,$C$3:$L$6,5,0)),"",IF(OR(VLOOKUP(I1345,$C$3:$L$6,5,0)=Variables!$B$5,B1345&gt;VLOOKUP(I1345,$C$3:$L$6,8,0)),IF(VLOOKUP(I1345,$C$3:$L$6,5,0)=Variables!$B$5,((YEAR(B1345)-YEAR($B$12))*12+MONTH(B1345)-MONTH($B$12)),((YEAR(B1345)-YEAR(VLOOKUP(I1345,$C$3:$L$6,8,0)))*12+MONTH(B1345)-MONTH(VLOOKUP(I1345,$C$3:$L$6,8,0))))*(VLOOKUP(I1345,$C$3:$L$6,10,0)*VLOOKUP(I1345,$C$3:$L$6,6,0)/12),0))</f>
        <v/>
      </c>
      <c r="K1345" s="29" t="str">
        <f ca="1">IF(C1345&lt;&gt;"",IF(I1345&lt;&gt;"",IF(ISERROR(VLOOKUP(I1345,$C$3:$L$6,10,0)),"",VLOOKUP(I1345,$C$3:$L$6,10,0)+J1345+IF(OR(VLOOKUP(I1345,$C$3:$L$6,5,0)=Variables!$B$5,B1345&gt;VLOOKUP(I1345,$C$3:$L$6,8,0)),IF(VLOOKUP(I1345,$C$3:$L$6,5,0)=Variables!$B$5,((YEAR(B1345)-YEAR($B$12))*12+MONTH(B1345)-MONTH($B$12)),((YEAR(B1345)-YEAR(VLOOKUP(I1345,$C$3:$L$6,8,0)))*12+MONTH(B1345)-MONTH(VLOOKUP(I1345,$C$3:$L$6,8,0))))*VLOOKUP(I1345,$C$3:$L$6,7,0),0)),""),"")</f>
        <v/>
      </c>
      <c r="L1345" s="29" t="str">
        <f t="shared" ca="1" si="114"/>
        <v/>
      </c>
    </row>
    <row r="1346" spans="2:12" x14ac:dyDescent="0.25">
      <c r="B1346" s="14" t="str">
        <f t="shared" ca="1" si="115"/>
        <v/>
      </c>
      <c r="C1346" s="14" t="str">
        <f ca="1">IF(I1345&lt;&gt;Variables!$B$1,IF(H1345&lt;&gt;0,C1345,I1345),"")</f>
        <v/>
      </c>
      <c r="D1346" s="29" t="str">
        <f t="shared" ca="1" si="112"/>
        <v/>
      </c>
      <c r="E1346" s="29" t="str">
        <f t="shared" ca="1" si="113"/>
        <v/>
      </c>
      <c r="F1346" s="29" t="str">
        <f ca="1">IF(C1346&lt;&gt;"",IF(OR(VLOOKUP(C1346,$C$3:$L$6,5,0)=Variables!$B$5,B1346&gt;VLOOKUP(C1346,$C$3:$L$6,8,0)),-D1346*VLOOKUP(C1346,$C$3:$L$6,6,0)/12,0),"")</f>
        <v/>
      </c>
      <c r="G1346" s="29" t="str">
        <f ca="1">IF(I1346&lt;&gt;Variables!$B$1,IF(C1346&lt;&gt;"",$I$9-E1346-F1346,""),-D1346)</f>
        <v/>
      </c>
      <c r="H1346" s="29" t="str">
        <f t="shared" ca="1" si="116"/>
        <v/>
      </c>
      <c r="I1346" s="31" t="str">
        <f ca="1">IF(C1346&lt;&gt;"",IF(D1346+$I$9-E1346-F1346&gt;=0,IF(ISERROR(INDEX($C$3:$C$6,MATCH(C1346,$C$3:$C$6,0)+1,0)),Variables!$B$1,INDEX($C$3:$C$6,MATCH(C1346,$C$3:$C$6,0)+1,0)),""),"")</f>
        <v/>
      </c>
      <c r="J1346" s="29" t="str">
        <f ca="1">IF(ISERROR(VLOOKUP(I1346,$C$3:$L$6,5,0)),"",IF(OR(VLOOKUP(I1346,$C$3:$L$6,5,0)=Variables!$B$5,B1346&gt;VLOOKUP(I1346,$C$3:$L$6,8,0)),IF(VLOOKUP(I1346,$C$3:$L$6,5,0)=Variables!$B$5,((YEAR(B1346)-YEAR($B$12))*12+MONTH(B1346)-MONTH($B$12)),((YEAR(B1346)-YEAR(VLOOKUP(I1346,$C$3:$L$6,8,0)))*12+MONTH(B1346)-MONTH(VLOOKUP(I1346,$C$3:$L$6,8,0))))*(VLOOKUP(I1346,$C$3:$L$6,10,0)*VLOOKUP(I1346,$C$3:$L$6,6,0)/12),0))</f>
        <v/>
      </c>
      <c r="K1346" s="29" t="str">
        <f ca="1">IF(C1346&lt;&gt;"",IF(I1346&lt;&gt;"",IF(ISERROR(VLOOKUP(I1346,$C$3:$L$6,10,0)),"",VLOOKUP(I1346,$C$3:$L$6,10,0)+J1346+IF(OR(VLOOKUP(I1346,$C$3:$L$6,5,0)=Variables!$B$5,B1346&gt;VLOOKUP(I1346,$C$3:$L$6,8,0)),IF(VLOOKUP(I1346,$C$3:$L$6,5,0)=Variables!$B$5,((YEAR(B1346)-YEAR($B$12))*12+MONTH(B1346)-MONTH($B$12)),((YEAR(B1346)-YEAR(VLOOKUP(I1346,$C$3:$L$6,8,0)))*12+MONTH(B1346)-MONTH(VLOOKUP(I1346,$C$3:$L$6,8,0))))*VLOOKUP(I1346,$C$3:$L$6,7,0),0)),""),"")</f>
        <v/>
      </c>
      <c r="L1346" s="29" t="str">
        <f t="shared" ca="1" si="114"/>
        <v/>
      </c>
    </row>
    <row r="1347" spans="2:12" x14ac:dyDescent="0.25">
      <c r="B1347" s="14" t="str">
        <f t="shared" ca="1" si="115"/>
        <v/>
      </c>
      <c r="C1347" s="14" t="str">
        <f ca="1">IF(I1346&lt;&gt;Variables!$B$1,IF(H1346&lt;&gt;0,C1346,I1346),"")</f>
        <v/>
      </c>
      <c r="D1347" s="29" t="str">
        <f t="shared" ca="1" si="112"/>
        <v/>
      </c>
      <c r="E1347" s="29" t="str">
        <f t="shared" ca="1" si="113"/>
        <v/>
      </c>
      <c r="F1347" s="29" t="str">
        <f ca="1">IF(C1347&lt;&gt;"",IF(OR(VLOOKUP(C1347,$C$3:$L$6,5,0)=Variables!$B$5,B1347&gt;VLOOKUP(C1347,$C$3:$L$6,8,0)),-D1347*VLOOKUP(C1347,$C$3:$L$6,6,0)/12,0),"")</f>
        <v/>
      </c>
      <c r="G1347" s="29" t="str">
        <f ca="1">IF(I1347&lt;&gt;Variables!$B$1,IF(C1347&lt;&gt;"",$I$9-E1347-F1347,""),-D1347)</f>
        <v/>
      </c>
      <c r="H1347" s="29" t="str">
        <f t="shared" ca="1" si="116"/>
        <v/>
      </c>
      <c r="I1347" s="31" t="str">
        <f ca="1">IF(C1347&lt;&gt;"",IF(D1347+$I$9-E1347-F1347&gt;=0,IF(ISERROR(INDEX($C$3:$C$6,MATCH(C1347,$C$3:$C$6,0)+1,0)),Variables!$B$1,INDEX($C$3:$C$6,MATCH(C1347,$C$3:$C$6,0)+1,0)),""),"")</f>
        <v/>
      </c>
      <c r="J1347" s="29" t="str">
        <f ca="1">IF(ISERROR(VLOOKUP(I1347,$C$3:$L$6,5,0)),"",IF(OR(VLOOKUP(I1347,$C$3:$L$6,5,0)=Variables!$B$5,B1347&gt;VLOOKUP(I1347,$C$3:$L$6,8,0)),IF(VLOOKUP(I1347,$C$3:$L$6,5,0)=Variables!$B$5,((YEAR(B1347)-YEAR($B$12))*12+MONTH(B1347)-MONTH($B$12)),((YEAR(B1347)-YEAR(VLOOKUP(I1347,$C$3:$L$6,8,0)))*12+MONTH(B1347)-MONTH(VLOOKUP(I1347,$C$3:$L$6,8,0))))*(VLOOKUP(I1347,$C$3:$L$6,10,0)*VLOOKUP(I1347,$C$3:$L$6,6,0)/12),0))</f>
        <v/>
      </c>
      <c r="K1347" s="29" t="str">
        <f ca="1">IF(C1347&lt;&gt;"",IF(I1347&lt;&gt;"",IF(ISERROR(VLOOKUP(I1347,$C$3:$L$6,10,0)),"",VLOOKUP(I1347,$C$3:$L$6,10,0)+J1347+IF(OR(VLOOKUP(I1347,$C$3:$L$6,5,0)=Variables!$B$5,B1347&gt;VLOOKUP(I1347,$C$3:$L$6,8,0)),IF(VLOOKUP(I1347,$C$3:$L$6,5,0)=Variables!$B$5,((YEAR(B1347)-YEAR($B$12))*12+MONTH(B1347)-MONTH($B$12)),((YEAR(B1347)-YEAR(VLOOKUP(I1347,$C$3:$L$6,8,0)))*12+MONTH(B1347)-MONTH(VLOOKUP(I1347,$C$3:$L$6,8,0))))*VLOOKUP(I1347,$C$3:$L$6,7,0),0)),""),"")</f>
        <v/>
      </c>
      <c r="L1347" s="29" t="str">
        <f t="shared" ca="1" si="114"/>
        <v/>
      </c>
    </row>
    <row r="1348" spans="2:12" x14ac:dyDescent="0.25">
      <c r="B1348" s="14" t="str">
        <f t="shared" ca="1" si="115"/>
        <v/>
      </c>
      <c r="C1348" s="14" t="str">
        <f ca="1">IF(I1347&lt;&gt;Variables!$B$1,IF(H1347&lt;&gt;0,C1347,I1347),"")</f>
        <v/>
      </c>
      <c r="D1348" s="29" t="str">
        <f t="shared" ca="1" si="112"/>
        <v/>
      </c>
      <c r="E1348" s="29" t="str">
        <f t="shared" ca="1" si="113"/>
        <v/>
      </c>
      <c r="F1348" s="29" t="str">
        <f ca="1">IF(C1348&lt;&gt;"",IF(OR(VLOOKUP(C1348,$C$3:$L$6,5,0)=Variables!$B$5,B1348&gt;VLOOKUP(C1348,$C$3:$L$6,8,0)),-D1348*VLOOKUP(C1348,$C$3:$L$6,6,0)/12,0),"")</f>
        <v/>
      </c>
      <c r="G1348" s="29" t="str">
        <f ca="1">IF(I1348&lt;&gt;Variables!$B$1,IF(C1348&lt;&gt;"",$I$9-E1348-F1348,""),-D1348)</f>
        <v/>
      </c>
      <c r="H1348" s="29" t="str">
        <f t="shared" ca="1" si="116"/>
        <v/>
      </c>
      <c r="I1348" s="31" t="str">
        <f ca="1">IF(C1348&lt;&gt;"",IF(D1348+$I$9-E1348-F1348&gt;=0,IF(ISERROR(INDEX($C$3:$C$6,MATCH(C1348,$C$3:$C$6,0)+1,0)),Variables!$B$1,INDEX($C$3:$C$6,MATCH(C1348,$C$3:$C$6,0)+1,0)),""),"")</f>
        <v/>
      </c>
      <c r="J1348" s="29" t="str">
        <f ca="1">IF(ISERROR(VLOOKUP(I1348,$C$3:$L$6,5,0)),"",IF(OR(VLOOKUP(I1348,$C$3:$L$6,5,0)=Variables!$B$5,B1348&gt;VLOOKUP(I1348,$C$3:$L$6,8,0)),IF(VLOOKUP(I1348,$C$3:$L$6,5,0)=Variables!$B$5,((YEAR(B1348)-YEAR($B$12))*12+MONTH(B1348)-MONTH($B$12)),((YEAR(B1348)-YEAR(VLOOKUP(I1348,$C$3:$L$6,8,0)))*12+MONTH(B1348)-MONTH(VLOOKUP(I1348,$C$3:$L$6,8,0))))*(VLOOKUP(I1348,$C$3:$L$6,10,0)*VLOOKUP(I1348,$C$3:$L$6,6,0)/12),0))</f>
        <v/>
      </c>
      <c r="K1348" s="29" t="str">
        <f ca="1">IF(C1348&lt;&gt;"",IF(I1348&lt;&gt;"",IF(ISERROR(VLOOKUP(I1348,$C$3:$L$6,10,0)),"",VLOOKUP(I1348,$C$3:$L$6,10,0)+J1348+IF(OR(VLOOKUP(I1348,$C$3:$L$6,5,0)=Variables!$B$5,B1348&gt;VLOOKUP(I1348,$C$3:$L$6,8,0)),IF(VLOOKUP(I1348,$C$3:$L$6,5,0)=Variables!$B$5,((YEAR(B1348)-YEAR($B$12))*12+MONTH(B1348)-MONTH($B$12)),((YEAR(B1348)-YEAR(VLOOKUP(I1348,$C$3:$L$6,8,0)))*12+MONTH(B1348)-MONTH(VLOOKUP(I1348,$C$3:$L$6,8,0))))*VLOOKUP(I1348,$C$3:$L$6,7,0),0)),""),"")</f>
        <v/>
      </c>
      <c r="L1348" s="29" t="str">
        <f t="shared" ca="1" si="114"/>
        <v/>
      </c>
    </row>
    <row r="1349" spans="2:12" x14ac:dyDescent="0.25">
      <c r="B1349" s="14" t="str">
        <f t="shared" ca="1" si="115"/>
        <v/>
      </c>
      <c r="C1349" s="14" t="str">
        <f ca="1">IF(I1348&lt;&gt;Variables!$B$1,IF(H1348&lt;&gt;0,C1348,I1348),"")</f>
        <v/>
      </c>
      <c r="D1349" s="29" t="str">
        <f t="shared" ca="1" si="112"/>
        <v/>
      </c>
      <c r="E1349" s="29" t="str">
        <f t="shared" ca="1" si="113"/>
        <v/>
      </c>
      <c r="F1349" s="29" t="str">
        <f ca="1">IF(C1349&lt;&gt;"",IF(OR(VLOOKUP(C1349,$C$3:$L$6,5,0)=Variables!$B$5,B1349&gt;VLOOKUP(C1349,$C$3:$L$6,8,0)),-D1349*VLOOKUP(C1349,$C$3:$L$6,6,0)/12,0),"")</f>
        <v/>
      </c>
      <c r="G1349" s="29" t="str">
        <f ca="1">IF(I1349&lt;&gt;Variables!$B$1,IF(C1349&lt;&gt;"",$I$9-E1349-F1349,""),-D1349)</f>
        <v/>
      </c>
      <c r="H1349" s="29" t="str">
        <f t="shared" ca="1" si="116"/>
        <v/>
      </c>
      <c r="I1349" s="31" t="str">
        <f ca="1">IF(C1349&lt;&gt;"",IF(D1349+$I$9-E1349-F1349&gt;=0,IF(ISERROR(INDEX($C$3:$C$6,MATCH(C1349,$C$3:$C$6,0)+1,0)),Variables!$B$1,INDEX($C$3:$C$6,MATCH(C1349,$C$3:$C$6,0)+1,0)),""),"")</f>
        <v/>
      </c>
      <c r="J1349" s="29" t="str">
        <f ca="1">IF(ISERROR(VLOOKUP(I1349,$C$3:$L$6,5,0)),"",IF(OR(VLOOKUP(I1349,$C$3:$L$6,5,0)=Variables!$B$5,B1349&gt;VLOOKUP(I1349,$C$3:$L$6,8,0)),IF(VLOOKUP(I1349,$C$3:$L$6,5,0)=Variables!$B$5,((YEAR(B1349)-YEAR($B$12))*12+MONTH(B1349)-MONTH($B$12)),((YEAR(B1349)-YEAR(VLOOKUP(I1349,$C$3:$L$6,8,0)))*12+MONTH(B1349)-MONTH(VLOOKUP(I1349,$C$3:$L$6,8,0))))*(VLOOKUP(I1349,$C$3:$L$6,10,0)*VLOOKUP(I1349,$C$3:$L$6,6,0)/12),0))</f>
        <v/>
      </c>
      <c r="K1349" s="29" t="str">
        <f ca="1">IF(C1349&lt;&gt;"",IF(I1349&lt;&gt;"",IF(ISERROR(VLOOKUP(I1349,$C$3:$L$6,10,0)),"",VLOOKUP(I1349,$C$3:$L$6,10,0)+J1349+IF(OR(VLOOKUP(I1349,$C$3:$L$6,5,0)=Variables!$B$5,B1349&gt;VLOOKUP(I1349,$C$3:$L$6,8,0)),IF(VLOOKUP(I1349,$C$3:$L$6,5,0)=Variables!$B$5,((YEAR(B1349)-YEAR($B$12))*12+MONTH(B1349)-MONTH($B$12)),((YEAR(B1349)-YEAR(VLOOKUP(I1349,$C$3:$L$6,8,0)))*12+MONTH(B1349)-MONTH(VLOOKUP(I1349,$C$3:$L$6,8,0))))*VLOOKUP(I1349,$C$3:$L$6,7,0),0)),""),"")</f>
        <v/>
      </c>
      <c r="L1349" s="29" t="str">
        <f t="shared" ca="1" si="114"/>
        <v/>
      </c>
    </row>
    <row r="1350" spans="2:12" x14ac:dyDescent="0.25">
      <c r="B1350" s="14" t="str">
        <f t="shared" ca="1" si="115"/>
        <v/>
      </c>
      <c r="C1350" s="14" t="str">
        <f ca="1">IF(I1349&lt;&gt;Variables!$B$1,IF(H1349&lt;&gt;0,C1349,I1349),"")</f>
        <v/>
      </c>
      <c r="D1350" s="29" t="str">
        <f t="shared" ca="1" si="112"/>
        <v/>
      </c>
      <c r="E1350" s="29" t="str">
        <f t="shared" ca="1" si="113"/>
        <v/>
      </c>
      <c r="F1350" s="29" t="str">
        <f ca="1">IF(C1350&lt;&gt;"",IF(OR(VLOOKUP(C1350,$C$3:$L$6,5,0)=Variables!$B$5,B1350&gt;VLOOKUP(C1350,$C$3:$L$6,8,0)),-D1350*VLOOKUP(C1350,$C$3:$L$6,6,0)/12,0),"")</f>
        <v/>
      </c>
      <c r="G1350" s="29" t="str">
        <f ca="1">IF(I1350&lt;&gt;Variables!$B$1,IF(C1350&lt;&gt;"",$I$9-E1350-F1350,""),-D1350)</f>
        <v/>
      </c>
      <c r="H1350" s="29" t="str">
        <f t="shared" ca="1" si="116"/>
        <v/>
      </c>
      <c r="I1350" s="31" t="str">
        <f ca="1">IF(C1350&lt;&gt;"",IF(D1350+$I$9-E1350-F1350&gt;=0,IF(ISERROR(INDEX($C$3:$C$6,MATCH(C1350,$C$3:$C$6,0)+1,0)),Variables!$B$1,INDEX($C$3:$C$6,MATCH(C1350,$C$3:$C$6,0)+1,0)),""),"")</f>
        <v/>
      </c>
      <c r="J1350" s="29" t="str">
        <f ca="1">IF(ISERROR(VLOOKUP(I1350,$C$3:$L$6,5,0)),"",IF(OR(VLOOKUP(I1350,$C$3:$L$6,5,0)=Variables!$B$5,B1350&gt;VLOOKUP(I1350,$C$3:$L$6,8,0)),IF(VLOOKUP(I1350,$C$3:$L$6,5,0)=Variables!$B$5,((YEAR(B1350)-YEAR($B$12))*12+MONTH(B1350)-MONTH($B$12)),((YEAR(B1350)-YEAR(VLOOKUP(I1350,$C$3:$L$6,8,0)))*12+MONTH(B1350)-MONTH(VLOOKUP(I1350,$C$3:$L$6,8,0))))*(VLOOKUP(I1350,$C$3:$L$6,10,0)*VLOOKUP(I1350,$C$3:$L$6,6,0)/12),0))</f>
        <v/>
      </c>
      <c r="K1350" s="29" t="str">
        <f ca="1">IF(C1350&lt;&gt;"",IF(I1350&lt;&gt;"",IF(ISERROR(VLOOKUP(I1350,$C$3:$L$6,10,0)),"",VLOOKUP(I1350,$C$3:$L$6,10,0)+J1350+IF(OR(VLOOKUP(I1350,$C$3:$L$6,5,0)=Variables!$B$5,B1350&gt;VLOOKUP(I1350,$C$3:$L$6,8,0)),IF(VLOOKUP(I1350,$C$3:$L$6,5,0)=Variables!$B$5,((YEAR(B1350)-YEAR($B$12))*12+MONTH(B1350)-MONTH($B$12)),((YEAR(B1350)-YEAR(VLOOKUP(I1350,$C$3:$L$6,8,0)))*12+MONTH(B1350)-MONTH(VLOOKUP(I1350,$C$3:$L$6,8,0))))*VLOOKUP(I1350,$C$3:$L$6,7,0),0)),""),"")</f>
        <v/>
      </c>
      <c r="L1350" s="29" t="str">
        <f t="shared" ca="1" si="114"/>
        <v/>
      </c>
    </row>
    <row r="1351" spans="2:12" x14ac:dyDescent="0.25">
      <c r="B1351" s="14" t="str">
        <f t="shared" ca="1" si="115"/>
        <v/>
      </c>
      <c r="C1351" s="14" t="str">
        <f ca="1">IF(I1350&lt;&gt;Variables!$B$1,IF(H1350&lt;&gt;0,C1350,I1350),"")</f>
        <v/>
      </c>
      <c r="D1351" s="29" t="str">
        <f t="shared" ca="1" si="112"/>
        <v/>
      </c>
      <c r="E1351" s="29" t="str">
        <f t="shared" ca="1" si="113"/>
        <v/>
      </c>
      <c r="F1351" s="29" t="str">
        <f ca="1">IF(C1351&lt;&gt;"",IF(OR(VLOOKUP(C1351,$C$3:$L$6,5,0)=Variables!$B$5,B1351&gt;VLOOKUP(C1351,$C$3:$L$6,8,0)),-D1351*VLOOKUP(C1351,$C$3:$L$6,6,0)/12,0),"")</f>
        <v/>
      </c>
      <c r="G1351" s="29" t="str">
        <f ca="1">IF(I1351&lt;&gt;Variables!$B$1,IF(C1351&lt;&gt;"",$I$9-E1351-F1351,""),-D1351)</f>
        <v/>
      </c>
      <c r="H1351" s="29" t="str">
        <f t="shared" ca="1" si="116"/>
        <v/>
      </c>
      <c r="I1351" s="31" t="str">
        <f ca="1">IF(C1351&lt;&gt;"",IF(D1351+$I$9-E1351-F1351&gt;=0,IF(ISERROR(INDEX($C$3:$C$6,MATCH(C1351,$C$3:$C$6,0)+1,0)),Variables!$B$1,INDEX($C$3:$C$6,MATCH(C1351,$C$3:$C$6,0)+1,0)),""),"")</f>
        <v/>
      </c>
      <c r="J1351" s="29" t="str">
        <f ca="1">IF(ISERROR(VLOOKUP(I1351,$C$3:$L$6,5,0)),"",IF(OR(VLOOKUP(I1351,$C$3:$L$6,5,0)=Variables!$B$5,B1351&gt;VLOOKUP(I1351,$C$3:$L$6,8,0)),IF(VLOOKUP(I1351,$C$3:$L$6,5,0)=Variables!$B$5,((YEAR(B1351)-YEAR($B$12))*12+MONTH(B1351)-MONTH($B$12)),((YEAR(B1351)-YEAR(VLOOKUP(I1351,$C$3:$L$6,8,0)))*12+MONTH(B1351)-MONTH(VLOOKUP(I1351,$C$3:$L$6,8,0))))*(VLOOKUP(I1351,$C$3:$L$6,10,0)*VLOOKUP(I1351,$C$3:$L$6,6,0)/12),0))</f>
        <v/>
      </c>
      <c r="K1351" s="29" t="str">
        <f ca="1">IF(C1351&lt;&gt;"",IF(I1351&lt;&gt;"",IF(ISERROR(VLOOKUP(I1351,$C$3:$L$6,10,0)),"",VLOOKUP(I1351,$C$3:$L$6,10,0)+J1351+IF(OR(VLOOKUP(I1351,$C$3:$L$6,5,0)=Variables!$B$5,B1351&gt;VLOOKUP(I1351,$C$3:$L$6,8,0)),IF(VLOOKUP(I1351,$C$3:$L$6,5,0)=Variables!$B$5,((YEAR(B1351)-YEAR($B$12))*12+MONTH(B1351)-MONTH($B$12)),((YEAR(B1351)-YEAR(VLOOKUP(I1351,$C$3:$L$6,8,0)))*12+MONTH(B1351)-MONTH(VLOOKUP(I1351,$C$3:$L$6,8,0))))*VLOOKUP(I1351,$C$3:$L$6,7,0),0)),""),"")</f>
        <v/>
      </c>
      <c r="L1351" s="29" t="str">
        <f t="shared" ca="1" si="114"/>
        <v/>
      </c>
    </row>
    <row r="1352" spans="2:12" x14ac:dyDescent="0.25">
      <c r="B1352" s="14" t="str">
        <f t="shared" ca="1" si="115"/>
        <v/>
      </c>
      <c r="C1352" s="14" t="str">
        <f ca="1">IF(I1351&lt;&gt;Variables!$B$1,IF(H1351&lt;&gt;0,C1351,I1351),"")</f>
        <v/>
      </c>
      <c r="D1352" s="29" t="str">
        <f t="shared" ca="1" si="112"/>
        <v/>
      </c>
      <c r="E1352" s="29" t="str">
        <f t="shared" ca="1" si="113"/>
        <v/>
      </c>
      <c r="F1352" s="29" t="str">
        <f ca="1">IF(C1352&lt;&gt;"",IF(OR(VLOOKUP(C1352,$C$3:$L$6,5,0)=Variables!$B$5,B1352&gt;VLOOKUP(C1352,$C$3:$L$6,8,0)),-D1352*VLOOKUP(C1352,$C$3:$L$6,6,0)/12,0),"")</f>
        <v/>
      </c>
      <c r="G1352" s="29" t="str">
        <f ca="1">IF(I1352&lt;&gt;Variables!$B$1,IF(C1352&lt;&gt;"",$I$9-E1352-F1352,""),-D1352)</f>
        <v/>
      </c>
      <c r="H1352" s="29" t="str">
        <f t="shared" ca="1" si="116"/>
        <v/>
      </c>
      <c r="I1352" s="31" t="str">
        <f ca="1">IF(C1352&lt;&gt;"",IF(D1352+$I$9-E1352-F1352&gt;=0,IF(ISERROR(INDEX($C$3:$C$6,MATCH(C1352,$C$3:$C$6,0)+1,0)),Variables!$B$1,INDEX($C$3:$C$6,MATCH(C1352,$C$3:$C$6,0)+1,0)),""),"")</f>
        <v/>
      </c>
      <c r="J1352" s="29" t="str">
        <f ca="1">IF(ISERROR(VLOOKUP(I1352,$C$3:$L$6,5,0)),"",IF(OR(VLOOKUP(I1352,$C$3:$L$6,5,0)=Variables!$B$5,B1352&gt;VLOOKUP(I1352,$C$3:$L$6,8,0)),IF(VLOOKUP(I1352,$C$3:$L$6,5,0)=Variables!$B$5,((YEAR(B1352)-YEAR($B$12))*12+MONTH(B1352)-MONTH($B$12)),((YEAR(B1352)-YEAR(VLOOKUP(I1352,$C$3:$L$6,8,0)))*12+MONTH(B1352)-MONTH(VLOOKUP(I1352,$C$3:$L$6,8,0))))*(VLOOKUP(I1352,$C$3:$L$6,10,0)*VLOOKUP(I1352,$C$3:$L$6,6,0)/12),0))</f>
        <v/>
      </c>
      <c r="K1352" s="29" t="str">
        <f ca="1">IF(C1352&lt;&gt;"",IF(I1352&lt;&gt;"",IF(ISERROR(VLOOKUP(I1352,$C$3:$L$6,10,0)),"",VLOOKUP(I1352,$C$3:$L$6,10,0)+J1352+IF(OR(VLOOKUP(I1352,$C$3:$L$6,5,0)=Variables!$B$5,B1352&gt;VLOOKUP(I1352,$C$3:$L$6,8,0)),IF(VLOOKUP(I1352,$C$3:$L$6,5,0)=Variables!$B$5,((YEAR(B1352)-YEAR($B$12))*12+MONTH(B1352)-MONTH($B$12)),((YEAR(B1352)-YEAR(VLOOKUP(I1352,$C$3:$L$6,8,0)))*12+MONTH(B1352)-MONTH(VLOOKUP(I1352,$C$3:$L$6,8,0))))*VLOOKUP(I1352,$C$3:$L$6,7,0),0)),""),"")</f>
        <v/>
      </c>
      <c r="L1352" s="29" t="str">
        <f t="shared" ca="1" si="114"/>
        <v/>
      </c>
    </row>
    <row r="1353" spans="2:12" x14ac:dyDescent="0.25">
      <c r="B1353" s="14" t="str">
        <f t="shared" ca="1" si="115"/>
        <v/>
      </c>
      <c r="C1353" s="14" t="str">
        <f ca="1">IF(I1352&lt;&gt;Variables!$B$1,IF(H1352&lt;&gt;0,C1352,I1352),"")</f>
        <v/>
      </c>
      <c r="D1353" s="29" t="str">
        <f t="shared" ca="1" si="112"/>
        <v/>
      </c>
      <c r="E1353" s="29" t="str">
        <f t="shared" ca="1" si="113"/>
        <v/>
      </c>
      <c r="F1353" s="29" t="str">
        <f ca="1">IF(C1353&lt;&gt;"",IF(OR(VLOOKUP(C1353,$C$3:$L$6,5,0)=Variables!$B$5,B1353&gt;VLOOKUP(C1353,$C$3:$L$6,8,0)),-D1353*VLOOKUP(C1353,$C$3:$L$6,6,0)/12,0),"")</f>
        <v/>
      </c>
      <c r="G1353" s="29" t="str">
        <f ca="1">IF(I1353&lt;&gt;Variables!$B$1,IF(C1353&lt;&gt;"",$I$9-E1353-F1353,""),-D1353)</f>
        <v/>
      </c>
      <c r="H1353" s="29" t="str">
        <f t="shared" ca="1" si="116"/>
        <v/>
      </c>
      <c r="I1353" s="31" t="str">
        <f ca="1">IF(C1353&lt;&gt;"",IF(D1353+$I$9-E1353-F1353&gt;=0,IF(ISERROR(INDEX($C$3:$C$6,MATCH(C1353,$C$3:$C$6,0)+1,0)),Variables!$B$1,INDEX($C$3:$C$6,MATCH(C1353,$C$3:$C$6,0)+1,0)),""),"")</f>
        <v/>
      </c>
      <c r="J1353" s="29" t="str">
        <f ca="1">IF(ISERROR(VLOOKUP(I1353,$C$3:$L$6,5,0)),"",IF(OR(VLOOKUP(I1353,$C$3:$L$6,5,0)=Variables!$B$5,B1353&gt;VLOOKUP(I1353,$C$3:$L$6,8,0)),IF(VLOOKUP(I1353,$C$3:$L$6,5,0)=Variables!$B$5,((YEAR(B1353)-YEAR($B$12))*12+MONTH(B1353)-MONTH($B$12)),((YEAR(B1353)-YEAR(VLOOKUP(I1353,$C$3:$L$6,8,0)))*12+MONTH(B1353)-MONTH(VLOOKUP(I1353,$C$3:$L$6,8,0))))*(VLOOKUP(I1353,$C$3:$L$6,10,0)*VLOOKUP(I1353,$C$3:$L$6,6,0)/12),0))</f>
        <v/>
      </c>
      <c r="K1353" s="29" t="str">
        <f ca="1">IF(C1353&lt;&gt;"",IF(I1353&lt;&gt;"",IF(ISERROR(VLOOKUP(I1353,$C$3:$L$6,10,0)),"",VLOOKUP(I1353,$C$3:$L$6,10,0)+J1353+IF(OR(VLOOKUP(I1353,$C$3:$L$6,5,0)=Variables!$B$5,B1353&gt;VLOOKUP(I1353,$C$3:$L$6,8,0)),IF(VLOOKUP(I1353,$C$3:$L$6,5,0)=Variables!$B$5,((YEAR(B1353)-YEAR($B$12))*12+MONTH(B1353)-MONTH($B$12)),((YEAR(B1353)-YEAR(VLOOKUP(I1353,$C$3:$L$6,8,0)))*12+MONTH(B1353)-MONTH(VLOOKUP(I1353,$C$3:$L$6,8,0))))*VLOOKUP(I1353,$C$3:$L$6,7,0),0)),""),"")</f>
        <v/>
      </c>
      <c r="L1353" s="29" t="str">
        <f t="shared" ca="1" si="114"/>
        <v/>
      </c>
    </row>
    <row r="1354" spans="2:12" x14ac:dyDescent="0.25">
      <c r="B1354" s="14" t="str">
        <f t="shared" ca="1" si="115"/>
        <v/>
      </c>
      <c r="C1354" s="14" t="str">
        <f ca="1">IF(I1353&lt;&gt;Variables!$B$1,IF(H1353&lt;&gt;0,C1353,I1353),"")</f>
        <v/>
      </c>
      <c r="D1354" s="29" t="str">
        <f t="shared" ca="1" si="112"/>
        <v/>
      </c>
      <c r="E1354" s="29" t="str">
        <f t="shared" ca="1" si="113"/>
        <v/>
      </c>
      <c r="F1354" s="29" t="str">
        <f ca="1">IF(C1354&lt;&gt;"",IF(OR(VLOOKUP(C1354,$C$3:$L$6,5,0)=Variables!$B$5,B1354&gt;VLOOKUP(C1354,$C$3:$L$6,8,0)),-D1354*VLOOKUP(C1354,$C$3:$L$6,6,0)/12,0),"")</f>
        <v/>
      </c>
      <c r="G1354" s="29" t="str">
        <f ca="1">IF(I1354&lt;&gt;Variables!$B$1,IF(C1354&lt;&gt;"",$I$9-E1354-F1354,""),-D1354)</f>
        <v/>
      </c>
      <c r="H1354" s="29" t="str">
        <f t="shared" ca="1" si="116"/>
        <v/>
      </c>
      <c r="I1354" s="31" t="str">
        <f ca="1">IF(C1354&lt;&gt;"",IF(D1354+$I$9-E1354-F1354&gt;=0,IF(ISERROR(INDEX($C$3:$C$6,MATCH(C1354,$C$3:$C$6,0)+1,0)),Variables!$B$1,INDEX($C$3:$C$6,MATCH(C1354,$C$3:$C$6,0)+1,0)),""),"")</f>
        <v/>
      </c>
      <c r="J1354" s="29" t="str">
        <f ca="1">IF(ISERROR(VLOOKUP(I1354,$C$3:$L$6,5,0)),"",IF(OR(VLOOKUP(I1354,$C$3:$L$6,5,0)=Variables!$B$5,B1354&gt;VLOOKUP(I1354,$C$3:$L$6,8,0)),IF(VLOOKUP(I1354,$C$3:$L$6,5,0)=Variables!$B$5,((YEAR(B1354)-YEAR($B$12))*12+MONTH(B1354)-MONTH($B$12)),((YEAR(B1354)-YEAR(VLOOKUP(I1354,$C$3:$L$6,8,0)))*12+MONTH(B1354)-MONTH(VLOOKUP(I1354,$C$3:$L$6,8,0))))*(VLOOKUP(I1354,$C$3:$L$6,10,0)*VLOOKUP(I1354,$C$3:$L$6,6,0)/12),0))</f>
        <v/>
      </c>
      <c r="K1354" s="29" t="str">
        <f ca="1">IF(C1354&lt;&gt;"",IF(I1354&lt;&gt;"",IF(ISERROR(VLOOKUP(I1354,$C$3:$L$6,10,0)),"",VLOOKUP(I1354,$C$3:$L$6,10,0)+J1354+IF(OR(VLOOKUP(I1354,$C$3:$L$6,5,0)=Variables!$B$5,B1354&gt;VLOOKUP(I1354,$C$3:$L$6,8,0)),IF(VLOOKUP(I1354,$C$3:$L$6,5,0)=Variables!$B$5,((YEAR(B1354)-YEAR($B$12))*12+MONTH(B1354)-MONTH($B$12)),((YEAR(B1354)-YEAR(VLOOKUP(I1354,$C$3:$L$6,8,0)))*12+MONTH(B1354)-MONTH(VLOOKUP(I1354,$C$3:$L$6,8,0))))*VLOOKUP(I1354,$C$3:$L$6,7,0),0)),""),"")</f>
        <v/>
      </c>
      <c r="L1354" s="29" t="str">
        <f t="shared" ca="1" si="114"/>
        <v/>
      </c>
    </row>
    <row r="1355" spans="2:12" x14ac:dyDescent="0.25">
      <c r="B1355" s="14" t="str">
        <f t="shared" ca="1" si="115"/>
        <v/>
      </c>
      <c r="C1355" s="14" t="str">
        <f ca="1">IF(I1354&lt;&gt;Variables!$B$1,IF(H1354&lt;&gt;0,C1354,I1354),"")</f>
        <v/>
      </c>
      <c r="D1355" s="29" t="str">
        <f t="shared" ca="1" si="112"/>
        <v/>
      </c>
      <c r="E1355" s="29" t="str">
        <f t="shared" ca="1" si="113"/>
        <v/>
      </c>
      <c r="F1355" s="29" t="str">
        <f ca="1">IF(C1355&lt;&gt;"",IF(OR(VLOOKUP(C1355,$C$3:$L$6,5,0)=Variables!$B$5,B1355&gt;VLOOKUP(C1355,$C$3:$L$6,8,0)),-D1355*VLOOKUP(C1355,$C$3:$L$6,6,0)/12,0),"")</f>
        <v/>
      </c>
      <c r="G1355" s="29" t="str">
        <f ca="1">IF(I1355&lt;&gt;Variables!$B$1,IF(C1355&lt;&gt;"",$I$9-E1355-F1355,""),-D1355)</f>
        <v/>
      </c>
      <c r="H1355" s="29" t="str">
        <f t="shared" ca="1" si="116"/>
        <v/>
      </c>
      <c r="I1355" s="31" t="str">
        <f ca="1">IF(C1355&lt;&gt;"",IF(D1355+$I$9-E1355-F1355&gt;=0,IF(ISERROR(INDEX($C$3:$C$6,MATCH(C1355,$C$3:$C$6,0)+1,0)),Variables!$B$1,INDEX($C$3:$C$6,MATCH(C1355,$C$3:$C$6,0)+1,0)),""),"")</f>
        <v/>
      </c>
      <c r="J1355" s="29" t="str">
        <f ca="1">IF(ISERROR(VLOOKUP(I1355,$C$3:$L$6,5,0)),"",IF(OR(VLOOKUP(I1355,$C$3:$L$6,5,0)=Variables!$B$5,B1355&gt;VLOOKUP(I1355,$C$3:$L$6,8,0)),IF(VLOOKUP(I1355,$C$3:$L$6,5,0)=Variables!$B$5,((YEAR(B1355)-YEAR($B$12))*12+MONTH(B1355)-MONTH($B$12)),((YEAR(B1355)-YEAR(VLOOKUP(I1355,$C$3:$L$6,8,0)))*12+MONTH(B1355)-MONTH(VLOOKUP(I1355,$C$3:$L$6,8,0))))*(VLOOKUP(I1355,$C$3:$L$6,10,0)*VLOOKUP(I1355,$C$3:$L$6,6,0)/12),0))</f>
        <v/>
      </c>
      <c r="K1355" s="29" t="str">
        <f ca="1">IF(C1355&lt;&gt;"",IF(I1355&lt;&gt;"",IF(ISERROR(VLOOKUP(I1355,$C$3:$L$6,10,0)),"",VLOOKUP(I1355,$C$3:$L$6,10,0)+J1355+IF(OR(VLOOKUP(I1355,$C$3:$L$6,5,0)=Variables!$B$5,B1355&gt;VLOOKUP(I1355,$C$3:$L$6,8,0)),IF(VLOOKUP(I1355,$C$3:$L$6,5,0)=Variables!$B$5,((YEAR(B1355)-YEAR($B$12))*12+MONTH(B1355)-MONTH($B$12)),((YEAR(B1355)-YEAR(VLOOKUP(I1355,$C$3:$L$6,8,0)))*12+MONTH(B1355)-MONTH(VLOOKUP(I1355,$C$3:$L$6,8,0))))*VLOOKUP(I1355,$C$3:$L$6,7,0),0)),""),"")</f>
        <v/>
      </c>
      <c r="L1355" s="29" t="str">
        <f t="shared" ca="1" si="114"/>
        <v/>
      </c>
    </row>
    <row r="1356" spans="2:12" x14ac:dyDescent="0.25">
      <c r="B1356" s="14" t="str">
        <f t="shared" ca="1" si="115"/>
        <v/>
      </c>
      <c r="C1356" s="14" t="str">
        <f ca="1">IF(I1355&lt;&gt;Variables!$B$1,IF(H1355&lt;&gt;0,C1355,I1355),"")</f>
        <v/>
      </c>
      <c r="D1356" s="29" t="str">
        <f t="shared" ca="1" si="112"/>
        <v/>
      </c>
      <c r="E1356" s="29" t="str">
        <f t="shared" ca="1" si="113"/>
        <v/>
      </c>
      <c r="F1356" s="29" t="str">
        <f ca="1">IF(C1356&lt;&gt;"",IF(OR(VLOOKUP(C1356,$C$3:$L$6,5,0)=Variables!$B$5,B1356&gt;VLOOKUP(C1356,$C$3:$L$6,8,0)),-D1356*VLOOKUP(C1356,$C$3:$L$6,6,0)/12,0),"")</f>
        <v/>
      </c>
      <c r="G1356" s="29" t="str">
        <f ca="1">IF(I1356&lt;&gt;Variables!$B$1,IF(C1356&lt;&gt;"",$I$9-E1356-F1356,""),-D1356)</f>
        <v/>
      </c>
      <c r="H1356" s="29" t="str">
        <f t="shared" ca="1" si="116"/>
        <v/>
      </c>
      <c r="I1356" s="31" t="str">
        <f ca="1">IF(C1356&lt;&gt;"",IF(D1356+$I$9-E1356-F1356&gt;=0,IF(ISERROR(INDEX($C$3:$C$6,MATCH(C1356,$C$3:$C$6,0)+1,0)),Variables!$B$1,INDEX($C$3:$C$6,MATCH(C1356,$C$3:$C$6,0)+1,0)),""),"")</f>
        <v/>
      </c>
      <c r="J1356" s="29" t="str">
        <f ca="1">IF(ISERROR(VLOOKUP(I1356,$C$3:$L$6,5,0)),"",IF(OR(VLOOKUP(I1356,$C$3:$L$6,5,0)=Variables!$B$5,B1356&gt;VLOOKUP(I1356,$C$3:$L$6,8,0)),IF(VLOOKUP(I1356,$C$3:$L$6,5,0)=Variables!$B$5,((YEAR(B1356)-YEAR($B$12))*12+MONTH(B1356)-MONTH($B$12)),((YEAR(B1356)-YEAR(VLOOKUP(I1356,$C$3:$L$6,8,0)))*12+MONTH(B1356)-MONTH(VLOOKUP(I1356,$C$3:$L$6,8,0))))*(VLOOKUP(I1356,$C$3:$L$6,10,0)*VLOOKUP(I1356,$C$3:$L$6,6,0)/12),0))</f>
        <v/>
      </c>
      <c r="K1356" s="29" t="str">
        <f ca="1">IF(C1356&lt;&gt;"",IF(I1356&lt;&gt;"",IF(ISERROR(VLOOKUP(I1356,$C$3:$L$6,10,0)),"",VLOOKUP(I1356,$C$3:$L$6,10,0)+J1356+IF(OR(VLOOKUP(I1356,$C$3:$L$6,5,0)=Variables!$B$5,B1356&gt;VLOOKUP(I1356,$C$3:$L$6,8,0)),IF(VLOOKUP(I1356,$C$3:$L$6,5,0)=Variables!$B$5,((YEAR(B1356)-YEAR($B$12))*12+MONTH(B1356)-MONTH($B$12)),((YEAR(B1356)-YEAR(VLOOKUP(I1356,$C$3:$L$6,8,0)))*12+MONTH(B1356)-MONTH(VLOOKUP(I1356,$C$3:$L$6,8,0))))*VLOOKUP(I1356,$C$3:$L$6,7,0),0)),""),"")</f>
        <v/>
      </c>
      <c r="L1356" s="29" t="str">
        <f t="shared" ca="1" si="114"/>
        <v/>
      </c>
    </row>
    <row r="1357" spans="2:12" x14ac:dyDescent="0.25">
      <c r="B1357" s="14" t="str">
        <f t="shared" ca="1" si="115"/>
        <v/>
      </c>
      <c r="C1357" s="14" t="str">
        <f ca="1">IF(I1356&lt;&gt;Variables!$B$1,IF(H1356&lt;&gt;0,C1356,I1356),"")</f>
        <v/>
      </c>
      <c r="D1357" s="29" t="str">
        <f t="shared" ca="1" si="112"/>
        <v/>
      </c>
      <c r="E1357" s="29" t="str">
        <f t="shared" ca="1" si="113"/>
        <v/>
      </c>
      <c r="F1357" s="29" t="str">
        <f ca="1">IF(C1357&lt;&gt;"",IF(OR(VLOOKUP(C1357,$C$3:$L$6,5,0)=Variables!$B$5,B1357&gt;VLOOKUP(C1357,$C$3:$L$6,8,0)),-D1357*VLOOKUP(C1357,$C$3:$L$6,6,0)/12,0),"")</f>
        <v/>
      </c>
      <c r="G1357" s="29" t="str">
        <f ca="1">IF(I1357&lt;&gt;Variables!$B$1,IF(C1357&lt;&gt;"",$I$9-E1357-F1357,""),-D1357)</f>
        <v/>
      </c>
      <c r="H1357" s="29" t="str">
        <f t="shared" ca="1" si="116"/>
        <v/>
      </c>
      <c r="I1357" s="31" t="str">
        <f ca="1">IF(C1357&lt;&gt;"",IF(D1357+$I$9-E1357-F1357&gt;=0,IF(ISERROR(INDEX($C$3:$C$6,MATCH(C1357,$C$3:$C$6,0)+1,0)),Variables!$B$1,INDEX($C$3:$C$6,MATCH(C1357,$C$3:$C$6,0)+1,0)),""),"")</f>
        <v/>
      </c>
      <c r="J1357" s="29" t="str">
        <f ca="1">IF(ISERROR(VLOOKUP(I1357,$C$3:$L$6,5,0)),"",IF(OR(VLOOKUP(I1357,$C$3:$L$6,5,0)=Variables!$B$5,B1357&gt;VLOOKUP(I1357,$C$3:$L$6,8,0)),IF(VLOOKUP(I1357,$C$3:$L$6,5,0)=Variables!$B$5,((YEAR(B1357)-YEAR($B$12))*12+MONTH(B1357)-MONTH($B$12)),((YEAR(B1357)-YEAR(VLOOKUP(I1357,$C$3:$L$6,8,0)))*12+MONTH(B1357)-MONTH(VLOOKUP(I1357,$C$3:$L$6,8,0))))*(VLOOKUP(I1357,$C$3:$L$6,10,0)*VLOOKUP(I1357,$C$3:$L$6,6,0)/12),0))</f>
        <v/>
      </c>
      <c r="K1357" s="29" t="str">
        <f ca="1">IF(C1357&lt;&gt;"",IF(I1357&lt;&gt;"",IF(ISERROR(VLOOKUP(I1357,$C$3:$L$6,10,0)),"",VLOOKUP(I1357,$C$3:$L$6,10,0)+J1357+IF(OR(VLOOKUP(I1357,$C$3:$L$6,5,0)=Variables!$B$5,B1357&gt;VLOOKUP(I1357,$C$3:$L$6,8,0)),IF(VLOOKUP(I1357,$C$3:$L$6,5,0)=Variables!$B$5,((YEAR(B1357)-YEAR($B$12))*12+MONTH(B1357)-MONTH($B$12)),((YEAR(B1357)-YEAR(VLOOKUP(I1357,$C$3:$L$6,8,0)))*12+MONTH(B1357)-MONTH(VLOOKUP(I1357,$C$3:$L$6,8,0))))*VLOOKUP(I1357,$C$3:$L$6,7,0),0)),""),"")</f>
        <v/>
      </c>
      <c r="L1357" s="29" t="str">
        <f t="shared" ca="1" si="114"/>
        <v/>
      </c>
    </row>
    <row r="1358" spans="2:12" x14ac:dyDescent="0.25">
      <c r="B1358" s="14" t="str">
        <f t="shared" ca="1" si="115"/>
        <v/>
      </c>
      <c r="C1358" s="14" t="str">
        <f ca="1">IF(I1357&lt;&gt;Variables!$B$1,IF(H1357&lt;&gt;0,C1357,I1357),"")</f>
        <v/>
      </c>
      <c r="D1358" s="29" t="str">
        <f t="shared" ca="1" si="112"/>
        <v/>
      </c>
      <c r="E1358" s="29" t="str">
        <f t="shared" ca="1" si="113"/>
        <v/>
      </c>
      <c r="F1358" s="29" t="str">
        <f ca="1">IF(C1358&lt;&gt;"",IF(OR(VLOOKUP(C1358,$C$3:$L$6,5,0)=Variables!$B$5,B1358&gt;VLOOKUP(C1358,$C$3:$L$6,8,0)),-D1358*VLOOKUP(C1358,$C$3:$L$6,6,0)/12,0),"")</f>
        <v/>
      </c>
      <c r="G1358" s="29" t="str">
        <f ca="1">IF(I1358&lt;&gt;Variables!$B$1,IF(C1358&lt;&gt;"",$I$9-E1358-F1358,""),-D1358)</f>
        <v/>
      </c>
      <c r="H1358" s="29" t="str">
        <f t="shared" ca="1" si="116"/>
        <v/>
      </c>
      <c r="I1358" s="31" t="str">
        <f ca="1">IF(C1358&lt;&gt;"",IF(D1358+$I$9-E1358-F1358&gt;=0,IF(ISERROR(INDEX($C$3:$C$6,MATCH(C1358,$C$3:$C$6,0)+1,0)),Variables!$B$1,INDEX($C$3:$C$6,MATCH(C1358,$C$3:$C$6,0)+1,0)),""),"")</f>
        <v/>
      </c>
      <c r="J1358" s="29" t="str">
        <f ca="1">IF(ISERROR(VLOOKUP(I1358,$C$3:$L$6,5,0)),"",IF(OR(VLOOKUP(I1358,$C$3:$L$6,5,0)=Variables!$B$5,B1358&gt;VLOOKUP(I1358,$C$3:$L$6,8,0)),IF(VLOOKUP(I1358,$C$3:$L$6,5,0)=Variables!$B$5,((YEAR(B1358)-YEAR($B$12))*12+MONTH(B1358)-MONTH($B$12)),((YEAR(B1358)-YEAR(VLOOKUP(I1358,$C$3:$L$6,8,0)))*12+MONTH(B1358)-MONTH(VLOOKUP(I1358,$C$3:$L$6,8,0))))*(VLOOKUP(I1358,$C$3:$L$6,10,0)*VLOOKUP(I1358,$C$3:$L$6,6,0)/12),0))</f>
        <v/>
      </c>
      <c r="K1358" s="29" t="str">
        <f ca="1">IF(C1358&lt;&gt;"",IF(I1358&lt;&gt;"",IF(ISERROR(VLOOKUP(I1358,$C$3:$L$6,10,0)),"",VLOOKUP(I1358,$C$3:$L$6,10,0)+J1358+IF(OR(VLOOKUP(I1358,$C$3:$L$6,5,0)=Variables!$B$5,B1358&gt;VLOOKUP(I1358,$C$3:$L$6,8,0)),IF(VLOOKUP(I1358,$C$3:$L$6,5,0)=Variables!$B$5,((YEAR(B1358)-YEAR($B$12))*12+MONTH(B1358)-MONTH($B$12)),((YEAR(B1358)-YEAR(VLOOKUP(I1358,$C$3:$L$6,8,0)))*12+MONTH(B1358)-MONTH(VLOOKUP(I1358,$C$3:$L$6,8,0))))*VLOOKUP(I1358,$C$3:$L$6,7,0),0)),""),"")</f>
        <v/>
      </c>
      <c r="L1358" s="29" t="str">
        <f t="shared" ca="1" si="114"/>
        <v/>
      </c>
    </row>
    <row r="1359" spans="2:12" x14ac:dyDescent="0.25">
      <c r="B1359" s="14" t="str">
        <f t="shared" ca="1" si="115"/>
        <v/>
      </c>
      <c r="C1359" s="14" t="str">
        <f ca="1">IF(I1358&lt;&gt;Variables!$B$1,IF(H1358&lt;&gt;0,C1358,I1358),"")</f>
        <v/>
      </c>
      <c r="D1359" s="29" t="str">
        <f t="shared" ca="1" si="112"/>
        <v/>
      </c>
      <c r="E1359" s="29" t="str">
        <f t="shared" ca="1" si="113"/>
        <v/>
      </c>
      <c r="F1359" s="29" t="str">
        <f ca="1">IF(C1359&lt;&gt;"",IF(OR(VLOOKUP(C1359,$C$3:$L$6,5,0)=Variables!$B$5,B1359&gt;VLOOKUP(C1359,$C$3:$L$6,8,0)),-D1359*VLOOKUP(C1359,$C$3:$L$6,6,0)/12,0),"")</f>
        <v/>
      </c>
      <c r="G1359" s="29" t="str">
        <f ca="1">IF(I1359&lt;&gt;Variables!$B$1,IF(C1359&lt;&gt;"",$I$9-E1359-F1359,""),-D1359)</f>
        <v/>
      </c>
      <c r="H1359" s="29" t="str">
        <f t="shared" ca="1" si="116"/>
        <v/>
      </c>
      <c r="I1359" s="31" t="str">
        <f ca="1">IF(C1359&lt;&gt;"",IF(D1359+$I$9-E1359-F1359&gt;=0,IF(ISERROR(INDEX($C$3:$C$6,MATCH(C1359,$C$3:$C$6,0)+1,0)),Variables!$B$1,INDEX($C$3:$C$6,MATCH(C1359,$C$3:$C$6,0)+1,0)),""),"")</f>
        <v/>
      </c>
      <c r="J1359" s="29" t="str">
        <f ca="1">IF(ISERROR(VLOOKUP(I1359,$C$3:$L$6,5,0)),"",IF(OR(VLOOKUP(I1359,$C$3:$L$6,5,0)=Variables!$B$5,B1359&gt;VLOOKUP(I1359,$C$3:$L$6,8,0)),IF(VLOOKUP(I1359,$C$3:$L$6,5,0)=Variables!$B$5,((YEAR(B1359)-YEAR($B$12))*12+MONTH(B1359)-MONTH($B$12)),((YEAR(B1359)-YEAR(VLOOKUP(I1359,$C$3:$L$6,8,0)))*12+MONTH(B1359)-MONTH(VLOOKUP(I1359,$C$3:$L$6,8,0))))*(VLOOKUP(I1359,$C$3:$L$6,10,0)*VLOOKUP(I1359,$C$3:$L$6,6,0)/12),0))</f>
        <v/>
      </c>
      <c r="K1359" s="29" t="str">
        <f ca="1">IF(C1359&lt;&gt;"",IF(I1359&lt;&gt;"",IF(ISERROR(VLOOKUP(I1359,$C$3:$L$6,10,0)),"",VLOOKUP(I1359,$C$3:$L$6,10,0)+J1359+IF(OR(VLOOKUP(I1359,$C$3:$L$6,5,0)=Variables!$B$5,B1359&gt;VLOOKUP(I1359,$C$3:$L$6,8,0)),IF(VLOOKUP(I1359,$C$3:$L$6,5,0)=Variables!$B$5,((YEAR(B1359)-YEAR($B$12))*12+MONTH(B1359)-MONTH($B$12)),((YEAR(B1359)-YEAR(VLOOKUP(I1359,$C$3:$L$6,8,0)))*12+MONTH(B1359)-MONTH(VLOOKUP(I1359,$C$3:$L$6,8,0))))*VLOOKUP(I1359,$C$3:$L$6,7,0),0)),""),"")</f>
        <v/>
      </c>
      <c r="L1359" s="29" t="str">
        <f t="shared" ca="1" si="114"/>
        <v/>
      </c>
    </row>
    <row r="1360" spans="2:12" x14ac:dyDescent="0.25">
      <c r="B1360" s="14" t="str">
        <f t="shared" ca="1" si="115"/>
        <v/>
      </c>
      <c r="C1360" s="14" t="str">
        <f ca="1">IF(I1359&lt;&gt;Variables!$B$1,IF(H1359&lt;&gt;0,C1359,I1359),"")</f>
        <v/>
      </c>
      <c r="D1360" s="29" t="str">
        <f t="shared" ca="1" si="112"/>
        <v/>
      </c>
      <c r="E1360" s="29" t="str">
        <f t="shared" ca="1" si="113"/>
        <v/>
      </c>
      <c r="F1360" s="29" t="str">
        <f ca="1">IF(C1360&lt;&gt;"",IF(OR(VLOOKUP(C1360,$C$3:$L$6,5,0)=Variables!$B$5,B1360&gt;VLOOKUP(C1360,$C$3:$L$6,8,0)),-D1360*VLOOKUP(C1360,$C$3:$L$6,6,0)/12,0),"")</f>
        <v/>
      </c>
      <c r="G1360" s="29" t="str">
        <f ca="1">IF(I1360&lt;&gt;Variables!$B$1,IF(C1360&lt;&gt;"",$I$9-E1360-F1360,""),-D1360)</f>
        <v/>
      </c>
      <c r="H1360" s="29" t="str">
        <f t="shared" ca="1" si="116"/>
        <v/>
      </c>
      <c r="I1360" s="31" t="str">
        <f ca="1">IF(C1360&lt;&gt;"",IF(D1360+$I$9-E1360-F1360&gt;=0,IF(ISERROR(INDEX($C$3:$C$6,MATCH(C1360,$C$3:$C$6,0)+1,0)),Variables!$B$1,INDEX($C$3:$C$6,MATCH(C1360,$C$3:$C$6,0)+1,0)),""),"")</f>
        <v/>
      </c>
      <c r="J1360" s="29" t="str">
        <f ca="1">IF(ISERROR(VLOOKUP(I1360,$C$3:$L$6,5,0)),"",IF(OR(VLOOKUP(I1360,$C$3:$L$6,5,0)=Variables!$B$5,B1360&gt;VLOOKUP(I1360,$C$3:$L$6,8,0)),IF(VLOOKUP(I1360,$C$3:$L$6,5,0)=Variables!$B$5,((YEAR(B1360)-YEAR($B$12))*12+MONTH(B1360)-MONTH($B$12)),((YEAR(B1360)-YEAR(VLOOKUP(I1360,$C$3:$L$6,8,0)))*12+MONTH(B1360)-MONTH(VLOOKUP(I1360,$C$3:$L$6,8,0))))*(VLOOKUP(I1360,$C$3:$L$6,10,0)*VLOOKUP(I1360,$C$3:$L$6,6,0)/12),0))</f>
        <v/>
      </c>
      <c r="K1360" s="29" t="str">
        <f ca="1">IF(C1360&lt;&gt;"",IF(I1360&lt;&gt;"",IF(ISERROR(VLOOKUP(I1360,$C$3:$L$6,10,0)),"",VLOOKUP(I1360,$C$3:$L$6,10,0)+J1360+IF(OR(VLOOKUP(I1360,$C$3:$L$6,5,0)=Variables!$B$5,B1360&gt;VLOOKUP(I1360,$C$3:$L$6,8,0)),IF(VLOOKUP(I1360,$C$3:$L$6,5,0)=Variables!$B$5,((YEAR(B1360)-YEAR($B$12))*12+MONTH(B1360)-MONTH($B$12)),((YEAR(B1360)-YEAR(VLOOKUP(I1360,$C$3:$L$6,8,0)))*12+MONTH(B1360)-MONTH(VLOOKUP(I1360,$C$3:$L$6,8,0))))*VLOOKUP(I1360,$C$3:$L$6,7,0),0)),""),"")</f>
        <v/>
      </c>
      <c r="L1360" s="29" t="str">
        <f t="shared" ca="1" si="114"/>
        <v/>
      </c>
    </row>
    <row r="1361" spans="2:12" x14ac:dyDescent="0.25">
      <c r="B1361" s="14" t="str">
        <f t="shared" ca="1" si="115"/>
        <v/>
      </c>
      <c r="C1361" s="14" t="str">
        <f ca="1">IF(I1360&lt;&gt;Variables!$B$1,IF(H1360&lt;&gt;0,C1360,I1360),"")</f>
        <v/>
      </c>
      <c r="D1361" s="29" t="str">
        <f t="shared" ca="1" si="112"/>
        <v/>
      </c>
      <c r="E1361" s="29" t="str">
        <f t="shared" ca="1" si="113"/>
        <v/>
      </c>
      <c r="F1361" s="29" t="str">
        <f ca="1">IF(C1361&lt;&gt;"",IF(OR(VLOOKUP(C1361,$C$3:$L$6,5,0)=Variables!$B$5,B1361&gt;VLOOKUP(C1361,$C$3:$L$6,8,0)),-D1361*VLOOKUP(C1361,$C$3:$L$6,6,0)/12,0),"")</f>
        <v/>
      </c>
      <c r="G1361" s="29" t="str">
        <f ca="1">IF(I1361&lt;&gt;Variables!$B$1,IF(C1361&lt;&gt;"",$I$9-E1361-F1361,""),-D1361)</f>
        <v/>
      </c>
      <c r="H1361" s="29" t="str">
        <f t="shared" ca="1" si="116"/>
        <v/>
      </c>
      <c r="I1361" s="31" t="str">
        <f ca="1">IF(C1361&lt;&gt;"",IF(D1361+$I$9-E1361-F1361&gt;=0,IF(ISERROR(INDEX($C$3:$C$6,MATCH(C1361,$C$3:$C$6,0)+1,0)),Variables!$B$1,INDEX($C$3:$C$6,MATCH(C1361,$C$3:$C$6,0)+1,0)),""),"")</f>
        <v/>
      </c>
      <c r="J1361" s="29" t="str">
        <f ca="1">IF(ISERROR(VLOOKUP(I1361,$C$3:$L$6,5,0)),"",IF(OR(VLOOKUP(I1361,$C$3:$L$6,5,0)=Variables!$B$5,B1361&gt;VLOOKUP(I1361,$C$3:$L$6,8,0)),IF(VLOOKUP(I1361,$C$3:$L$6,5,0)=Variables!$B$5,((YEAR(B1361)-YEAR($B$12))*12+MONTH(B1361)-MONTH($B$12)),((YEAR(B1361)-YEAR(VLOOKUP(I1361,$C$3:$L$6,8,0)))*12+MONTH(B1361)-MONTH(VLOOKUP(I1361,$C$3:$L$6,8,0))))*(VLOOKUP(I1361,$C$3:$L$6,10,0)*VLOOKUP(I1361,$C$3:$L$6,6,0)/12),0))</f>
        <v/>
      </c>
      <c r="K1361" s="29" t="str">
        <f ca="1">IF(C1361&lt;&gt;"",IF(I1361&lt;&gt;"",IF(ISERROR(VLOOKUP(I1361,$C$3:$L$6,10,0)),"",VLOOKUP(I1361,$C$3:$L$6,10,0)+J1361+IF(OR(VLOOKUP(I1361,$C$3:$L$6,5,0)=Variables!$B$5,B1361&gt;VLOOKUP(I1361,$C$3:$L$6,8,0)),IF(VLOOKUP(I1361,$C$3:$L$6,5,0)=Variables!$B$5,((YEAR(B1361)-YEAR($B$12))*12+MONTH(B1361)-MONTH($B$12)),((YEAR(B1361)-YEAR(VLOOKUP(I1361,$C$3:$L$6,8,0)))*12+MONTH(B1361)-MONTH(VLOOKUP(I1361,$C$3:$L$6,8,0))))*VLOOKUP(I1361,$C$3:$L$6,7,0),0)),""),"")</f>
        <v/>
      </c>
      <c r="L1361" s="29" t="str">
        <f t="shared" ca="1" si="114"/>
        <v/>
      </c>
    </row>
    <row r="1362" spans="2:12" x14ac:dyDescent="0.25">
      <c r="B1362" s="14" t="str">
        <f t="shared" ca="1" si="115"/>
        <v/>
      </c>
      <c r="C1362" s="14" t="str">
        <f ca="1">IF(I1361&lt;&gt;Variables!$B$1,IF(H1361&lt;&gt;0,C1361,I1361),"")</f>
        <v/>
      </c>
      <c r="D1362" s="29" t="str">
        <f t="shared" ca="1" si="112"/>
        <v/>
      </c>
      <c r="E1362" s="29" t="str">
        <f t="shared" ca="1" si="113"/>
        <v/>
      </c>
      <c r="F1362" s="29" t="str">
        <f ca="1">IF(C1362&lt;&gt;"",IF(OR(VLOOKUP(C1362,$C$3:$L$6,5,0)=Variables!$B$5,B1362&gt;VLOOKUP(C1362,$C$3:$L$6,8,0)),-D1362*VLOOKUP(C1362,$C$3:$L$6,6,0)/12,0),"")</f>
        <v/>
      </c>
      <c r="G1362" s="29" t="str">
        <f ca="1">IF(I1362&lt;&gt;Variables!$B$1,IF(C1362&lt;&gt;"",$I$9-E1362-F1362,""),-D1362)</f>
        <v/>
      </c>
      <c r="H1362" s="29" t="str">
        <f t="shared" ca="1" si="116"/>
        <v/>
      </c>
      <c r="I1362" s="31" t="str">
        <f ca="1">IF(C1362&lt;&gt;"",IF(D1362+$I$9-E1362-F1362&gt;=0,IF(ISERROR(INDEX($C$3:$C$6,MATCH(C1362,$C$3:$C$6,0)+1,0)),Variables!$B$1,INDEX($C$3:$C$6,MATCH(C1362,$C$3:$C$6,0)+1,0)),""),"")</f>
        <v/>
      </c>
      <c r="J1362" s="29" t="str">
        <f ca="1">IF(ISERROR(VLOOKUP(I1362,$C$3:$L$6,5,0)),"",IF(OR(VLOOKUP(I1362,$C$3:$L$6,5,0)=Variables!$B$5,B1362&gt;VLOOKUP(I1362,$C$3:$L$6,8,0)),IF(VLOOKUP(I1362,$C$3:$L$6,5,0)=Variables!$B$5,((YEAR(B1362)-YEAR($B$12))*12+MONTH(B1362)-MONTH($B$12)),((YEAR(B1362)-YEAR(VLOOKUP(I1362,$C$3:$L$6,8,0)))*12+MONTH(B1362)-MONTH(VLOOKUP(I1362,$C$3:$L$6,8,0))))*(VLOOKUP(I1362,$C$3:$L$6,10,0)*VLOOKUP(I1362,$C$3:$L$6,6,0)/12),0))</f>
        <v/>
      </c>
      <c r="K1362" s="29" t="str">
        <f ca="1">IF(C1362&lt;&gt;"",IF(I1362&lt;&gt;"",IF(ISERROR(VLOOKUP(I1362,$C$3:$L$6,10,0)),"",VLOOKUP(I1362,$C$3:$L$6,10,0)+J1362+IF(OR(VLOOKUP(I1362,$C$3:$L$6,5,0)=Variables!$B$5,B1362&gt;VLOOKUP(I1362,$C$3:$L$6,8,0)),IF(VLOOKUP(I1362,$C$3:$L$6,5,0)=Variables!$B$5,((YEAR(B1362)-YEAR($B$12))*12+MONTH(B1362)-MONTH($B$12)),((YEAR(B1362)-YEAR(VLOOKUP(I1362,$C$3:$L$6,8,0)))*12+MONTH(B1362)-MONTH(VLOOKUP(I1362,$C$3:$L$6,8,0))))*VLOOKUP(I1362,$C$3:$L$6,7,0),0)),""),"")</f>
        <v/>
      </c>
      <c r="L1362" s="29" t="str">
        <f t="shared" ca="1" si="114"/>
        <v/>
      </c>
    </row>
    <row r="1363" spans="2:12" x14ac:dyDescent="0.25">
      <c r="B1363" s="14" t="str">
        <f t="shared" ca="1" si="115"/>
        <v/>
      </c>
      <c r="C1363" s="14" t="str">
        <f ca="1">IF(I1362&lt;&gt;Variables!$B$1,IF(H1362&lt;&gt;0,C1362,I1362),"")</f>
        <v/>
      </c>
      <c r="D1363" s="29" t="str">
        <f t="shared" ca="1" si="112"/>
        <v/>
      </c>
      <c r="E1363" s="29" t="str">
        <f t="shared" ca="1" si="113"/>
        <v/>
      </c>
      <c r="F1363" s="29" t="str">
        <f ca="1">IF(C1363&lt;&gt;"",IF(OR(VLOOKUP(C1363,$C$3:$L$6,5,0)=Variables!$B$5,B1363&gt;VLOOKUP(C1363,$C$3:$L$6,8,0)),-D1363*VLOOKUP(C1363,$C$3:$L$6,6,0)/12,0),"")</f>
        <v/>
      </c>
      <c r="G1363" s="29" t="str">
        <f ca="1">IF(I1363&lt;&gt;Variables!$B$1,IF(C1363&lt;&gt;"",$I$9-E1363-F1363,""),-D1363)</f>
        <v/>
      </c>
      <c r="H1363" s="29" t="str">
        <f t="shared" ca="1" si="116"/>
        <v/>
      </c>
      <c r="I1363" s="31" t="str">
        <f ca="1">IF(C1363&lt;&gt;"",IF(D1363+$I$9-E1363-F1363&gt;=0,IF(ISERROR(INDEX($C$3:$C$6,MATCH(C1363,$C$3:$C$6,0)+1,0)),Variables!$B$1,INDEX($C$3:$C$6,MATCH(C1363,$C$3:$C$6,0)+1,0)),""),"")</f>
        <v/>
      </c>
      <c r="J1363" s="29" t="str">
        <f ca="1">IF(ISERROR(VLOOKUP(I1363,$C$3:$L$6,5,0)),"",IF(OR(VLOOKUP(I1363,$C$3:$L$6,5,0)=Variables!$B$5,B1363&gt;VLOOKUP(I1363,$C$3:$L$6,8,0)),IF(VLOOKUP(I1363,$C$3:$L$6,5,0)=Variables!$B$5,((YEAR(B1363)-YEAR($B$12))*12+MONTH(B1363)-MONTH($B$12)),((YEAR(B1363)-YEAR(VLOOKUP(I1363,$C$3:$L$6,8,0)))*12+MONTH(B1363)-MONTH(VLOOKUP(I1363,$C$3:$L$6,8,0))))*(VLOOKUP(I1363,$C$3:$L$6,10,0)*VLOOKUP(I1363,$C$3:$L$6,6,0)/12),0))</f>
        <v/>
      </c>
      <c r="K1363" s="29" t="str">
        <f ca="1">IF(C1363&lt;&gt;"",IF(I1363&lt;&gt;"",IF(ISERROR(VLOOKUP(I1363,$C$3:$L$6,10,0)),"",VLOOKUP(I1363,$C$3:$L$6,10,0)+J1363+IF(OR(VLOOKUP(I1363,$C$3:$L$6,5,0)=Variables!$B$5,B1363&gt;VLOOKUP(I1363,$C$3:$L$6,8,0)),IF(VLOOKUP(I1363,$C$3:$L$6,5,0)=Variables!$B$5,((YEAR(B1363)-YEAR($B$12))*12+MONTH(B1363)-MONTH($B$12)),((YEAR(B1363)-YEAR(VLOOKUP(I1363,$C$3:$L$6,8,0)))*12+MONTH(B1363)-MONTH(VLOOKUP(I1363,$C$3:$L$6,8,0))))*VLOOKUP(I1363,$C$3:$L$6,7,0),0)),""),"")</f>
        <v/>
      </c>
      <c r="L1363" s="29" t="str">
        <f t="shared" ca="1" si="114"/>
        <v/>
      </c>
    </row>
    <row r="1364" spans="2:12" x14ac:dyDescent="0.25">
      <c r="B1364" s="14" t="str">
        <f t="shared" ca="1" si="115"/>
        <v/>
      </c>
      <c r="C1364" s="14" t="str">
        <f ca="1">IF(I1363&lt;&gt;Variables!$B$1,IF(H1363&lt;&gt;0,C1363,I1363),"")</f>
        <v/>
      </c>
      <c r="D1364" s="29" t="str">
        <f t="shared" ca="1" si="112"/>
        <v/>
      </c>
      <c r="E1364" s="29" t="str">
        <f t="shared" ca="1" si="113"/>
        <v/>
      </c>
      <c r="F1364" s="29" t="str">
        <f ca="1">IF(C1364&lt;&gt;"",IF(OR(VLOOKUP(C1364,$C$3:$L$6,5,0)=Variables!$B$5,B1364&gt;VLOOKUP(C1364,$C$3:$L$6,8,0)),-D1364*VLOOKUP(C1364,$C$3:$L$6,6,0)/12,0),"")</f>
        <v/>
      </c>
      <c r="G1364" s="29" t="str">
        <f ca="1">IF(I1364&lt;&gt;Variables!$B$1,IF(C1364&lt;&gt;"",$I$9-E1364-F1364,""),-D1364)</f>
        <v/>
      </c>
      <c r="H1364" s="29" t="str">
        <f t="shared" ca="1" si="116"/>
        <v/>
      </c>
      <c r="I1364" s="31" t="str">
        <f ca="1">IF(C1364&lt;&gt;"",IF(D1364+$I$9-E1364-F1364&gt;=0,IF(ISERROR(INDEX($C$3:$C$6,MATCH(C1364,$C$3:$C$6,0)+1,0)),Variables!$B$1,INDEX($C$3:$C$6,MATCH(C1364,$C$3:$C$6,0)+1,0)),""),"")</f>
        <v/>
      </c>
      <c r="J1364" s="29" t="str">
        <f ca="1">IF(ISERROR(VLOOKUP(I1364,$C$3:$L$6,5,0)),"",IF(OR(VLOOKUP(I1364,$C$3:$L$6,5,0)=Variables!$B$5,B1364&gt;VLOOKUP(I1364,$C$3:$L$6,8,0)),IF(VLOOKUP(I1364,$C$3:$L$6,5,0)=Variables!$B$5,((YEAR(B1364)-YEAR($B$12))*12+MONTH(B1364)-MONTH($B$12)),((YEAR(B1364)-YEAR(VLOOKUP(I1364,$C$3:$L$6,8,0)))*12+MONTH(B1364)-MONTH(VLOOKUP(I1364,$C$3:$L$6,8,0))))*(VLOOKUP(I1364,$C$3:$L$6,10,0)*VLOOKUP(I1364,$C$3:$L$6,6,0)/12),0))</f>
        <v/>
      </c>
      <c r="K1364" s="29" t="str">
        <f ca="1">IF(C1364&lt;&gt;"",IF(I1364&lt;&gt;"",IF(ISERROR(VLOOKUP(I1364,$C$3:$L$6,10,0)),"",VLOOKUP(I1364,$C$3:$L$6,10,0)+J1364+IF(OR(VLOOKUP(I1364,$C$3:$L$6,5,0)=Variables!$B$5,B1364&gt;VLOOKUP(I1364,$C$3:$L$6,8,0)),IF(VLOOKUP(I1364,$C$3:$L$6,5,0)=Variables!$B$5,((YEAR(B1364)-YEAR($B$12))*12+MONTH(B1364)-MONTH($B$12)),((YEAR(B1364)-YEAR(VLOOKUP(I1364,$C$3:$L$6,8,0)))*12+MONTH(B1364)-MONTH(VLOOKUP(I1364,$C$3:$L$6,8,0))))*VLOOKUP(I1364,$C$3:$L$6,7,0),0)),""),"")</f>
        <v/>
      </c>
      <c r="L1364" s="29" t="str">
        <f t="shared" ca="1" si="114"/>
        <v/>
      </c>
    </row>
    <row r="1365" spans="2:12" x14ac:dyDescent="0.25">
      <c r="B1365" s="14" t="str">
        <f t="shared" ca="1" si="115"/>
        <v/>
      </c>
      <c r="C1365" s="14" t="str">
        <f ca="1">IF(I1364&lt;&gt;Variables!$B$1,IF(H1364&lt;&gt;0,C1364,I1364),"")</f>
        <v/>
      </c>
      <c r="D1365" s="29" t="str">
        <f t="shared" ca="1" si="112"/>
        <v/>
      </c>
      <c r="E1365" s="29" t="str">
        <f t="shared" ca="1" si="113"/>
        <v/>
      </c>
      <c r="F1365" s="29" t="str">
        <f ca="1">IF(C1365&lt;&gt;"",IF(OR(VLOOKUP(C1365,$C$3:$L$6,5,0)=Variables!$B$5,B1365&gt;VLOOKUP(C1365,$C$3:$L$6,8,0)),-D1365*VLOOKUP(C1365,$C$3:$L$6,6,0)/12,0),"")</f>
        <v/>
      </c>
      <c r="G1365" s="29" t="str">
        <f ca="1">IF(I1365&lt;&gt;Variables!$B$1,IF(C1365&lt;&gt;"",$I$9-E1365-F1365,""),-D1365)</f>
        <v/>
      </c>
      <c r="H1365" s="29" t="str">
        <f t="shared" ca="1" si="116"/>
        <v/>
      </c>
      <c r="I1365" s="31" t="str">
        <f ca="1">IF(C1365&lt;&gt;"",IF(D1365+$I$9-E1365-F1365&gt;=0,IF(ISERROR(INDEX($C$3:$C$6,MATCH(C1365,$C$3:$C$6,0)+1,0)),Variables!$B$1,INDEX($C$3:$C$6,MATCH(C1365,$C$3:$C$6,0)+1,0)),""),"")</f>
        <v/>
      </c>
      <c r="J1365" s="29" t="str">
        <f ca="1">IF(ISERROR(VLOOKUP(I1365,$C$3:$L$6,5,0)),"",IF(OR(VLOOKUP(I1365,$C$3:$L$6,5,0)=Variables!$B$5,B1365&gt;VLOOKUP(I1365,$C$3:$L$6,8,0)),IF(VLOOKUP(I1365,$C$3:$L$6,5,0)=Variables!$B$5,((YEAR(B1365)-YEAR($B$12))*12+MONTH(B1365)-MONTH($B$12)),((YEAR(B1365)-YEAR(VLOOKUP(I1365,$C$3:$L$6,8,0)))*12+MONTH(B1365)-MONTH(VLOOKUP(I1365,$C$3:$L$6,8,0))))*(VLOOKUP(I1365,$C$3:$L$6,10,0)*VLOOKUP(I1365,$C$3:$L$6,6,0)/12),0))</f>
        <v/>
      </c>
      <c r="K1365" s="29" t="str">
        <f ca="1">IF(C1365&lt;&gt;"",IF(I1365&lt;&gt;"",IF(ISERROR(VLOOKUP(I1365,$C$3:$L$6,10,0)),"",VLOOKUP(I1365,$C$3:$L$6,10,0)+J1365+IF(OR(VLOOKUP(I1365,$C$3:$L$6,5,0)=Variables!$B$5,B1365&gt;VLOOKUP(I1365,$C$3:$L$6,8,0)),IF(VLOOKUP(I1365,$C$3:$L$6,5,0)=Variables!$B$5,((YEAR(B1365)-YEAR($B$12))*12+MONTH(B1365)-MONTH($B$12)),((YEAR(B1365)-YEAR(VLOOKUP(I1365,$C$3:$L$6,8,0)))*12+MONTH(B1365)-MONTH(VLOOKUP(I1365,$C$3:$L$6,8,0))))*VLOOKUP(I1365,$C$3:$L$6,7,0),0)),""),"")</f>
        <v/>
      </c>
      <c r="L1365" s="29" t="str">
        <f t="shared" ca="1" si="114"/>
        <v/>
      </c>
    </row>
    <row r="1366" spans="2:12" x14ac:dyDescent="0.25">
      <c r="B1366" s="14" t="str">
        <f t="shared" ca="1" si="115"/>
        <v/>
      </c>
      <c r="C1366" s="14" t="str">
        <f ca="1">IF(I1365&lt;&gt;Variables!$B$1,IF(H1365&lt;&gt;0,C1365,I1365),"")</f>
        <v/>
      </c>
      <c r="D1366" s="29" t="str">
        <f t="shared" ca="1" si="112"/>
        <v/>
      </c>
      <c r="E1366" s="29" t="str">
        <f t="shared" ca="1" si="113"/>
        <v/>
      </c>
      <c r="F1366" s="29" t="str">
        <f ca="1">IF(C1366&lt;&gt;"",IF(OR(VLOOKUP(C1366,$C$3:$L$6,5,0)=Variables!$B$5,B1366&gt;VLOOKUP(C1366,$C$3:$L$6,8,0)),-D1366*VLOOKUP(C1366,$C$3:$L$6,6,0)/12,0),"")</f>
        <v/>
      </c>
      <c r="G1366" s="29" t="str">
        <f ca="1">IF(I1366&lt;&gt;Variables!$B$1,IF(C1366&lt;&gt;"",$I$9-E1366-F1366,""),-D1366)</f>
        <v/>
      </c>
      <c r="H1366" s="29" t="str">
        <f t="shared" ca="1" si="116"/>
        <v/>
      </c>
      <c r="I1366" s="31" t="str">
        <f ca="1">IF(C1366&lt;&gt;"",IF(D1366+$I$9-E1366-F1366&gt;=0,IF(ISERROR(INDEX($C$3:$C$6,MATCH(C1366,$C$3:$C$6,0)+1,0)),Variables!$B$1,INDEX($C$3:$C$6,MATCH(C1366,$C$3:$C$6,0)+1,0)),""),"")</f>
        <v/>
      </c>
      <c r="J1366" s="29" t="str">
        <f ca="1">IF(ISERROR(VLOOKUP(I1366,$C$3:$L$6,5,0)),"",IF(OR(VLOOKUP(I1366,$C$3:$L$6,5,0)=Variables!$B$5,B1366&gt;VLOOKUP(I1366,$C$3:$L$6,8,0)),IF(VLOOKUP(I1366,$C$3:$L$6,5,0)=Variables!$B$5,((YEAR(B1366)-YEAR($B$12))*12+MONTH(B1366)-MONTH($B$12)),((YEAR(B1366)-YEAR(VLOOKUP(I1366,$C$3:$L$6,8,0)))*12+MONTH(B1366)-MONTH(VLOOKUP(I1366,$C$3:$L$6,8,0))))*(VLOOKUP(I1366,$C$3:$L$6,10,0)*VLOOKUP(I1366,$C$3:$L$6,6,0)/12),0))</f>
        <v/>
      </c>
      <c r="K1366" s="29" t="str">
        <f ca="1">IF(C1366&lt;&gt;"",IF(I1366&lt;&gt;"",IF(ISERROR(VLOOKUP(I1366,$C$3:$L$6,10,0)),"",VLOOKUP(I1366,$C$3:$L$6,10,0)+J1366+IF(OR(VLOOKUP(I1366,$C$3:$L$6,5,0)=Variables!$B$5,B1366&gt;VLOOKUP(I1366,$C$3:$L$6,8,0)),IF(VLOOKUP(I1366,$C$3:$L$6,5,0)=Variables!$B$5,((YEAR(B1366)-YEAR($B$12))*12+MONTH(B1366)-MONTH($B$12)),((YEAR(B1366)-YEAR(VLOOKUP(I1366,$C$3:$L$6,8,0)))*12+MONTH(B1366)-MONTH(VLOOKUP(I1366,$C$3:$L$6,8,0))))*VLOOKUP(I1366,$C$3:$L$6,7,0),0)),""),"")</f>
        <v/>
      </c>
      <c r="L1366" s="29" t="str">
        <f t="shared" ca="1" si="114"/>
        <v/>
      </c>
    </row>
    <row r="1367" spans="2:12" x14ac:dyDescent="0.25">
      <c r="B1367" s="14" t="str">
        <f t="shared" ca="1" si="115"/>
        <v/>
      </c>
      <c r="C1367" s="14" t="str">
        <f ca="1">IF(I1366&lt;&gt;Variables!$B$1,IF(H1366&lt;&gt;0,C1366,I1366),"")</f>
        <v/>
      </c>
      <c r="D1367" s="29" t="str">
        <f t="shared" ca="1" si="112"/>
        <v/>
      </c>
      <c r="E1367" s="29" t="str">
        <f t="shared" ca="1" si="113"/>
        <v/>
      </c>
      <c r="F1367" s="29" t="str">
        <f ca="1">IF(C1367&lt;&gt;"",IF(OR(VLOOKUP(C1367,$C$3:$L$6,5,0)=Variables!$B$5,B1367&gt;VLOOKUP(C1367,$C$3:$L$6,8,0)),-D1367*VLOOKUP(C1367,$C$3:$L$6,6,0)/12,0),"")</f>
        <v/>
      </c>
      <c r="G1367" s="29" t="str">
        <f ca="1">IF(I1367&lt;&gt;Variables!$B$1,IF(C1367&lt;&gt;"",$I$9-E1367-F1367,""),-D1367)</f>
        <v/>
      </c>
      <c r="H1367" s="29" t="str">
        <f t="shared" ca="1" si="116"/>
        <v/>
      </c>
      <c r="I1367" s="31" t="str">
        <f ca="1">IF(C1367&lt;&gt;"",IF(D1367+$I$9-E1367-F1367&gt;=0,IF(ISERROR(INDEX($C$3:$C$6,MATCH(C1367,$C$3:$C$6,0)+1,0)),Variables!$B$1,INDEX($C$3:$C$6,MATCH(C1367,$C$3:$C$6,0)+1,0)),""),"")</f>
        <v/>
      </c>
      <c r="J1367" s="29" t="str">
        <f ca="1">IF(ISERROR(VLOOKUP(I1367,$C$3:$L$6,5,0)),"",IF(OR(VLOOKUP(I1367,$C$3:$L$6,5,0)=Variables!$B$5,B1367&gt;VLOOKUP(I1367,$C$3:$L$6,8,0)),IF(VLOOKUP(I1367,$C$3:$L$6,5,0)=Variables!$B$5,((YEAR(B1367)-YEAR($B$12))*12+MONTH(B1367)-MONTH($B$12)),((YEAR(B1367)-YEAR(VLOOKUP(I1367,$C$3:$L$6,8,0)))*12+MONTH(B1367)-MONTH(VLOOKUP(I1367,$C$3:$L$6,8,0))))*(VLOOKUP(I1367,$C$3:$L$6,10,0)*VLOOKUP(I1367,$C$3:$L$6,6,0)/12),0))</f>
        <v/>
      </c>
      <c r="K1367" s="29" t="str">
        <f ca="1">IF(C1367&lt;&gt;"",IF(I1367&lt;&gt;"",IF(ISERROR(VLOOKUP(I1367,$C$3:$L$6,10,0)),"",VLOOKUP(I1367,$C$3:$L$6,10,0)+J1367+IF(OR(VLOOKUP(I1367,$C$3:$L$6,5,0)=Variables!$B$5,B1367&gt;VLOOKUP(I1367,$C$3:$L$6,8,0)),IF(VLOOKUP(I1367,$C$3:$L$6,5,0)=Variables!$B$5,((YEAR(B1367)-YEAR($B$12))*12+MONTH(B1367)-MONTH($B$12)),((YEAR(B1367)-YEAR(VLOOKUP(I1367,$C$3:$L$6,8,0)))*12+MONTH(B1367)-MONTH(VLOOKUP(I1367,$C$3:$L$6,8,0))))*VLOOKUP(I1367,$C$3:$L$6,7,0),0)),""),"")</f>
        <v/>
      </c>
      <c r="L1367" s="29" t="str">
        <f t="shared" ca="1" si="114"/>
        <v/>
      </c>
    </row>
    <row r="1368" spans="2:12" x14ac:dyDescent="0.25">
      <c r="B1368" s="14" t="str">
        <f t="shared" ca="1" si="115"/>
        <v/>
      </c>
      <c r="C1368" s="14" t="str">
        <f ca="1">IF(I1367&lt;&gt;Variables!$B$1,IF(H1367&lt;&gt;0,C1367,I1367),"")</f>
        <v/>
      </c>
      <c r="D1368" s="29" t="str">
        <f t="shared" ca="1" si="112"/>
        <v/>
      </c>
      <c r="E1368" s="29" t="str">
        <f t="shared" ca="1" si="113"/>
        <v/>
      </c>
      <c r="F1368" s="29" t="str">
        <f ca="1">IF(C1368&lt;&gt;"",IF(OR(VLOOKUP(C1368,$C$3:$L$6,5,0)=Variables!$B$5,B1368&gt;VLOOKUP(C1368,$C$3:$L$6,8,0)),-D1368*VLOOKUP(C1368,$C$3:$L$6,6,0)/12,0),"")</f>
        <v/>
      </c>
      <c r="G1368" s="29" t="str">
        <f ca="1">IF(I1368&lt;&gt;Variables!$B$1,IF(C1368&lt;&gt;"",$I$9-E1368-F1368,""),-D1368)</f>
        <v/>
      </c>
      <c r="H1368" s="29" t="str">
        <f t="shared" ca="1" si="116"/>
        <v/>
      </c>
      <c r="I1368" s="31" t="str">
        <f ca="1">IF(C1368&lt;&gt;"",IF(D1368+$I$9-E1368-F1368&gt;=0,IF(ISERROR(INDEX($C$3:$C$6,MATCH(C1368,$C$3:$C$6,0)+1,0)),Variables!$B$1,INDEX($C$3:$C$6,MATCH(C1368,$C$3:$C$6,0)+1,0)),""),"")</f>
        <v/>
      </c>
      <c r="J1368" s="29" t="str">
        <f ca="1">IF(ISERROR(VLOOKUP(I1368,$C$3:$L$6,5,0)),"",IF(OR(VLOOKUP(I1368,$C$3:$L$6,5,0)=Variables!$B$5,B1368&gt;VLOOKUP(I1368,$C$3:$L$6,8,0)),IF(VLOOKUP(I1368,$C$3:$L$6,5,0)=Variables!$B$5,((YEAR(B1368)-YEAR($B$12))*12+MONTH(B1368)-MONTH($B$12)),((YEAR(B1368)-YEAR(VLOOKUP(I1368,$C$3:$L$6,8,0)))*12+MONTH(B1368)-MONTH(VLOOKUP(I1368,$C$3:$L$6,8,0))))*(VLOOKUP(I1368,$C$3:$L$6,10,0)*VLOOKUP(I1368,$C$3:$L$6,6,0)/12),0))</f>
        <v/>
      </c>
      <c r="K1368" s="29" t="str">
        <f ca="1">IF(C1368&lt;&gt;"",IF(I1368&lt;&gt;"",IF(ISERROR(VLOOKUP(I1368,$C$3:$L$6,10,0)),"",VLOOKUP(I1368,$C$3:$L$6,10,0)+J1368+IF(OR(VLOOKUP(I1368,$C$3:$L$6,5,0)=Variables!$B$5,B1368&gt;VLOOKUP(I1368,$C$3:$L$6,8,0)),IF(VLOOKUP(I1368,$C$3:$L$6,5,0)=Variables!$B$5,((YEAR(B1368)-YEAR($B$12))*12+MONTH(B1368)-MONTH($B$12)),((YEAR(B1368)-YEAR(VLOOKUP(I1368,$C$3:$L$6,8,0)))*12+MONTH(B1368)-MONTH(VLOOKUP(I1368,$C$3:$L$6,8,0))))*VLOOKUP(I1368,$C$3:$L$6,7,0),0)),""),"")</f>
        <v/>
      </c>
      <c r="L1368" s="29" t="str">
        <f t="shared" ca="1" si="114"/>
        <v/>
      </c>
    </row>
    <row r="1369" spans="2:12" x14ac:dyDescent="0.25">
      <c r="B1369" s="14" t="str">
        <f t="shared" ca="1" si="115"/>
        <v/>
      </c>
      <c r="C1369" s="14" t="str">
        <f ca="1">IF(I1368&lt;&gt;Variables!$B$1,IF(H1368&lt;&gt;0,C1368,I1368),"")</f>
        <v/>
      </c>
      <c r="D1369" s="29" t="str">
        <f t="shared" ca="1" si="112"/>
        <v/>
      </c>
      <c r="E1369" s="29" t="str">
        <f t="shared" ca="1" si="113"/>
        <v/>
      </c>
      <c r="F1369" s="29" t="str">
        <f ca="1">IF(C1369&lt;&gt;"",IF(OR(VLOOKUP(C1369,$C$3:$L$6,5,0)=Variables!$B$5,B1369&gt;VLOOKUP(C1369,$C$3:$L$6,8,0)),-D1369*VLOOKUP(C1369,$C$3:$L$6,6,0)/12,0),"")</f>
        <v/>
      </c>
      <c r="G1369" s="29" t="str">
        <f ca="1">IF(I1369&lt;&gt;Variables!$B$1,IF(C1369&lt;&gt;"",$I$9-E1369-F1369,""),-D1369)</f>
        <v/>
      </c>
      <c r="H1369" s="29" t="str">
        <f t="shared" ca="1" si="116"/>
        <v/>
      </c>
      <c r="I1369" s="31" t="str">
        <f ca="1">IF(C1369&lt;&gt;"",IF(D1369+$I$9-E1369-F1369&gt;=0,IF(ISERROR(INDEX($C$3:$C$6,MATCH(C1369,$C$3:$C$6,0)+1,0)),Variables!$B$1,INDEX($C$3:$C$6,MATCH(C1369,$C$3:$C$6,0)+1,0)),""),"")</f>
        <v/>
      </c>
      <c r="J1369" s="29" t="str">
        <f ca="1">IF(ISERROR(VLOOKUP(I1369,$C$3:$L$6,5,0)),"",IF(OR(VLOOKUP(I1369,$C$3:$L$6,5,0)=Variables!$B$5,B1369&gt;VLOOKUP(I1369,$C$3:$L$6,8,0)),IF(VLOOKUP(I1369,$C$3:$L$6,5,0)=Variables!$B$5,((YEAR(B1369)-YEAR($B$12))*12+MONTH(B1369)-MONTH($B$12)),((YEAR(B1369)-YEAR(VLOOKUP(I1369,$C$3:$L$6,8,0)))*12+MONTH(B1369)-MONTH(VLOOKUP(I1369,$C$3:$L$6,8,0))))*(VLOOKUP(I1369,$C$3:$L$6,10,0)*VLOOKUP(I1369,$C$3:$L$6,6,0)/12),0))</f>
        <v/>
      </c>
      <c r="K1369" s="29" t="str">
        <f ca="1">IF(C1369&lt;&gt;"",IF(I1369&lt;&gt;"",IF(ISERROR(VLOOKUP(I1369,$C$3:$L$6,10,0)),"",VLOOKUP(I1369,$C$3:$L$6,10,0)+J1369+IF(OR(VLOOKUP(I1369,$C$3:$L$6,5,0)=Variables!$B$5,B1369&gt;VLOOKUP(I1369,$C$3:$L$6,8,0)),IF(VLOOKUP(I1369,$C$3:$L$6,5,0)=Variables!$B$5,((YEAR(B1369)-YEAR($B$12))*12+MONTH(B1369)-MONTH($B$12)),((YEAR(B1369)-YEAR(VLOOKUP(I1369,$C$3:$L$6,8,0)))*12+MONTH(B1369)-MONTH(VLOOKUP(I1369,$C$3:$L$6,8,0))))*VLOOKUP(I1369,$C$3:$L$6,7,0),0)),""),"")</f>
        <v/>
      </c>
      <c r="L1369" s="29" t="str">
        <f t="shared" ca="1" si="114"/>
        <v/>
      </c>
    </row>
    <row r="1370" spans="2:12" x14ac:dyDescent="0.25">
      <c r="B1370" s="14" t="str">
        <f t="shared" ca="1" si="115"/>
        <v/>
      </c>
      <c r="C1370" s="14" t="str">
        <f ca="1">IF(I1369&lt;&gt;Variables!$B$1,IF(H1369&lt;&gt;0,C1369,I1369),"")</f>
        <v/>
      </c>
      <c r="D1370" s="29" t="str">
        <f t="shared" ca="1" si="112"/>
        <v/>
      </c>
      <c r="E1370" s="29" t="str">
        <f t="shared" ca="1" si="113"/>
        <v/>
      </c>
      <c r="F1370" s="29" t="str">
        <f ca="1">IF(C1370&lt;&gt;"",IF(OR(VLOOKUP(C1370,$C$3:$L$6,5,0)=Variables!$B$5,B1370&gt;VLOOKUP(C1370,$C$3:$L$6,8,0)),-D1370*VLOOKUP(C1370,$C$3:$L$6,6,0)/12,0),"")</f>
        <v/>
      </c>
      <c r="G1370" s="29" t="str">
        <f ca="1">IF(I1370&lt;&gt;Variables!$B$1,IF(C1370&lt;&gt;"",$I$9-E1370-F1370,""),-D1370)</f>
        <v/>
      </c>
      <c r="H1370" s="29" t="str">
        <f t="shared" ca="1" si="116"/>
        <v/>
      </c>
      <c r="I1370" s="31" t="str">
        <f ca="1">IF(C1370&lt;&gt;"",IF(D1370+$I$9-E1370-F1370&gt;=0,IF(ISERROR(INDEX($C$3:$C$6,MATCH(C1370,$C$3:$C$6,0)+1,0)),Variables!$B$1,INDEX($C$3:$C$6,MATCH(C1370,$C$3:$C$6,0)+1,0)),""),"")</f>
        <v/>
      </c>
      <c r="J1370" s="29" t="str">
        <f ca="1">IF(ISERROR(VLOOKUP(I1370,$C$3:$L$6,5,0)),"",IF(OR(VLOOKUP(I1370,$C$3:$L$6,5,0)=Variables!$B$5,B1370&gt;VLOOKUP(I1370,$C$3:$L$6,8,0)),IF(VLOOKUP(I1370,$C$3:$L$6,5,0)=Variables!$B$5,((YEAR(B1370)-YEAR($B$12))*12+MONTH(B1370)-MONTH($B$12)),((YEAR(B1370)-YEAR(VLOOKUP(I1370,$C$3:$L$6,8,0)))*12+MONTH(B1370)-MONTH(VLOOKUP(I1370,$C$3:$L$6,8,0))))*(VLOOKUP(I1370,$C$3:$L$6,10,0)*VLOOKUP(I1370,$C$3:$L$6,6,0)/12),0))</f>
        <v/>
      </c>
      <c r="K1370" s="29" t="str">
        <f ca="1">IF(C1370&lt;&gt;"",IF(I1370&lt;&gt;"",IF(ISERROR(VLOOKUP(I1370,$C$3:$L$6,10,0)),"",VLOOKUP(I1370,$C$3:$L$6,10,0)+J1370+IF(OR(VLOOKUP(I1370,$C$3:$L$6,5,0)=Variables!$B$5,B1370&gt;VLOOKUP(I1370,$C$3:$L$6,8,0)),IF(VLOOKUP(I1370,$C$3:$L$6,5,0)=Variables!$B$5,((YEAR(B1370)-YEAR($B$12))*12+MONTH(B1370)-MONTH($B$12)),((YEAR(B1370)-YEAR(VLOOKUP(I1370,$C$3:$L$6,8,0)))*12+MONTH(B1370)-MONTH(VLOOKUP(I1370,$C$3:$L$6,8,0))))*VLOOKUP(I1370,$C$3:$L$6,7,0),0)),""),"")</f>
        <v/>
      </c>
      <c r="L1370" s="29" t="str">
        <f t="shared" ca="1" si="114"/>
        <v/>
      </c>
    </row>
    <row r="1371" spans="2:12" x14ac:dyDescent="0.25">
      <c r="B1371" s="14" t="str">
        <f t="shared" ca="1" si="115"/>
        <v/>
      </c>
      <c r="C1371" s="14" t="str">
        <f ca="1">IF(I1370&lt;&gt;Variables!$B$1,IF(H1370&lt;&gt;0,C1370,I1370),"")</f>
        <v/>
      </c>
      <c r="D1371" s="29" t="str">
        <f t="shared" ca="1" si="112"/>
        <v/>
      </c>
      <c r="E1371" s="29" t="str">
        <f t="shared" ca="1" si="113"/>
        <v/>
      </c>
      <c r="F1371" s="29" t="str">
        <f ca="1">IF(C1371&lt;&gt;"",IF(OR(VLOOKUP(C1371,$C$3:$L$6,5,0)=Variables!$B$5,B1371&gt;VLOOKUP(C1371,$C$3:$L$6,8,0)),-D1371*VLOOKUP(C1371,$C$3:$L$6,6,0)/12,0),"")</f>
        <v/>
      </c>
      <c r="G1371" s="29" t="str">
        <f ca="1">IF(I1371&lt;&gt;Variables!$B$1,IF(C1371&lt;&gt;"",$I$9-E1371-F1371,""),-D1371)</f>
        <v/>
      </c>
      <c r="H1371" s="29" t="str">
        <f t="shared" ca="1" si="116"/>
        <v/>
      </c>
      <c r="I1371" s="31" t="str">
        <f ca="1">IF(C1371&lt;&gt;"",IF(D1371+$I$9-E1371-F1371&gt;=0,IF(ISERROR(INDEX($C$3:$C$6,MATCH(C1371,$C$3:$C$6,0)+1,0)),Variables!$B$1,INDEX($C$3:$C$6,MATCH(C1371,$C$3:$C$6,0)+1,0)),""),"")</f>
        <v/>
      </c>
      <c r="J1371" s="29" t="str">
        <f ca="1">IF(ISERROR(VLOOKUP(I1371,$C$3:$L$6,5,0)),"",IF(OR(VLOOKUP(I1371,$C$3:$L$6,5,0)=Variables!$B$5,B1371&gt;VLOOKUP(I1371,$C$3:$L$6,8,0)),IF(VLOOKUP(I1371,$C$3:$L$6,5,0)=Variables!$B$5,((YEAR(B1371)-YEAR($B$12))*12+MONTH(B1371)-MONTH($B$12)),((YEAR(B1371)-YEAR(VLOOKUP(I1371,$C$3:$L$6,8,0)))*12+MONTH(B1371)-MONTH(VLOOKUP(I1371,$C$3:$L$6,8,0))))*(VLOOKUP(I1371,$C$3:$L$6,10,0)*VLOOKUP(I1371,$C$3:$L$6,6,0)/12),0))</f>
        <v/>
      </c>
      <c r="K1371" s="29" t="str">
        <f ca="1">IF(C1371&lt;&gt;"",IF(I1371&lt;&gt;"",IF(ISERROR(VLOOKUP(I1371,$C$3:$L$6,10,0)),"",VLOOKUP(I1371,$C$3:$L$6,10,0)+J1371+IF(OR(VLOOKUP(I1371,$C$3:$L$6,5,0)=Variables!$B$5,B1371&gt;VLOOKUP(I1371,$C$3:$L$6,8,0)),IF(VLOOKUP(I1371,$C$3:$L$6,5,0)=Variables!$B$5,((YEAR(B1371)-YEAR($B$12))*12+MONTH(B1371)-MONTH($B$12)),((YEAR(B1371)-YEAR(VLOOKUP(I1371,$C$3:$L$6,8,0)))*12+MONTH(B1371)-MONTH(VLOOKUP(I1371,$C$3:$L$6,8,0))))*VLOOKUP(I1371,$C$3:$L$6,7,0),0)),""),"")</f>
        <v/>
      </c>
      <c r="L1371" s="29" t="str">
        <f t="shared" ca="1" si="114"/>
        <v/>
      </c>
    </row>
    <row r="1372" spans="2:12" x14ac:dyDescent="0.25">
      <c r="B1372" s="14" t="str">
        <f t="shared" ca="1" si="115"/>
        <v/>
      </c>
      <c r="C1372" s="14" t="str">
        <f ca="1">IF(I1371&lt;&gt;Variables!$B$1,IF(H1371&lt;&gt;0,C1371,I1371),"")</f>
        <v/>
      </c>
      <c r="D1372" s="29" t="str">
        <f t="shared" ref="D1372:D1435" ca="1" si="117">IF(C1372&lt;&gt;"",IF(H1371&lt;&gt;0,H1371,L1371),"")</f>
        <v/>
      </c>
      <c r="E1372" s="29" t="str">
        <f t="shared" ref="E1372:E1435" ca="1" si="118">IF(C1372&lt;&gt;"",MINPAYMENT(C1372,ROW(B1372),COLUMN(B1372)),"")</f>
        <v/>
      </c>
      <c r="F1372" s="29" t="str">
        <f ca="1">IF(C1372&lt;&gt;"",IF(OR(VLOOKUP(C1372,$C$3:$L$6,5,0)=Variables!$B$5,B1372&gt;VLOOKUP(C1372,$C$3:$L$6,8,0)),-D1372*VLOOKUP(C1372,$C$3:$L$6,6,0)/12,0),"")</f>
        <v/>
      </c>
      <c r="G1372" s="29" t="str">
        <f ca="1">IF(I1372&lt;&gt;Variables!$B$1,IF(C1372&lt;&gt;"",$I$9-E1372-F1372,""),-D1372)</f>
        <v/>
      </c>
      <c r="H1372" s="29" t="str">
        <f t="shared" ca="1" si="116"/>
        <v/>
      </c>
      <c r="I1372" s="31" t="str">
        <f ca="1">IF(C1372&lt;&gt;"",IF(D1372+$I$9-E1372-F1372&gt;=0,IF(ISERROR(INDEX($C$3:$C$6,MATCH(C1372,$C$3:$C$6,0)+1,0)),Variables!$B$1,INDEX($C$3:$C$6,MATCH(C1372,$C$3:$C$6,0)+1,0)),""),"")</f>
        <v/>
      </c>
      <c r="J1372" s="29" t="str">
        <f ca="1">IF(ISERROR(VLOOKUP(I1372,$C$3:$L$6,5,0)),"",IF(OR(VLOOKUP(I1372,$C$3:$L$6,5,0)=Variables!$B$5,B1372&gt;VLOOKUP(I1372,$C$3:$L$6,8,0)),IF(VLOOKUP(I1372,$C$3:$L$6,5,0)=Variables!$B$5,((YEAR(B1372)-YEAR($B$12))*12+MONTH(B1372)-MONTH($B$12)),((YEAR(B1372)-YEAR(VLOOKUP(I1372,$C$3:$L$6,8,0)))*12+MONTH(B1372)-MONTH(VLOOKUP(I1372,$C$3:$L$6,8,0))))*(VLOOKUP(I1372,$C$3:$L$6,10,0)*VLOOKUP(I1372,$C$3:$L$6,6,0)/12),0))</f>
        <v/>
      </c>
      <c r="K1372" s="29" t="str">
        <f ca="1">IF(C1372&lt;&gt;"",IF(I1372&lt;&gt;"",IF(ISERROR(VLOOKUP(I1372,$C$3:$L$6,10,0)),"",VLOOKUP(I1372,$C$3:$L$6,10,0)+J1372+IF(OR(VLOOKUP(I1372,$C$3:$L$6,5,0)=Variables!$B$5,B1372&gt;VLOOKUP(I1372,$C$3:$L$6,8,0)),IF(VLOOKUP(I1372,$C$3:$L$6,5,0)=Variables!$B$5,((YEAR(B1372)-YEAR($B$12))*12+MONTH(B1372)-MONTH($B$12)),((YEAR(B1372)-YEAR(VLOOKUP(I1372,$C$3:$L$6,8,0)))*12+MONTH(B1372)-MONTH(VLOOKUP(I1372,$C$3:$L$6,8,0))))*VLOOKUP(I1372,$C$3:$L$6,7,0),0)),""),"")</f>
        <v/>
      </c>
      <c r="L1372" s="29" t="str">
        <f t="shared" ref="L1372:L1435" ca="1" si="119">IF(C1372&lt;&gt;"",IF(ISERROR(IF(D1372+G1372&gt;=0,K1372+D1372+G1372,"")),"",IF(D1372+G1372&gt;=0,K1372+D1372+G1372,"")),"")</f>
        <v/>
      </c>
    </row>
    <row r="1373" spans="2:12" x14ac:dyDescent="0.25">
      <c r="B1373" s="14" t="str">
        <f t="shared" ref="B1373:B1436" ca="1" si="120">IF(C1373&lt;&gt;"",DATE(YEAR(B1372),MONTH(B1372)+1,DAY(B1372)),"")</f>
        <v/>
      </c>
      <c r="C1373" s="14" t="str">
        <f ca="1">IF(I1372&lt;&gt;Variables!$B$1,IF(H1372&lt;&gt;0,C1372,I1372),"")</f>
        <v/>
      </c>
      <c r="D1373" s="29" t="str">
        <f t="shared" ca="1" si="117"/>
        <v/>
      </c>
      <c r="E1373" s="29" t="str">
        <f t="shared" ca="1" si="118"/>
        <v/>
      </c>
      <c r="F1373" s="29" t="str">
        <f ca="1">IF(C1373&lt;&gt;"",IF(OR(VLOOKUP(C1373,$C$3:$L$6,5,0)=Variables!$B$5,B1373&gt;VLOOKUP(C1373,$C$3:$L$6,8,0)),-D1373*VLOOKUP(C1373,$C$3:$L$6,6,0)/12,0),"")</f>
        <v/>
      </c>
      <c r="G1373" s="29" t="str">
        <f ca="1">IF(I1373&lt;&gt;Variables!$B$1,IF(C1373&lt;&gt;"",$I$9-E1373-F1373,""),-D1373)</f>
        <v/>
      </c>
      <c r="H1373" s="29" t="str">
        <f t="shared" ref="H1373:H1436" ca="1" si="121">IF(C1373&lt;&gt;"",IF(D1373+G1373&lt;0,D1373+G1373,0),"")</f>
        <v/>
      </c>
      <c r="I1373" s="31" t="str">
        <f ca="1">IF(C1373&lt;&gt;"",IF(D1373+$I$9-E1373-F1373&gt;=0,IF(ISERROR(INDEX($C$3:$C$6,MATCH(C1373,$C$3:$C$6,0)+1,0)),Variables!$B$1,INDEX($C$3:$C$6,MATCH(C1373,$C$3:$C$6,0)+1,0)),""),"")</f>
        <v/>
      </c>
      <c r="J1373" s="29" t="str">
        <f ca="1">IF(ISERROR(VLOOKUP(I1373,$C$3:$L$6,5,0)),"",IF(OR(VLOOKUP(I1373,$C$3:$L$6,5,0)=Variables!$B$5,B1373&gt;VLOOKUP(I1373,$C$3:$L$6,8,0)),IF(VLOOKUP(I1373,$C$3:$L$6,5,0)=Variables!$B$5,((YEAR(B1373)-YEAR($B$12))*12+MONTH(B1373)-MONTH($B$12)),((YEAR(B1373)-YEAR(VLOOKUP(I1373,$C$3:$L$6,8,0)))*12+MONTH(B1373)-MONTH(VLOOKUP(I1373,$C$3:$L$6,8,0))))*(VLOOKUP(I1373,$C$3:$L$6,10,0)*VLOOKUP(I1373,$C$3:$L$6,6,0)/12),0))</f>
        <v/>
      </c>
      <c r="K1373" s="29" t="str">
        <f ca="1">IF(C1373&lt;&gt;"",IF(I1373&lt;&gt;"",IF(ISERROR(VLOOKUP(I1373,$C$3:$L$6,10,0)),"",VLOOKUP(I1373,$C$3:$L$6,10,0)+J1373+IF(OR(VLOOKUP(I1373,$C$3:$L$6,5,0)=Variables!$B$5,B1373&gt;VLOOKUP(I1373,$C$3:$L$6,8,0)),IF(VLOOKUP(I1373,$C$3:$L$6,5,0)=Variables!$B$5,((YEAR(B1373)-YEAR($B$12))*12+MONTH(B1373)-MONTH($B$12)),((YEAR(B1373)-YEAR(VLOOKUP(I1373,$C$3:$L$6,8,0)))*12+MONTH(B1373)-MONTH(VLOOKUP(I1373,$C$3:$L$6,8,0))))*VLOOKUP(I1373,$C$3:$L$6,7,0),0)),""),"")</f>
        <v/>
      </c>
      <c r="L1373" s="29" t="str">
        <f t="shared" ca="1" si="119"/>
        <v/>
      </c>
    </row>
    <row r="1374" spans="2:12" x14ac:dyDescent="0.25">
      <c r="B1374" s="14" t="str">
        <f t="shared" ca="1" si="120"/>
        <v/>
      </c>
      <c r="C1374" s="14" t="str">
        <f ca="1">IF(I1373&lt;&gt;Variables!$B$1,IF(H1373&lt;&gt;0,C1373,I1373),"")</f>
        <v/>
      </c>
      <c r="D1374" s="29" t="str">
        <f t="shared" ca="1" si="117"/>
        <v/>
      </c>
      <c r="E1374" s="29" t="str">
        <f t="shared" ca="1" si="118"/>
        <v/>
      </c>
      <c r="F1374" s="29" t="str">
        <f ca="1">IF(C1374&lt;&gt;"",IF(OR(VLOOKUP(C1374,$C$3:$L$6,5,0)=Variables!$B$5,B1374&gt;VLOOKUP(C1374,$C$3:$L$6,8,0)),-D1374*VLOOKUP(C1374,$C$3:$L$6,6,0)/12,0),"")</f>
        <v/>
      </c>
      <c r="G1374" s="29" t="str">
        <f ca="1">IF(I1374&lt;&gt;Variables!$B$1,IF(C1374&lt;&gt;"",$I$9-E1374-F1374,""),-D1374)</f>
        <v/>
      </c>
      <c r="H1374" s="29" t="str">
        <f t="shared" ca="1" si="121"/>
        <v/>
      </c>
      <c r="I1374" s="31" t="str">
        <f ca="1">IF(C1374&lt;&gt;"",IF(D1374+$I$9-E1374-F1374&gt;=0,IF(ISERROR(INDEX($C$3:$C$6,MATCH(C1374,$C$3:$C$6,0)+1,0)),Variables!$B$1,INDEX($C$3:$C$6,MATCH(C1374,$C$3:$C$6,0)+1,0)),""),"")</f>
        <v/>
      </c>
      <c r="J1374" s="29" t="str">
        <f ca="1">IF(ISERROR(VLOOKUP(I1374,$C$3:$L$6,5,0)),"",IF(OR(VLOOKUP(I1374,$C$3:$L$6,5,0)=Variables!$B$5,B1374&gt;VLOOKUP(I1374,$C$3:$L$6,8,0)),IF(VLOOKUP(I1374,$C$3:$L$6,5,0)=Variables!$B$5,((YEAR(B1374)-YEAR($B$12))*12+MONTH(B1374)-MONTH($B$12)),((YEAR(B1374)-YEAR(VLOOKUP(I1374,$C$3:$L$6,8,0)))*12+MONTH(B1374)-MONTH(VLOOKUP(I1374,$C$3:$L$6,8,0))))*(VLOOKUP(I1374,$C$3:$L$6,10,0)*VLOOKUP(I1374,$C$3:$L$6,6,0)/12),0))</f>
        <v/>
      </c>
      <c r="K1374" s="29" t="str">
        <f ca="1">IF(C1374&lt;&gt;"",IF(I1374&lt;&gt;"",IF(ISERROR(VLOOKUP(I1374,$C$3:$L$6,10,0)),"",VLOOKUP(I1374,$C$3:$L$6,10,0)+J1374+IF(OR(VLOOKUP(I1374,$C$3:$L$6,5,0)=Variables!$B$5,B1374&gt;VLOOKUP(I1374,$C$3:$L$6,8,0)),IF(VLOOKUP(I1374,$C$3:$L$6,5,0)=Variables!$B$5,((YEAR(B1374)-YEAR($B$12))*12+MONTH(B1374)-MONTH($B$12)),((YEAR(B1374)-YEAR(VLOOKUP(I1374,$C$3:$L$6,8,0)))*12+MONTH(B1374)-MONTH(VLOOKUP(I1374,$C$3:$L$6,8,0))))*VLOOKUP(I1374,$C$3:$L$6,7,0),0)),""),"")</f>
        <v/>
      </c>
      <c r="L1374" s="29" t="str">
        <f t="shared" ca="1" si="119"/>
        <v/>
      </c>
    </row>
    <row r="1375" spans="2:12" x14ac:dyDescent="0.25">
      <c r="B1375" s="14" t="str">
        <f t="shared" ca="1" si="120"/>
        <v/>
      </c>
      <c r="C1375" s="14" t="str">
        <f ca="1">IF(I1374&lt;&gt;Variables!$B$1,IF(H1374&lt;&gt;0,C1374,I1374),"")</f>
        <v/>
      </c>
      <c r="D1375" s="29" t="str">
        <f t="shared" ca="1" si="117"/>
        <v/>
      </c>
      <c r="E1375" s="29" t="str">
        <f t="shared" ca="1" si="118"/>
        <v/>
      </c>
      <c r="F1375" s="29" t="str">
        <f ca="1">IF(C1375&lt;&gt;"",IF(OR(VLOOKUP(C1375,$C$3:$L$6,5,0)=Variables!$B$5,B1375&gt;VLOOKUP(C1375,$C$3:$L$6,8,0)),-D1375*VLOOKUP(C1375,$C$3:$L$6,6,0)/12,0),"")</f>
        <v/>
      </c>
      <c r="G1375" s="29" t="str">
        <f ca="1">IF(I1375&lt;&gt;Variables!$B$1,IF(C1375&lt;&gt;"",$I$9-E1375-F1375,""),-D1375)</f>
        <v/>
      </c>
      <c r="H1375" s="29" t="str">
        <f t="shared" ca="1" si="121"/>
        <v/>
      </c>
      <c r="I1375" s="31" t="str">
        <f ca="1">IF(C1375&lt;&gt;"",IF(D1375+$I$9-E1375-F1375&gt;=0,IF(ISERROR(INDEX($C$3:$C$6,MATCH(C1375,$C$3:$C$6,0)+1,0)),Variables!$B$1,INDEX($C$3:$C$6,MATCH(C1375,$C$3:$C$6,0)+1,0)),""),"")</f>
        <v/>
      </c>
      <c r="J1375" s="29" t="str">
        <f ca="1">IF(ISERROR(VLOOKUP(I1375,$C$3:$L$6,5,0)),"",IF(OR(VLOOKUP(I1375,$C$3:$L$6,5,0)=Variables!$B$5,B1375&gt;VLOOKUP(I1375,$C$3:$L$6,8,0)),IF(VLOOKUP(I1375,$C$3:$L$6,5,0)=Variables!$B$5,((YEAR(B1375)-YEAR($B$12))*12+MONTH(B1375)-MONTH($B$12)),((YEAR(B1375)-YEAR(VLOOKUP(I1375,$C$3:$L$6,8,0)))*12+MONTH(B1375)-MONTH(VLOOKUP(I1375,$C$3:$L$6,8,0))))*(VLOOKUP(I1375,$C$3:$L$6,10,0)*VLOOKUP(I1375,$C$3:$L$6,6,0)/12),0))</f>
        <v/>
      </c>
      <c r="K1375" s="29" t="str">
        <f ca="1">IF(C1375&lt;&gt;"",IF(I1375&lt;&gt;"",IF(ISERROR(VLOOKUP(I1375,$C$3:$L$6,10,0)),"",VLOOKUP(I1375,$C$3:$L$6,10,0)+J1375+IF(OR(VLOOKUP(I1375,$C$3:$L$6,5,0)=Variables!$B$5,B1375&gt;VLOOKUP(I1375,$C$3:$L$6,8,0)),IF(VLOOKUP(I1375,$C$3:$L$6,5,0)=Variables!$B$5,((YEAR(B1375)-YEAR($B$12))*12+MONTH(B1375)-MONTH($B$12)),((YEAR(B1375)-YEAR(VLOOKUP(I1375,$C$3:$L$6,8,0)))*12+MONTH(B1375)-MONTH(VLOOKUP(I1375,$C$3:$L$6,8,0))))*VLOOKUP(I1375,$C$3:$L$6,7,0),0)),""),"")</f>
        <v/>
      </c>
      <c r="L1375" s="29" t="str">
        <f t="shared" ca="1" si="119"/>
        <v/>
      </c>
    </row>
    <row r="1376" spans="2:12" x14ac:dyDescent="0.25">
      <c r="B1376" s="14" t="str">
        <f t="shared" ca="1" si="120"/>
        <v/>
      </c>
      <c r="C1376" s="14" t="str">
        <f ca="1">IF(I1375&lt;&gt;Variables!$B$1,IF(H1375&lt;&gt;0,C1375,I1375),"")</f>
        <v/>
      </c>
      <c r="D1376" s="29" t="str">
        <f t="shared" ca="1" si="117"/>
        <v/>
      </c>
      <c r="E1376" s="29" t="str">
        <f t="shared" ca="1" si="118"/>
        <v/>
      </c>
      <c r="F1376" s="29" t="str">
        <f ca="1">IF(C1376&lt;&gt;"",IF(OR(VLOOKUP(C1376,$C$3:$L$6,5,0)=Variables!$B$5,B1376&gt;VLOOKUP(C1376,$C$3:$L$6,8,0)),-D1376*VLOOKUP(C1376,$C$3:$L$6,6,0)/12,0),"")</f>
        <v/>
      </c>
      <c r="G1376" s="29" t="str">
        <f ca="1">IF(I1376&lt;&gt;Variables!$B$1,IF(C1376&lt;&gt;"",$I$9-E1376-F1376,""),-D1376)</f>
        <v/>
      </c>
      <c r="H1376" s="29" t="str">
        <f t="shared" ca="1" si="121"/>
        <v/>
      </c>
      <c r="I1376" s="31" t="str">
        <f ca="1">IF(C1376&lt;&gt;"",IF(D1376+$I$9-E1376-F1376&gt;=0,IF(ISERROR(INDEX($C$3:$C$6,MATCH(C1376,$C$3:$C$6,0)+1,0)),Variables!$B$1,INDEX($C$3:$C$6,MATCH(C1376,$C$3:$C$6,0)+1,0)),""),"")</f>
        <v/>
      </c>
      <c r="J1376" s="29" t="str">
        <f ca="1">IF(ISERROR(VLOOKUP(I1376,$C$3:$L$6,5,0)),"",IF(OR(VLOOKUP(I1376,$C$3:$L$6,5,0)=Variables!$B$5,B1376&gt;VLOOKUP(I1376,$C$3:$L$6,8,0)),IF(VLOOKUP(I1376,$C$3:$L$6,5,0)=Variables!$B$5,((YEAR(B1376)-YEAR($B$12))*12+MONTH(B1376)-MONTH($B$12)),((YEAR(B1376)-YEAR(VLOOKUP(I1376,$C$3:$L$6,8,0)))*12+MONTH(B1376)-MONTH(VLOOKUP(I1376,$C$3:$L$6,8,0))))*(VLOOKUP(I1376,$C$3:$L$6,10,0)*VLOOKUP(I1376,$C$3:$L$6,6,0)/12),0))</f>
        <v/>
      </c>
      <c r="K1376" s="29" t="str">
        <f ca="1">IF(C1376&lt;&gt;"",IF(I1376&lt;&gt;"",IF(ISERROR(VLOOKUP(I1376,$C$3:$L$6,10,0)),"",VLOOKUP(I1376,$C$3:$L$6,10,0)+J1376+IF(OR(VLOOKUP(I1376,$C$3:$L$6,5,0)=Variables!$B$5,B1376&gt;VLOOKUP(I1376,$C$3:$L$6,8,0)),IF(VLOOKUP(I1376,$C$3:$L$6,5,0)=Variables!$B$5,((YEAR(B1376)-YEAR($B$12))*12+MONTH(B1376)-MONTH($B$12)),((YEAR(B1376)-YEAR(VLOOKUP(I1376,$C$3:$L$6,8,0)))*12+MONTH(B1376)-MONTH(VLOOKUP(I1376,$C$3:$L$6,8,0))))*VLOOKUP(I1376,$C$3:$L$6,7,0),0)),""),"")</f>
        <v/>
      </c>
      <c r="L1376" s="29" t="str">
        <f t="shared" ca="1" si="119"/>
        <v/>
      </c>
    </row>
    <row r="1377" spans="2:12" x14ac:dyDescent="0.25">
      <c r="B1377" s="14" t="str">
        <f t="shared" ca="1" si="120"/>
        <v/>
      </c>
      <c r="C1377" s="14" t="str">
        <f ca="1">IF(I1376&lt;&gt;Variables!$B$1,IF(H1376&lt;&gt;0,C1376,I1376),"")</f>
        <v/>
      </c>
      <c r="D1377" s="29" t="str">
        <f t="shared" ca="1" si="117"/>
        <v/>
      </c>
      <c r="E1377" s="29" t="str">
        <f t="shared" ca="1" si="118"/>
        <v/>
      </c>
      <c r="F1377" s="29" t="str">
        <f ca="1">IF(C1377&lt;&gt;"",IF(OR(VLOOKUP(C1377,$C$3:$L$6,5,0)=Variables!$B$5,B1377&gt;VLOOKUP(C1377,$C$3:$L$6,8,0)),-D1377*VLOOKUP(C1377,$C$3:$L$6,6,0)/12,0),"")</f>
        <v/>
      </c>
      <c r="G1377" s="29" t="str">
        <f ca="1">IF(I1377&lt;&gt;Variables!$B$1,IF(C1377&lt;&gt;"",$I$9-E1377-F1377,""),-D1377)</f>
        <v/>
      </c>
      <c r="H1377" s="29" t="str">
        <f t="shared" ca="1" si="121"/>
        <v/>
      </c>
      <c r="I1377" s="31" t="str">
        <f ca="1">IF(C1377&lt;&gt;"",IF(D1377+$I$9-E1377-F1377&gt;=0,IF(ISERROR(INDEX($C$3:$C$6,MATCH(C1377,$C$3:$C$6,0)+1,0)),Variables!$B$1,INDEX($C$3:$C$6,MATCH(C1377,$C$3:$C$6,0)+1,0)),""),"")</f>
        <v/>
      </c>
      <c r="J1377" s="29" t="str">
        <f ca="1">IF(ISERROR(VLOOKUP(I1377,$C$3:$L$6,5,0)),"",IF(OR(VLOOKUP(I1377,$C$3:$L$6,5,0)=Variables!$B$5,B1377&gt;VLOOKUP(I1377,$C$3:$L$6,8,0)),IF(VLOOKUP(I1377,$C$3:$L$6,5,0)=Variables!$B$5,((YEAR(B1377)-YEAR($B$12))*12+MONTH(B1377)-MONTH($B$12)),((YEAR(B1377)-YEAR(VLOOKUP(I1377,$C$3:$L$6,8,0)))*12+MONTH(B1377)-MONTH(VLOOKUP(I1377,$C$3:$L$6,8,0))))*(VLOOKUP(I1377,$C$3:$L$6,10,0)*VLOOKUP(I1377,$C$3:$L$6,6,0)/12),0))</f>
        <v/>
      </c>
      <c r="K1377" s="29" t="str">
        <f ca="1">IF(C1377&lt;&gt;"",IF(I1377&lt;&gt;"",IF(ISERROR(VLOOKUP(I1377,$C$3:$L$6,10,0)),"",VLOOKUP(I1377,$C$3:$L$6,10,0)+J1377+IF(OR(VLOOKUP(I1377,$C$3:$L$6,5,0)=Variables!$B$5,B1377&gt;VLOOKUP(I1377,$C$3:$L$6,8,0)),IF(VLOOKUP(I1377,$C$3:$L$6,5,0)=Variables!$B$5,((YEAR(B1377)-YEAR($B$12))*12+MONTH(B1377)-MONTH($B$12)),((YEAR(B1377)-YEAR(VLOOKUP(I1377,$C$3:$L$6,8,0)))*12+MONTH(B1377)-MONTH(VLOOKUP(I1377,$C$3:$L$6,8,0))))*VLOOKUP(I1377,$C$3:$L$6,7,0),0)),""),"")</f>
        <v/>
      </c>
      <c r="L1377" s="29" t="str">
        <f t="shared" ca="1" si="119"/>
        <v/>
      </c>
    </row>
    <row r="1378" spans="2:12" x14ac:dyDescent="0.25">
      <c r="B1378" s="14" t="str">
        <f t="shared" ca="1" si="120"/>
        <v/>
      </c>
      <c r="C1378" s="14" t="str">
        <f ca="1">IF(I1377&lt;&gt;Variables!$B$1,IF(H1377&lt;&gt;0,C1377,I1377),"")</f>
        <v/>
      </c>
      <c r="D1378" s="29" t="str">
        <f t="shared" ca="1" si="117"/>
        <v/>
      </c>
      <c r="E1378" s="29" t="str">
        <f t="shared" ca="1" si="118"/>
        <v/>
      </c>
      <c r="F1378" s="29" t="str">
        <f ca="1">IF(C1378&lt;&gt;"",IF(OR(VLOOKUP(C1378,$C$3:$L$6,5,0)=Variables!$B$5,B1378&gt;VLOOKUP(C1378,$C$3:$L$6,8,0)),-D1378*VLOOKUP(C1378,$C$3:$L$6,6,0)/12,0),"")</f>
        <v/>
      </c>
      <c r="G1378" s="29" t="str">
        <f ca="1">IF(I1378&lt;&gt;Variables!$B$1,IF(C1378&lt;&gt;"",$I$9-E1378-F1378,""),-D1378)</f>
        <v/>
      </c>
      <c r="H1378" s="29" t="str">
        <f t="shared" ca="1" si="121"/>
        <v/>
      </c>
      <c r="I1378" s="31" t="str">
        <f ca="1">IF(C1378&lt;&gt;"",IF(D1378+$I$9-E1378-F1378&gt;=0,IF(ISERROR(INDEX($C$3:$C$6,MATCH(C1378,$C$3:$C$6,0)+1,0)),Variables!$B$1,INDEX($C$3:$C$6,MATCH(C1378,$C$3:$C$6,0)+1,0)),""),"")</f>
        <v/>
      </c>
      <c r="J1378" s="29" t="str">
        <f ca="1">IF(ISERROR(VLOOKUP(I1378,$C$3:$L$6,5,0)),"",IF(OR(VLOOKUP(I1378,$C$3:$L$6,5,0)=Variables!$B$5,B1378&gt;VLOOKUP(I1378,$C$3:$L$6,8,0)),IF(VLOOKUP(I1378,$C$3:$L$6,5,0)=Variables!$B$5,((YEAR(B1378)-YEAR($B$12))*12+MONTH(B1378)-MONTH($B$12)),((YEAR(B1378)-YEAR(VLOOKUP(I1378,$C$3:$L$6,8,0)))*12+MONTH(B1378)-MONTH(VLOOKUP(I1378,$C$3:$L$6,8,0))))*(VLOOKUP(I1378,$C$3:$L$6,10,0)*VLOOKUP(I1378,$C$3:$L$6,6,0)/12),0))</f>
        <v/>
      </c>
      <c r="K1378" s="29" t="str">
        <f ca="1">IF(C1378&lt;&gt;"",IF(I1378&lt;&gt;"",IF(ISERROR(VLOOKUP(I1378,$C$3:$L$6,10,0)),"",VLOOKUP(I1378,$C$3:$L$6,10,0)+J1378+IF(OR(VLOOKUP(I1378,$C$3:$L$6,5,0)=Variables!$B$5,B1378&gt;VLOOKUP(I1378,$C$3:$L$6,8,0)),IF(VLOOKUP(I1378,$C$3:$L$6,5,0)=Variables!$B$5,((YEAR(B1378)-YEAR($B$12))*12+MONTH(B1378)-MONTH($B$12)),((YEAR(B1378)-YEAR(VLOOKUP(I1378,$C$3:$L$6,8,0)))*12+MONTH(B1378)-MONTH(VLOOKUP(I1378,$C$3:$L$6,8,0))))*VLOOKUP(I1378,$C$3:$L$6,7,0),0)),""),"")</f>
        <v/>
      </c>
      <c r="L1378" s="29" t="str">
        <f t="shared" ca="1" si="119"/>
        <v/>
      </c>
    </row>
    <row r="1379" spans="2:12" x14ac:dyDescent="0.25">
      <c r="B1379" s="14" t="str">
        <f t="shared" ca="1" si="120"/>
        <v/>
      </c>
      <c r="C1379" s="14" t="str">
        <f ca="1">IF(I1378&lt;&gt;Variables!$B$1,IF(H1378&lt;&gt;0,C1378,I1378),"")</f>
        <v/>
      </c>
      <c r="D1379" s="29" t="str">
        <f t="shared" ca="1" si="117"/>
        <v/>
      </c>
      <c r="E1379" s="29" t="str">
        <f t="shared" ca="1" si="118"/>
        <v/>
      </c>
      <c r="F1379" s="29" t="str">
        <f ca="1">IF(C1379&lt;&gt;"",IF(OR(VLOOKUP(C1379,$C$3:$L$6,5,0)=Variables!$B$5,B1379&gt;VLOOKUP(C1379,$C$3:$L$6,8,0)),-D1379*VLOOKUP(C1379,$C$3:$L$6,6,0)/12,0),"")</f>
        <v/>
      </c>
      <c r="G1379" s="29" t="str">
        <f ca="1">IF(I1379&lt;&gt;Variables!$B$1,IF(C1379&lt;&gt;"",$I$9-E1379-F1379,""),-D1379)</f>
        <v/>
      </c>
      <c r="H1379" s="29" t="str">
        <f t="shared" ca="1" si="121"/>
        <v/>
      </c>
      <c r="I1379" s="31" t="str">
        <f ca="1">IF(C1379&lt;&gt;"",IF(D1379+$I$9-E1379-F1379&gt;=0,IF(ISERROR(INDEX($C$3:$C$6,MATCH(C1379,$C$3:$C$6,0)+1,0)),Variables!$B$1,INDEX($C$3:$C$6,MATCH(C1379,$C$3:$C$6,0)+1,0)),""),"")</f>
        <v/>
      </c>
      <c r="J1379" s="29" t="str">
        <f ca="1">IF(ISERROR(VLOOKUP(I1379,$C$3:$L$6,5,0)),"",IF(OR(VLOOKUP(I1379,$C$3:$L$6,5,0)=Variables!$B$5,B1379&gt;VLOOKUP(I1379,$C$3:$L$6,8,0)),IF(VLOOKUP(I1379,$C$3:$L$6,5,0)=Variables!$B$5,((YEAR(B1379)-YEAR($B$12))*12+MONTH(B1379)-MONTH($B$12)),((YEAR(B1379)-YEAR(VLOOKUP(I1379,$C$3:$L$6,8,0)))*12+MONTH(B1379)-MONTH(VLOOKUP(I1379,$C$3:$L$6,8,0))))*(VLOOKUP(I1379,$C$3:$L$6,10,0)*VLOOKUP(I1379,$C$3:$L$6,6,0)/12),0))</f>
        <v/>
      </c>
      <c r="K1379" s="29" t="str">
        <f ca="1">IF(C1379&lt;&gt;"",IF(I1379&lt;&gt;"",IF(ISERROR(VLOOKUP(I1379,$C$3:$L$6,10,0)),"",VLOOKUP(I1379,$C$3:$L$6,10,0)+J1379+IF(OR(VLOOKUP(I1379,$C$3:$L$6,5,0)=Variables!$B$5,B1379&gt;VLOOKUP(I1379,$C$3:$L$6,8,0)),IF(VLOOKUP(I1379,$C$3:$L$6,5,0)=Variables!$B$5,((YEAR(B1379)-YEAR($B$12))*12+MONTH(B1379)-MONTH($B$12)),((YEAR(B1379)-YEAR(VLOOKUP(I1379,$C$3:$L$6,8,0)))*12+MONTH(B1379)-MONTH(VLOOKUP(I1379,$C$3:$L$6,8,0))))*VLOOKUP(I1379,$C$3:$L$6,7,0),0)),""),"")</f>
        <v/>
      </c>
      <c r="L1379" s="29" t="str">
        <f t="shared" ca="1" si="119"/>
        <v/>
      </c>
    </row>
    <row r="1380" spans="2:12" x14ac:dyDescent="0.25">
      <c r="B1380" s="14" t="str">
        <f t="shared" ca="1" si="120"/>
        <v/>
      </c>
      <c r="C1380" s="14" t="str">
        <f ca="1">IF(I1379&lt;&gt;Variables!$B$1,IF(H1379&lt;&gt;0,C1379,I1379),"")</f>
        <v/>
      </c>
      <c r="D1380" s="29" t="str">
        <f t="shared" ca="1" si="117"/>
        <v/>
      </c>
      <c r="E1380" s="29" t="str">
        <f t="shared" ca="1" si="118"/>
        <v/>
      </c>
      <c r="F1380" s="29" t="str">
        <f ca="1">IF(C1380&lt;&gt;"",IF(OR(VLOOKUP(C1380,$C$3:$L$6,5,0)=Variables!$B$5,B1380&gt;VLOOKUP(C1380,$C$3:$L$6,8,0)),-D1380*VLOOKUP(C1380,$C$3:$L$6,6,0)/12,0),"")</f>
        <v/>
      </c>
      <c r="G1380" s="29" t="str">
        <f ca="1">IF(I1380&lt;&gt;Variables!$B$1,IF(C1380&lt;&gt;"",$I$9-E1380-F1380,""),-D1380)</f>
        <v/>
      </c>
      <c r="H1380" s="29" t="str">
        <f t="shared" ca="1" si="121"/>
        <v/>
      </c>
      <c r="I1380" s="31" t="str">
        <f ca="1">IF(C1380&lt;&gt;"",IF(D1380+$I$9-E1380-F1380&gt;=0,IF(ISERROR(INDEX($C$3:$C$6,MATCH(C1380,$C$3:$C$6,0)+1,0)),Variables!$B$1,INDEX($C$3:$C$6,MATCH(C1380,$C$3:$C$6,0)+1,0)),""),"")</f>
        <v/>
      </c>
      <c r="J1380" s="29" t="str">
        <f ca="1">IF(ISERROR(VLOOKUP(I1380,$C$3:$L$6,5,0)),"",IF(OR(VLOOKUP(I1380,$C$3:$L$6,5,0)=Variables!$B$5,B1380&gt;VLOOKUP(I1380,$C$3:$L$6,8,0)),IF(VLOOKUP(I1380,$C$3:$L$6,5,0)=Variables!$B$5,((YEAR(B1380)-YEAR($B$12))*12+MONTH(B1380)-MONTH($B$12)),((YEAR(B1380)-YEAR(VLOOKUP(I1380,$C$3:$L$6,8,0)))*12+MONTH(B1380)-MONTH(VLOOKUP(I1380,$C$3:$L$6,8,0))))*(VLOOKUP(I1380,$C$3:$L$6,10,0)*VLOOKUP(I1380,$C$3:$L$6,6,0)/12),0))</f>
        <v/>
      </c>
      <c r="K1380" s="29" t="str">
        <f ca="1">IF(C1380&lt;&gt;"",IF(I1380&lt;&gt;"",IF(ISERROR(VLOOKUP(I1380,$C$3:$L$6,10,0)),"",VLOOKUP(I1380,$C$3:$L$6,10,0)+J1380+IF(OR(VLOOKUP(I1380,$C$3:$L$6,5,0)=Variables!$B$5,B1380&gt;VLOOKUP(I1380,$C$3:$L$6,8,0)),IF(VLOOKUP(I1380,$C$3:$L$6,5,0)=Variables!$B$5,((YEAR(B1380)-YEAR($B$12))*12+MONTH(B1380)-MONTH($B$12)),((YEAR(B1380)-YEAR(VLOOKUP(I1380,$C$3:$L$6,8,0)))*12+MONTH(B1380)-MONTH(VLOOKUP(I1380,$C$3:$L$6,8,0))))*VLOOKUP(I1380,$C$3:$L$6,7,0),0)),""),"")</f>
        <v/>
      </c>
      <c r="L1380" s="29" t="str">
        <f t="shared" ca="1" si="119"/>
        <v/>
      </c>
    </row>
    <row r="1381" spans="2:12" x14ac:dyDescent="0.25">
      <c r="B1381" s="14" t="str">
        <f t="shared" ca="1" si="120"/>
        <v/>
      </c>
      <c r="C1381" s="14" t="str">
        <f ca="1">IF(I1380&lt;&gt;Variables!$B$1,IF(H1380&lt;&gt;0,C1380,I1380),"")</f>
        <v/>
      </c>
      <c r="D1381" s="29" t="str">
        <f t="shared" ca="1" si="117"/>
        <v/>
      </c>
      <c r="E1381" s="29" t="str">
        <f t="shared" ca="1" si="118"/>
        <v/>
      </c>
      <c r="F1381" s="29" t="str">
        <f ca="1">IF(C1381&lt;&gt;"",IF(OR(VLOOKUP(C1381,$C$3:$L$6,5,0)=Variables!$B$5,B1381&gt;VLOOKUP(C1381,$C$3:$L$6,8,0)),-D1381*VLOOKUP(C1381,$C$3:$L$6,6,0)/12,0),"")</f>
        <v/>
      </c>
      <c r="G1381" s="29" t="str">
        <f ca="1">IF(I1381&lt;&gt;Variables!$B$1,IF(C1381&lt;&gt;"",$I$9-E1381-F1381,""),-D1381)</f>
        <v/>
      </c>
      <c r="H1381" s="29" t="str">
        <f t="shared" ca="1" si="121"/>
        <v/>
      </c>
      <c r="I1381" s="31" t="str">
        <f ca="1">IF(C1381&lt;&gt;"",IF(D1381+$I$9-E1381-F1381&gt;=0,IF(ISERROR(INDEX($C$3:$C$6,MATCH(C1381,$C$3:$C$6,0)+1,0)),Variables!$B$1,INDEX($C$3:$C$6,MATCH(C1381,$C$3:$C$6,0)+1,0)),""),"")</f>
        <v/>
      </c>
      <c r="J1381" s="29" t="str">
        <f ca="1">IF(ISERROR(VLOOKUP(I1381,$C$3:$L$6,5,0)),"",IF(OR(VLOOKUP(I1381,$C$3:$L$6,5,0)=Variables!$B$5,B1381&gt;VLOOKUP(I1381,$C$3:$L$6,8,0)),IF(VLOOKUP(I1381,$C$3:$L$6,5,0)=Variables!$B$5,((YEAR(B1381)-YEAR($B$12))*12+MONTH(B1381)-MONTH($B$12)),((YEAR(B1381)-YEAR(VLOOKUP(I1381,$C$3:$L$6,8,0)))*12+MONTH(B1381)-MONTH(VLOOKUP(I1381,$C$3:$L$6,8,0))))*(VLOOKUP(I1381,$C$3:$L$6,10,0)*VLOOKUP(I1381,$C$3:$L$6,6,0)/12),0))</f>
        <v/>
      </c>
      <c r="K1381" s="29" t="str">
        <f ca="1">IF(C1381&lt;&gt;"",IF(I1381&lt;&gt;"",IF(ISERROR(VLOOKUP(I1381,$C$3:$L$6,10,0)),"",VLOOKUP(I1381,$C$3:$L$6,10,0)+J1381+IF(OR(VLOOKUP(I1381,$C$3:$L$6,5,0)=Variables!$B$5,B1381&gt;VLOOKUP(I1381,$C$3:$L$6,8,0)),IF(VLOOKUP(I1381,$C$3:$L$6,5,0)=Variables!$B$5,((YEAR(B1381)-YEAR($B$12))*12+MONTH(B1381)-MONTH($B$12)),((YEAR(B1381)-YEAR(VLOOKUP(I1381,$C$3:$L$6,8,0)))*12+MONTH(B1381)-MONTH(VLOOKUP(I1381,$C$3:$L$6,8,0))))*VLOOKUP(I1381,$C$3:$L$6,7,0),0)),""),"")</f>
        <v/>
      </c>
      <c r="L1381" s="29" t="str">
        <f t="shared" ca="1" si="119"/>
        <v/>
      </c>
    </row>
    <row r="1382" spans="2:12" x14ac:dyDescent="0.25">
      <c r="B1382" s="14" t="str">
        <f t="shared" ca="1" si="120"/>
        <v/>
      </c>
      <c r="C1382" s="14" t="str">
        <f ca="1">IF(I1381&lt;&gt;Variables!$B$1,IF(H1381&lt;&gt;0,C1381,I1381),"")</f>
        <v/>
      </c>
      <c r="D1382" s="29" t="str">
        <f t="shared" ca="1" si="117"/>
        <v/>
      </c>
      <c r="E1382" s="29" t="str">
        <f t="shared" ca="1" si="118"/>
        <v/>
      </c>
      <c r="F1382" s="29" t="str">
        <f ca="1">IF(C1382&lt;&gt;"",IF(OR(VLOOKUP(C1382,$C$3:$L$6,5,0)=Variables!$B$5,B1382&gt;VLOOKUP(C1382,$C$3:$L$6,8,0)),-D1382*VLOOKUP(C1382,$C$3:$L$6,6,0)/12,0),"")</f>
        <v/>
      </c>
      <c r="G1382" s="29" t="str">
        <f ca="1">IF(I1382&lt;&gt;Variables!$B$1,IF(C1382&lt;&gt;"",$I$9-E1382-F1382,""),-D1382)</f>
        <v/>
      </c>
      <c r="H1382" s="29" t="str">
        <f t="shared" ca="1" si="121"/>
        <v/>
      </c>
      <c r="I1382" s="31" t="str">
        <f ca="1">IF(C1382&lt;&gt;"",IF(D1382+$I$9-E1382-F1382&gt;=0,IF(ISERROR(INDEX($C$3:$C$6,MATCH(C1382,$C$3:$C$6,0)+1,0)),Variables!$B$1,INDEX($C$3:$C$6,MATCH(C1382,$C$3:$C$6,0)+1,0)),""),"")</f>
        <v/>
      </c>
      <c r="J1382" s="29" t="str">
        <f ca="1">IF(ISERROR(VLOOKUP(I1382,$C$3:$L$6,5,0)),"",IF(OR(VLOOKUP(I1382,$C$3:$L$6,5,0)=Variables!$B$5,B1382&gt;VLOOKUP(I1382,$C$3:$L$6,8,0)),IF(VLOOKUP(I1382,$C$3:$L$6,5,0)=Variables!$B$5,((YEAR(B1382)-YEAR($B$12))*12+MONTH(B1382)-MONTH($B$12)),((YEAR(B1382)-YEAR(VLOOKUP(I1382,$C$3:$L$6,8,0)))*12+MONTH(B1382)-MONTH(VLOOKUP(I1382,$C$3:$L$6,8,0))))*(VLOOKUP(I1382,$C$3:$L$6,10,0)*VLOOKUP(I1382,$C$3:$L$6,6,0)/12),0))</f>
        <v/>
      </c>
      <c r="K1382" s="29" t="str">
        <f ca="1">IF(C1382&lt;&gt;"",IF(I1382&lt;&gt;"",IF(ISERROR(VLOOKUP(I1382,$C$3:$L$6,10,0)),"",VLOOKUP(I1382,$C$3:$L$6,10,0)+J1382+IF(OR(VLOOKUP(I1382,$C$3:$L$6,5,0)=Variables!$B$5,B1382&gt;VLOOKUP(I1382,$C$3:$L$6,8,0)),IF(VLOOKUP(I1382,$C$3:$L$6,5,0)=Variables!$B$5,((YEAR(B1382)-YEAR($B$12))*12+MONTH(B1382)-MONTH($B$12)),((YEAR(B1382)-YEAR(VLOOKUP(I1382,$C$3:$L$6,8,0)))*12+MONTH(B1382)-MONTH(VLOOKUP(I1382,$C$3:$L$6,8,0))))*VLOOKUP(I1382,$C$3:$L$6,7,0),0)),""),"")</f>
        <v/>
      </c>
      <c r="L1382" s="29" t="str">
        <f t="shared" ca="1" si="119"/>
        <v/>
      </c>
    </row>
    <row r="1383" spans="2:12" x14ac:dyDescent="0.25">
      <c r="B1383" s="14" t="str">
        <f t="shared" ca="1" si="120"/>
        <v/>
      </c>
      <c r="C1383" s="14" t="str">
        <f ca="1">IF(I1382&lt;&gt;Variables!$B$1,IF(H1382&lt;&gt;0,C1382,I1382),"")</f>
        <v/>
      </c>
      <c r="D1383" s="29" t="str">
        <f t="shared" ca="1" si="117"/>
        <v/>
      </c>
      <c r="E1383" s="29" t="str">
        <f t="shared" ca="1" si="118"/>
        <v/>
      </c>
      <c r="F1383" s="29" t="str">
        <f ca="1">IF(C1383&lt;&gt;"",IF(OR(VLOOKUP(C1383,$C$3:$L$6,5,0)=Variables!$B$5,B1383&gt;VLOOKUP(C1383,$C$3:$L$6,8,0)),-D1383*VLOOKUP(C1383,$C$3:$L$6,6,0)/12,0),"")</f>
        <v/>
      </c>
      <c r="G1383" s="29" t="str">
        <f ca="1">IF(I1383&lt;&gt;Variables!$B$1,IF(C1383&lt;&gt;"",$I$9-E1383-F1383,""),-D1383)</f>
        <v/>
      </c>
      <c r="H1383" s="29" t="str">
        <f t="shared" ca="1" si="121"/>
        <v/>
      </c>
      <c r="I1383" s="31" t="str">
        <f ca="1">IF(C1383&lt;&gt;"",IF(D1383+$I$9-E1383-F1383&gt;=0,IF(ISERROR(INDEX($C$3:$C$6,MATCH(C1383,$C$3:$C$6,0)+1,0)),Variables!$B$1,INDEX($C$3:$C$6,MATCH(C1383,$C$3:$C$6,0)+1,0)),""),"")</f>
        <v/>
      </c>
      <c r="J1383" s="29" t="str">
        <f ca="1">IF(ISERROR(VLOOKUP(I1383,$C$3:$L$6,5,0)),"",IF(OR(VLOOKUP(I1383,$C$3:$L$6,5,0)=Variables!$B$5,B1383&gt;VLOOKUP(I1383,$C$3:$L$6,8,0)),IF(VLOOKUP(I1383,$C$3:$L$6,5,0)=Variables!$B$5,((YEAR(B1383)-YEAR($B$12))*12+MONTH(B1383)-MONTH($B$12)),((YEAR(B1383)-YEAR(VLOOKUP(I1383,$C$3:$L$6,8,0)))*12+MONTH(B1383)-MONTH(VLOOKUP(I1383,$C$3:$L$6,8,0))))*(VLOOKUP(I1383,$C$3:$L$6,10,0)*VLOOKUP(I1383,$C$3:$L$6,6,0)/12),0))</f>
        <v/>
      </c>
      <c r="K1383" s="29" t="str">
        <f ca="1">IF(C1383&lt;&gt;"",IF(I1383&lt;&gt;"",IF(ISERROR(VLOOKUP(I1383,$C$3:$L$6,10,0)),"",VLOOKUP(I1383,$C$3:$L$6,10,0)+J1383+IF(OR(VLOOKUP(I1383,$C$3:$L$6,5,0)=Variables!$B$5,B1383&gt;VLOOKUP(I1383,$C$3:$L$6,8,0)),IF(VLOOKUP(I1383,$C$3:$L$6,5,0)=Variables!$B$5,((YEAR(B1383)-YEAR($B$12))*12+MONTH(B1383)-MONTH($B$12)),((YEAR(B1383)-YEAR(VLOOKUP(I1383,$C$3:$L$6,8,0)))*12+MONTH(B1383)-MONTH(VLOOKUP(I1383,$C$3:$L$6,8,0))))*VLOOKUP(I1383,$C$3:$L$6,7,0),0)),""),"")</f>
        <v/>
      </c>
      <c r="L1383" s="29" t="str">
        <f t="shared" ca="1" si="119"/>
        <v/>
      </c>
    </row>
    <row r="1384" spans="2:12" x14ac:dyDescent="0.25">
      <c r="B1384" s="14" t="str">
        <f t="shared" ca="1" si="120"/>
        <v/>
      </c>
      <c r="C1384" s="14" t="str">
        <f ca="1">IF(I1383&lt;&gt;Variables!$B$1,IF(H1383&lt;&gt;0,C1383,I1383),"")</f>
        <v/>
      </c>
      <c r="D1384" s="29" t="str">
        <f t="shared" ca="1" si="117"/>
        <v/>
      </c>
      <c r="E1384" s="29" t="str">
        <f t="shared" ca="1" si="118"/>
        <v/>
      </c>
      <c r="F1384" s="29" t="str">
        <f ca="1">IF(C1384&lt;&gt;"",IF(OR(VLOOKUP(C1384,$C$3:$L$6,5,0)=Variables!$B$5,B1384&gt;VLOOKUP(C1384,$C$3:$L$6,8,0)),-D1384*VLOOKUP(C1384,$C$3:$L$6,6,0)/12,0),"")</f>
        <v/>
      </c>
      <c r="G1384" s="29" t="str">
        <f ca="1">IF(I1384&lt;&gt;Variables!$B$1,IF(C1384&lt;&gt;"",$I$9-E1384-F1384,""),-D1384)</f>
        <v/>
      </c>
      <c r="H1384" s="29" t="str">
        <f t="shared" ca="1" si="121"/>
        <v/>
      </c>
      <c r="I1384" s="31" t="str">
        <f ca="1">IF(C1384&lt;&gt;"",IF(D1384+$I$9-E1384-F1384&gt;=0,IF(ISERROR(INDEX($C$3:$C$6,MATCH(C1384,$C$3:$C$6,0)+1,0)),Variables!$B$1,INDEX($C$3:$C$6,MATCH(C1384,$C$3:$C$6,0)+1,0)),""),"")</f>
        <v/>
      </c>
      <c r="J1384" s="29" t="str">
        <f ca="1">IF(ISERROR(VLOOKUP(I1384,$C$3:$L$6,5,0)),"",IF(OR(VLOOKUP(I1384,$C$3:$L$6,5,0)=Variables!$B$5,B1384&gt;VLOOKUP(I1384,$C$3:$L$6,8,0)),IF(VLOOKUP(I1384,$C$3:$L$6,5,0)=Variables!$B$5,((YEAR(B1384)-YEAR($B$12))*12+MONTH(B1384)-MONTH($B$12)),((YEAR(B1384)-YEAR(VLOOKUP(I1384,$C$3:$L$6,8,0)))*12+MONTH(B1384)-MONTH(VLOOKUP(I1384,$C$3:$L$6,8,0))))*(VLOOKUP(I1384,$C$3:$L$6,10,0)*VLOOKUP(I1384,$C$3:$L$6,6,0)/12),0))</f>
        <v/>
      </c>
      <c r="K1384" s="29" t="str">
        <f ca="1">IF(C1384&lt;&gt;"",IF(I1384&lt;&gt;"",IF(ISERROR(VLOOKUP(I1384,$C$3:$L$6,10,0)),"",VLOOKUP(I1384,$C$3:$L$6,10,0)+J1384+IF(OR(VLOOKUP(I1384,$C$3:$L$6,5,0)=Variables!$B$5,B1384&gt;VLOOKUP(I1384,$C$3:$L$6,8,0)),IF(VLOOKUP(I1384,$C$3:$L$6,5,0)=Variables!$B$5,((YEAR(B1384)-YEAR($B$12))*12+MONTH(B1384)-MONTH($B$12)),((YEAR(B1384)-YEAR(VLOOKUP(I1384,$C$3:$L$6,8,0)))*12+MONTH(B1384)-MONTH(VLOOKUP(I1384,$C$3:$L$6,8,0))))*VLOOKUP(I1384,$C$3:$L$6,7,0),0)),""),"")</f>
        <v/>
      </c>
      <c r="L1384" s="29" t="str">
        <f t="shared" ca="1" si="119"/>
        <v/>
      </c>
    </row>
    <row r="1385" spans="2:12" x14ac:dyDescent="0.25">
      <c r="B1385" s="14" t="str">
        <f t="shared" ca="1" si="120"/>
        <v/>
      </c>
      <c r="C1385" s="14" t="str">
        <f ca="1">IF(I1384&lt;&gt;Variables!$B$1,IF(H1384&lt;&gt;0,C1384,I1384),"")</f>
        <v/>
      </c>
      <c r="D1385" s="29" t="str">
        <f t="shared" ca="1" si="117"/>
        <v/>
      </c>
      <c r="E1385" s="29" t="str">
        <f t="shared" ca="1" si="118"/>
        <v/>
      </c>
      <c r="F1385" s="29" t="str">
        <f ca="1">IF(C1385&lt;&gt;"",IF(OR(VLOOKUP(C1385,$C$3:$L$6,5,0)=Variables!$B$5,B1385&gt;VLOOKUP(C1385,$C$3:$L$6,8,0)),-D1385*VLOOKUP(C1385,$C$3:$L$6,6,0)/12,0),"")</f>
        <v/>
      </c>
      <c r="G1385" s="29" t="str">
        <f ca="1">IF(I1385&lt;&gt;Variables!$B$1,IF(C1385&lt;&gt;"",$I$9-E1385-F1385,""),-D1385)</f>
        <v/>
      </c>
      <c r="H1385" s="29" t="str">
        <f t="shared" ca="1" si="121"/>
        <v/>
      </c>
      <c r="I1385" s="31" t="str">
        <f ca="1">IF(C1385&lt;&gt;"",IF(D1385+$I$9-E1385-F1385&gt;=0,IF(ISERROR(INDEX($C$3:$C$6,MATCH(C1385,$C$3:$C$6,0)+1,0)),Variables!$B$1,INDEX($C$3:$C$6,MATCH(C1385,$C$3:$C$6,0)+1,0)),""),"")</f>
        <v/>
      </c>
      <c r="J1385" s="29" t="str">
        <f ca="1">IF(ISERROR(VLOOKUP(I1385,$C$3:$L$6,5,0)),"",IF(OR(VLOOKUP(I1385,$C$3:$L$6,5,0)=Variables!$B$5,B1385&gt;VLOOKUP(I1385,$C$3:$L$6,8,0)),IF(VLOOKUP(I1385,$C$3:$L$6,5,0)=Variables!$B$5,((YEAR(B1385)-YEAR($B$12))*12+MONTH(B1385)-MONTH($B$12)),((YEAR(B1385)-YEAR(VLOOKUP(I1385,$C$3:$L$6,8,0)))*12+MONTH(B1385)-MONTH(VLOOKUP(I1385,$C$3:$L$6,8,0))))*(VLOOKUP(I1385,$C$3:$L$6,10,0)*VLOOKUP(I1385,$C$3:$L$6,6,0)/12),0))</f>
        <v/>
      </c>
      <c r="K1385" s="29" t="str">
        <f ca="1">IF(C1385&lt;&gt;"",IF(I1385&lt;&gt;"",IF(ISERROR(VLOOKUP(I1385,$C$3:$L$6,10,0)),"",VLOOKUP(I1385,$C$3:$L$6,10,0)+J1385+IF(OR(VLOOKUP(I1385,$C$3:$L$6,5,0)=Variables!$B$5,B1385&gt;VLOOKUP(I1385,$C$3:$L$6,8,0)),IF(VLOOKUP(I1385,$C$3:$L$6,5,0)=Variables!$B$5,((YEAR(B1385)-YEAR($B$12))*12+MONTH(B1385)-MONTH($B$12)),((YEAR(B1385)-YEAR(VLOOKUP(I1385,$C$3:$L$6,8,0)))*12+MONTH(B1385)-MONTH(VLOOKUP(I1385,$C$3:$L$6,8,0))))*VLOOKUP(I1385,$C$3:$L$6,7,0),0)),""),"")</f>
        <v/>
      </c>
      <c r="L1385" s="29" t="str">
        <f t="shared" ca="1" si="119"/>
        <v/>
      </c>
    </row>
    <row r="1386" spans="2:12" x14ac:dyDescent="0.25">
      <c r="B1386" s="14" t="str">
        <f t="shared" ca="1" si="120"/>
        <v/>
      </c>
      <c r="C1386" s="14" t="str">
        <f ca="1">IF(I1385&lt;&gt;Variables!$B$1,IF(H1385&lt;&gt;0,C1385,I1385),"")</f>
        <v/>
      </c>
      <c r="D1386" s="29" t="str">
        <f t="shared" ca="1" si="117"/>
        <v/>
      </c>
      <c r="E1386" s="29" t="str">
        <f t="shared" ca="1" si="118"/>
        <v/>
      </c>
      <c r="F1386" s="29" t="str">
        <f ca="1">IF(C1386&lt;&gt;"",IF(OR(VLOOKUP(C1386,$C$3:$L$6,5,0)=Variables!$B$5,B1386&gt;VLOOKUP(C1386,$C$3:$L$6,8,0)),-D1386*VLOOKUP(C1386,$C$3:$L$6,6,0)/12,0),"")</f>
        <v/>
      </c>
      <c r="G1386" s="29" t="str">
        <f ca="1">IF(I1386&lt;&gt;Variables!$B$1,IF(C1386&lt;&gt;"",$I$9-E1386-F1386,""),-D1386)</f>
        <v/>
      </c>
      <c r="H1386" s="29" t="str">
        <f t="shared" ca="1" si="121"/>
        <v/>
      </c>
      <c r="I1386" s="31" t="str">
        <f ca="1">IF(C1386&lt;&gt;"",IF(D1386+$I$9-E1386-F1386&gt;=0,IF(ISERROR(INDEX($C$3:$C$6,MATCH(C1386,$C$3:$C$6,0)+1,0)),Variables!$B$1,INDEX($C$3:$C$6,MATCH(C1386,$C$3:$C$6,0)+1,0)),""),"")</f>
        <v/>
      </c>
      <c r="J1386" s="29" t="str">
        <f ca="1">IF(ISERROR(VLOOKUP(I1386,$C$3:$L$6,5,0)),"",IF(OR(VLOOKUP(I1386,$C$3:$L$6,5,0)=Variables!$B$5,B1386&gt;VLOOKUP(I1386,$C$3:$L$6,8,0)),IF(VLOOKUP(I1386,$C$3:$L$6,5,0)=Variables!$B$5,((YEAR(B1386)-YEAR($B$12))*12+MONTH(B1386)-MONTH($B$12)),((YEAR(B1386)-YEAR(VLOOKUP(I1386,$C$3:$L$6,8,0)))*12+MONTH(B1386)-MONTH(VLOOKUP(I1386,$C$3:$L$6,8,0))))*(VLOOKUP(I1386,$C$3:$L$6,10,0)*VLOOKUP(I1386,$C$3:$L$6,6,0)/12),0))</f>
        <v/>
      </c>
      <c r="K1386" s="29" t="str">
        <f ca="1">IF(C1386&lt;&gt;"",IF(I1386&lt;&gt;"",IF(ISERROR(VLOOKUP(I1386,$C$3:$L$6,10,0)),"",VLOOKUP(I1386,$C$3:$L$6,10,0)+J1386+IF(OR(VLOOKUP(I1386,$C$3:$L$6,5,0)=Variables!$B$5,B1386&gt;VLOOKUP(I1386,$C$3:$L$6,8,0)),IF(VLOOKUP(I1386,$C$3:$L$6,5,0)=Variables!$B$5,((YEAR(B1386)-YEAR($B$12))*12+MONTH(B1386)-MONTH($B$12)),((YEAR(B1386)-YEAR(VLOOKUP(I1386,$C$3:$L$6,8,0)))*12+MONTH(B1386)-MONTH(VLOOKUP(I1386,$C$3:$L$6,8,0))))*VLOOKUP(I1386,$C$3:$L$6,7,0),0)),""),"")</f>
        <v/>
      </c>
      <c r="L1386" s="29" t="str">
        <f t="shared" ca="1" si="119"/>
        <v/>
      </c>
    </row>
    <row r="1387" spans="2:12" x14ac:dyDescent="0.25">
      <c r="B1387" s="14" t="str">
        <f t="shared" ca="1" si="120"/>
        <v/>
      </c>
      <c r="C1387" s="14" t="str">
        <f ca="1">IF(I1386&lt;&gt;Variables!$B$1,IF(H1386&lt;&gt;0,C1386,I1386),"")</f>
        <v/>
      </c>
      <c r="D1387" s="29" t="str">
        <f t="shared" ca="1" si="117"/>
        <v/>
      </c>
      <c r="E1387" s="29" t="str">
        <f t="shared" ca="1" si="118"/>
        <v/>
      </c>
      <c r="F1387" s="29" t="str">
        <f ca="1">IF(C1387&lt;&gt;"",IF(OR(VLOOKUP(C1387,$C$3:$L$6,5,0)=Variables!$B$5,B1387&gt;VLOOKUP(C1387,$C$3:$L$6,8,0)),-D1387*VLOOKUP(C1387,$C$3:$L$6,6,0)/12,0),"")</f>
        <v/>
      </c>
      <c r="G1387" s="29" t="str">
        <f ca="1">IF(I1387&lt;&gt;Variables!$B$1,IF(C1387&lt;&gt;"",$I$9-E1387-F1387,""),-D1387)</f>
        <v/>
      </c>
      <c r="H1387" s="29" t="str">
        <f t="shared" ca="1" si="121"/>
        <v/>
      </c>
      <c r="I1387" s="31" t="str">
        <f ca="1">IF(C1387&lt;&gt;"",IF(D1387+$I$9-E1387-F1387&gt;=0,IF(ISERROR(INDEX($C$3:$C$6,MATCH(C1387,$C$3:$C$6,0)+1,0)),Variables!$B$1,INDEX($C$3:$C$6,MATCH(C1387,$C$3:$C$6,0)+1,0)),""),"")</f>
        <v/>
      </c>
      <c r="J1387" s="29" t="str">
        <f ca="1">IF(ISERROR(VLOOKUP(I1387,$C$3:$L$6,5,0)),"",IF(OR(VLOOKUP(I1387,$C$3:$L$6,5,0)=Variables!$B$5,B1387&gt;VLOOKUP(I1387,$C$3:$L$6,8,0)),IF(VLOOKUP(I1387,$C$3:$L$6,5,0)=Variables!$B$5,((YEAR(B1387)-YEAR($B$12))*12+MONTH(B1387)-MONTH($B$12)),((YEAR(B1387)-YEAR(VLOOKUP(I1387,$C$3:$L$6,8,0)))*12+MONTH(B1387)-MONTH(VLOOKUP(I1387,$C$3:$L$6,8,0))))*(VLOOKUP(I1387,$C$3:$L$6,10,0)*VLOOKUP(I1387,$C$3:$L$6,6,0)/12),0))</f>
        <v/>
      </c>
      <c r="K1387" s="29" t="str">
        <f ca="1">IF(C1387&lt;&gt;"",IF(I1387&lt;&gt;"",IF(ISERROR(VLOOKUP(I1387,$C$3:$L$6,10,0)),"",VLOOKUP(I1387,$C$3:$L$6,10,0)+J1387+IF(OR(VLOOKUP(I1387,$C$3:$L$6,5,0)=Variables!$B$5,B1387&gt;VLOOKUP(I1387,$C$3:$L$6,8,0)),IF(VLOOKUP(I1387,$C$3:$L$6,5,0)=Variables!$B$5,((YEAR(B1387)-YEAR($B$12))*12+MONTH(B1387)-MONTH($B$12)),((YEAR(B1387)-YEAR(VLOOKUP(I1387,$C$3:$L$6,8,0)))*12+MONTH(B1387)-MONTH(VLOOKUP(I1387,$C$3:$L$6,8,0))))*VLOOKUP(I1387,$C$3:$L$6,7,0),0)),""),"")</f>
        <v/>
      </c>
      <c r="L1387" s="29" t="str">
        <f t="shared" ca="1" si="119"/>
        <v/>
      </c>
    </row>
    <row r="1388" spans="2:12" x14ac:dyDescent="0.25">
      <c r="B1388" s="14" t="str">
        <f t="shared" ca="1" si="120"/>
        <v/>
      </c>
      <c r="C1388" s="14" t="str">
        <f ca="1">IF(I1387&lt;&gt;Variables!$B$1,IF(H1387&lt;&gt;0,C1387,I1387),"")</f>
        <v/>
      </c>
      <c r="D1388" s="29" t="str">
        <f t="shared" ca="1" si="117"/>
        <v/>
      </c>
      <c r="E1388" s="29" t="str">
        <f t="shared" ca="1" si="118"/>
        <v/>
      </c>
      <c r="F1388" s="29" t="str">
        <f ca="1">IF(C1388&lt;&gt;"",IF(OR(VLOOKUP(C1388,$C$3:$L$6,5,0)=Variables!$B$5,B1388&gt;VLOOKUP(C1388,$C$3:$L$6,8,0)),-D1388*VLOOKUP(C1388,$C$3:$L$6,6,0)/12,0),"")</f>
        <v/>
      </c>
      <c r="G1388" s="29" t="str">
        <f ca="1">IF(I1388&lt;&gt;Variables!$B$1,IF(C1388&lt;&gt;"",$I$9-E1388-F1388,""),-D1388)</f>
        <v/>
      </c>
      <c r="H1388" s="29" t="str">
        <f t="shared" ca="1" si="121"/>
        <v/>
      </c>
      <c r="I1388" s="31" t="str">
        <f ca="1">IF(C1388&lt;&gt;"",IF(D1388+$I$9-E1388-F1388&gt;=0,IF(ISERROR(INDEX($C$3:$C$6,MATCH(C1388,$C$3:$C$6,0)+1,0)),Variables!$B$1,INDEX($C$3:$C$6,MATCH(C1388,$C$3:$C$6,0)+1,0)),""),"")</f>
        <v/>
      </c>
      <c r="J1388" s="29" t="str">
        <f ca="1">IF(ISERROR(VLOOKUP(I1388,$C$3:$L$6,5,0)),"",IF(OR(VLOOKUP(I1388,$C$3:$L$6,5,0)=Variables!$B$5,B1388&gt;VLOOKUP(I1388,$C$3:$L$6,8,0)),IF(VLOOKUP(I1388,$C$3:$L$6,5,0)=Variables!$B$5,((YEAR(B1388)-YEAR($B$12))*12+MONTH(B1388)-MONTH($B$12)),((YEAR(B1388)-YEAR(VLOOKUP(I1388,$C$3:$L$6,8,0)))*12+MONTH(B1388)-MONTH(VLOOKUP(I1388,$C$3:$L$6,8,0))))*(VLOOKUP(I1388,$C$3:$L$6,10,0)*VLOOKUP(I1388,$C$3:$L$6,6,0)/12),0))</f>
        <v/>
      </c>
      <c r="K1388" s="29" t="str">
        <f ca="1">IF(C1388&lt;&gt;"",IF(I1388&lt;&gt;"",IF(ISERROR(VLOOKUP(I1388,$C$3:$L$6,10,0)),"",VLOOKUP(I1388,$C$3:$L$6,10,0)+J1388+IF(OR(VLOOKUP(I1388,$C$3:$L$6,5,0)=Variables!$B$5,B1388&gt;VLOOKUP(I1388,$C$3:$L$6,8,0)),IF(VLOOKUP(I1388,$C$3:$L$6,5,0)=Variables!$B$5,((YEAR(B1388)-YEAR($B$12))*12+MONTH(B1388)-MONTH($B$12)),((YEAR(B1388)-YEAR(VLOOKUP(I1388,$C$3:$L$6,8,0)))*12+MONTH(B1388)-MONTH(VLOOKUP(I1388,$C$3:$L$6,8,0))))*VLOOKUP(I1388,$C$3:$L$6,7,0),0)),""),"")</f>
        <v/>
      </c>
      <c r="L1388" s="29" t="str">
        <f t="shared" ca="1" si="119"/>
        <v/>
      </c>
    </row>
    <row r="1389" spans="2:12" x14ac:dyDescent="0.25">
      <c r="B1389" s="14" t="str">
        <f t="shared" ca="1" si="120"/>
        <v/>
      </c>
      <c r="C1389" s="14" t="str">
        <f ca="1">IF(I1388&lt;&gt;Variables!$B$1,IF(H1388&lt;&gt;0,C1388,I1388),"")</f>
        <v/>
      </c>
      <c r="D1389" s="29" t="str">
        <f t="shared" ca="1" si="117"/>
        <v/>
      </c>
      <c r="E1389" s="29" t="str">
        <f t="shared" ca="1" si="118"/>
        <v/>
      </c>
      <c r="F1389" s="29" t="str">
        <f ca="1">IF(C1389&lt;&gt;"",IF(OR(VLOOKUP(C1389,$C$3:$L$6,5,0)=Variables!$B$5,B1389&gt;VLOOKUP(C1389,$C$3:$L$6,8,0)),-D1389*VLOOKUP(C1389,$C$3:$L$6,6,0)/12,0),"")</f>
        <v/>
      </c>
      <c r="G1389" s="29" t="str">
        <f ca="1">IF(I1389&lt;&gt;Variables!$B$1,IF(C1389&lt;&gt;"",$I$9-E1389-F1389,""),-D1389)</f>
        <v/>
      </c>
      <c r="H1389" s="29" t="str">
        <f t="shared" ca="1" si="121"/>
        <v/>
      </c>
      <c r="I1389" s="31" t="str">
        <f ca="1">IF(C1389&lt;&gt;"",IF(D1389+$I$9-E1389-F1389&gt;=0,IF(ISERROR(INDEX($C$3:$C$6,MATCH(C1389,$C$3:$C$6,0)+1,0)),Variables!$B$1,INDEX($C$3:$C$6,MATCH(C1389,$C$3:$C$6,0)+1,0)),""),"")</f>
        <v/>
      </c>
      <c r="J1389" s="29" t="str">
        <f ca="1">IF(ISERROR(VLOOKUP(I1389,$C$3:$L$6,5,0)),"",IF(OR(VLOOKUP(I1389,$C$3:$L$6,5,0)=Variables!$B$5,B1389&gt;VLOOKUP(I1389,$C$3:$L$6,8,0)),IF(VLOOKUP(I1389,$C$3:$L$6,5,0)=Variables!$B$5,((YEAR(B1389)-YEAR($B$12))*12+MONTH(B1389)-MONTH($B$12)),((YEAR(B1389)-YEAR(VLOOKUP(I1389,$C$3:$L$6,8,0)))*12+MONTH(B1389)-MONTH(VLOOKUP(I1389,$C$3:$L$6,8,0))))*(VLOOKUP(I1389,$C$3:$L$6,10,0)*VLOOKUP(I1389,$C$3:$L$6,6,0)/12),0))</f>
        <v/>
      </c>
      <c r="K1389" s="29" t="str">
        <f ca="1">IF(C1389&lt;&gt;"",IF(I1389&lt;&gt;"",IF(ISERROR(VLOOKUP(I1389,$C$3:$L$6,10,0)),"",VLOOKUP(I1389,$C$3:$L$6,10,0)+J1389+IF(OR(VLOOKUP(I1389,$C$3:$L$6,5,0)=Variables!$B$5,B1389&gt;VLOOKUP(I1389,$C$3:$L$6,8,0)),IF(VLOOKUP(I1389,$C$3:$L$6,5,0)=Variables!$B$5,((YEAR(B1389)-YEAR($B$12))*12+MONTH(B1389)-MONTH($B$12)),((YEAR(B1389)-YEAR(VLOOKUP(I1389,$C$3:$L$6,8,0)))*12+MONTH(B1389)-MONTH(VLOOKUP(I1389,$C$3:$L$6,8,0))))*VLOOKUP(I1389,$C$3:$L$6,7,0),0)),""),"")</f>
        <v/>
      </c>
      <c r="L1389" s="29" t="str">
        <f t="shared" ca="1" si="119"/>
        <v/>
      </c>
    </row>
    <row r="1390" spans="2:12" x14ac:dyDescent="0.25">
      <c r="B1390" s="14" t="str">
        <f t="shared" ca="1" si="120"/>
        <v/>
      </c>
      <c r="C1390" s="14" t="str">
        <f ca="1">IF(I1389&lt;&gt;Variables!$B$1,IF(H1389&lt;&gt;0,C1389,I1389),"")</f>
        <v/>
      </c>
      <c r="D1390" s="29" t="str">
        <f t="shared" ca="1" si="117"/>
        <v/>
      </c>
      <c r="E1390" s="29" t="str">
        <f t="shared" ca="1" si="118"/>
        <v/>
      </c>
      <c r="F1390" s="29" t="str">
        <f ca="1">IF(C1390&lt;&gt;"",IF(OR(VLOOKUP(C1390,$C$3:$L$6,5,0)=Variables!$B$5,B1390&gt;VLOOKUP(C1390,$C$3:$L$6,8,0)),-D1390*VLOOKUP(C1390,$C$3:$L$6,6,0)/12,0),"")</f>
        <v/>
      </c>
      <c r="G1390" s="29" t="str">
        <f ca="1">IF(I1390&lt;&gt;Variables!$B$1,IF(C1390&lt;&gt;"",$I$9-E1390-F1390,""),-D1390)</f>
        <v/>
      </c>
      <c r="H1390" s="29" t="str">
        <f t="shared" ca="1" si="121"/>
        <v/>
      </c>
      <c r="I1390" s="31" t="str">
        <f ca="1">IF(C1390&lt;&gt;"",IF(D1390+$I$9-E1390-F1390&gt;=0,IF(ISERROR(INDEX($C$3:$C$6,MATCH(C1390,$C$3:$C$6,0)+1,0)),Variables!$B$1,INDEX($C$3:$C$6,MATCH(C1390,$C$3:$C$6,0)+1,0)),""),"")</f>
        <v/>
      </c>
      <c r="J1390" s="29" t="str">
        <f ca="1">IF(ISERROR(VLOOKUP(I1390,$C$3:$L$6,5,0)),"",IF(OR(VLOOKUP(I1390,$C$3:$L$6,5,0)=Variables!$B$5,B1390&gt;VLOOKUP(I1390,$C$3:$L$6,8,0)),IF(VLOOKUP(I1390,$C$3:$L$6,5,0)=Variables!$B$5,((YEAR(B1390)-YEAR($B$12))*12+MONTH(B1390)-MONTH($B$12)),((YEAR(B1390)-YEAR(VLOOKUP(I1390,$C$3:$L$6,8,0)))*12+MONTH(B1390)-MONTH(VLOOKUP(I1390,$C$3:$L$6,8,0))))*(VLOOKUP(I1390,$C$3:$L$6,10,0)*VLOOKUP(I1390,$C$3:$L$6,6,0)/12),0))</f>
        <v/>
      </c>
      <c r="K1390" s="29" t="str">
        <f ca="1">IF(C1390&lt;&gt;"",IF(I1390&lt;&gt;"",IF(ISERROR(VLOOKUP(I1390,$C$3:$L$6,10,0)),"",VLOOKUP(I1390,$C$3:$L$6,10,0)+J1390+IF(OR(VLOOKUP(I1390,$C$3:$L$6,5,0)=Variables!$B$5,B1390&gt;VLOOKUP(I1390,$C$3:$L$6,8,0)),IF(VLOOKUP(I1390,$C$3:$L$6,5,0)=Variables!$B$5,((YEAR(B1390)-YEAR($B$12))*12+MONTH(B1390)-MONTH($B$12)),((YEAR(B1390)-YEAR(VLOOKUP(I1390,$C$3:$L$6,8,0)))*12+MONTH(B1390)-MONTH(VLOOKUP(I1390,$C$3:$L$6,8,0))))*VLOOKUP(I1390,$C$3:$L$6,7,0),0)),""),"")</f>
        <v/>
      </c>
      <c r="L1390" s="29" t="str">
        <f t="shared" ca="1" si="119"/>
        <v/>
      </c>
    </row>
    <row r="1391" spans="2:12" x14ac:dyDescent="0.25">
      <c r="B1391" s="14" t="str">
        <f t="shared" ca="1" si="120"/>
        <v/>
      </c>
      <c r="C1391" s="14" t="str">
        <f ca="1">IF(I1390&lt;&gt;Variables!$B$1,IF(H1390&lt;&gt;0,C1390,I1390),"")</f>
        <v/>
      </c>
      <c r="D1391" s="29" t="str">
        <f t="shared" ca="1" si="117"/>
        <v/>
      </c>
      <c r="E1391" s="29" t="str">
        <f t="shared" ca="1" si="118"/>
        <v/>
      </c>
      <c r="F1391" s="29" t="str">
        <f ca="1">IF(C1391&lt;&gt;"",IF(OR(VLOOKUP(C1391,$C$3:$L$6,5,0)=Variables!$B$5,B1391&gt;VLOOKUP(C1391,$C$3:$L$6,8,0)),-D1391*VLOOKUP(C1391,$C$3:$L$6,6,0)/12,0),"")</f>
        <v/>
      </c>
      <c r="G1391" s="29" t="str">
        <f ca="1">IF(I1391&lt;&gt;Variables!$B$1,IF(C1391&lt;&gt;"",$I$9-E1391-F1391,""),-D1391)</f>
        <v/>
      </c>
      <c r="H1391" s="29" t="str">
        <f t="shared" ca="1" si="121"/>
        <v/>
      </c>
      <c r="I1391" s="31" t="str">
        <f ca="1">IF(C1391&lt;&gt;"",IF(D1391+$I$9-E1391-F1391&gt;=0,IF(ISERROR(INDEX($C$3:$C$6,MATCH(C1391,$C$3:$C$6,0)+1,0)),Variables!$B$1,INDEX($C$3:$C$6,MATCH(C1391,$C$3:$C$6,0)+1,0)),""),"")</f>
        <v/>
      </c>
      <c r="J1391" s="29" t="str">
        <f ca="1">IF(ISERROR(VLOOKUP(I1391,$C$3:$L$6,5,0)),"",IF(OR(VLOOKUP(I1391,$C$3:$L$6,5,0)=Variables!$B$5,B1391&gt;VLOOKUP(I1391,$C$3:$L$6,8,0)),IF(VLOOKUP(I1391,$C$3:$L$6,5,0)=Variables!$B$5,((YEAR(B1391)-YEAR($B$12))*12+MONTH(B1391)-MONTH($B$12)),((YEAR(B1391)-YEAR(VLOOKUP(I1391,$C$3:$L$6,8,0)))*12+MONTH(B1391)-MONTH(VLOOKUP(I1391,$C$3:$L$6,8,0))))*(VLOOKUP(I1391,$C$3:$L$6,10,0)*VLOOKUP(I1391,$C$3:$L$6,6,0)/12),0))</f>
        <v/>
      </c>
      <c r="K1391" s="29" t="str">
        <f ca="1">IF(C1391&lt;&gt;"",IF(I1391&lt;&gt;"",IF(ISERROR(VLOOKUP(I1391,$C$3:$L$6,10,0)),"",VLOOKUP(I1391,$C$3:$L$6,10,0)+J1391+IF(OR(VLOOKUP(I1391,$C$3:$L$6,5,0)=Variables!$B$5,B1391&gt;VLOOKUP(I1391,$C$3:$L$6,8,0)),IF(VLOOKUP(I1391,$C$3:$L$6,5,0)=Variables!$B$5,((YEAR(B1391)-YEAR($B$12))*12+MONTH(B1391)-MONTH($B$12)),((YEAR(B1391)-YEAR(VLOOKUP(I1391,$C$3:$L$6,8,0)))*12+MONTH(B1391)-MONTH(VLOOKUP(I1391,$C$3:$L$6,8,0))))*VLOOKUP(I1391,$C$3:$L$6,7,0),0)),""),"")</f>
        <v/>
      </c>
      <c r="L1391" s="29" t="str">
        <f t="shared" ca="1" si="119"/>
        <v/>
      </c>
    </row>
    <row r="1392" spans="2:12" x14ac:dyDescent="0.25">
      <c r="B1392" s="14" t="str">
        <f t="shared" ca="1" si="120"/>
        <v/>
      </c>
      <c r="C1392" s="14" t="str">
        <f ca="1">IF(I1391&lt;&gt;Variables!$B$1,IF(H1391&lt;&gt;0,C1391,I1391),"")</f>
        <v/>
      </c>
      <c r="D1392" s="29" t="str">
        <f t="shared" ca="1" si="117"/>
        <v/>
      </c>
      <c r="E1392" s="29" t="str">
        <f t="shared" ca="1" si="118"/>
        <v/>
      </c>
      <c r="F1392" s="29" t="str">
        <f ca="1">IF(C1392&lt;&gt;"",IF(OR(VLOOKUP(C1392,$C$3:$L$6,5,0)=Variables!$B$5,B1392&gt;VLOOKUP(C1392,$C$3:$L$6,8,0)),-D1392*VLOOKUP(C1392,$C$3:$L$6,6,0)/12,0),"")</f>
        <v/>
      </c>
      <c r="G1392" s="29" t="str">
        <f ca="1">IF(I1392&lt;&gt;Variables!$B$1,IF(C1392&lt;&gt;"",$I$9-E1392-F1392,""),-D1392)</f>
        <v/>
      </c>
      <c r="H1392" s="29" t="str">
        <f t="shared" ca="1" si="121"/>
        <v/>
      </c>
      <c r="I1392" s="31" t="str">
        <f ca="1">IF(C1392&lt;&gt;"",IF(D1392+$I$9-E1392-F1392&gt;=0,IF(ISERROR(INDEX($C$3:$C$6,MATCH(C1392,$C$3:$C$6,0)+1,0)),Variables!$B$1,INDEX($C$3:$C$6,MATCH(C1392,$C$3:$C$6,0)+1,0)),""),"")</f>
        <v/>
      </c>
      <c r="J1392" s="29" t="str">
        <f ca="1">IF(ISERROR(VLOOKUP(I1392,$C$3:$L$6,5,0)),"",IF(OR(VLOOKUP(I1392,$C$3:$L$6,5,0)=Variables!$B$5,B1392&gt;VLOOKUP(I1392,$C$3:$L$6,8,0)),IF(VLOOKUP(I1392,$C$3:$L$6,5,0)=Variables!$B$5,((YEAR(B1392)-YEAR($B$12))*12+MONTH(B1392)-MONTH($B$12)),((YEAR(B1392)-YEAR(VLOOKUP(I1392,$C$3:$L$6,8,0)))*12+MONTH(B1392)-MONTH(VLOOKUP(I1392,$C$3:$L$6,8,0))))*(VLOOKUP(I1392,$C$3:$L$6,10,0)*VLOOKUP(I1392,$C$3:$L$6,6,0)/12),0))</f>
        <v/>
      </c>
      <c r="K1392" s="29" t="str">
        <f ca="1">IF(C1392&lt;&gt;"",IF(I1392&lt;&gt;"",IF(ISERROR(VLOOKUP(I1392,$C$3:$L$6,10,0)),"",VLOOKUP(I1392,$C$3:$L$6,10,0)+J1392+IF(OR(VLOOKUP(I1392,$C$3:$L$6,5,0)=Variables!$B$5,B1392&gt;VLOOKUP(I1392,$C$3:$L$6,8,0)),IF(VLOOKUP(I1392,$C$3:$L$6,5,0)=Variables!$B$5,((YEAR(B1392)-YEAR($B$12))*12+MONTH(B1392)-MONTH($B$12)),((YEAR(B1392)-YEAR(VLOOKUP(I1392,$C$3:$L$6,8,0)))*12+MONTH(B1392)-MONTH(VLOOKUP(I1392,$C$3:$L$6,8,0))))*VLOOKUP(I1392,$C$3:$L$6,7,0),0)),""),"")</f>
        <v/>
      </c>
      <c r="L1392" s="29" t="str">
        <f t="shared" ca="1" si="119"/>
        <v/>
      </c>
    </row>
    <row r="1393" spans="2:12" x14ac:dyDescent="0.25">
      <c r="B1393" s="14" t="str">
        <f t="shared" ca="1" si="120"/>
        <v/>
      </c>
      <c r="C1393" s="14" t="str">
        <f ca="1">IF(I1392&lt;&gt;Variables!$B$1,IF(H1392&lt;&gt;0,C1392,I1392),"")</f>
        <v/>
      </c>
      <c r="D1393" s="29" t="str">
        <f t="shared" ca="1" si="117"/>
        <v/>
      </c>
      <c r="E1393" s="29" t="str">
        <f t="shared" ca="1" si="118"/>
        <v/>
      </c>
      <c r="F1393" s="29" t="str">
        <f ca="1">IF(C1393&lt;&gt;"",IF(OR(VLOOKUP(C1393,$C$3:$L$6,5,0)=Variables!$B$5,B1393&gt;VLOOKUP(C1393,$C$3:$L$6,8,0)),-D1393*VLOOKUP(C1393,$C$3:$L$6,6,0)/12,0),"")</f>
        <v/>
      </c>
      <c r="G1393" s="29" t="str">
        <f ca="1">IF(I1393&lt;&gt;Variables!$B$1,IF(C1393&lt;&gt;"",$I$9-E1393-F1393,""),-D1393)</f>
        <v/>
      </c>
      <c r="H1393" s="29" t="str">
        <f t="shared" ca="1" si="121"/>
        <v/>
      </c>
      <c r="I1393" s="31" t="str">
        <f ca="1">IF(C1393&lt;&gt;"",IF(D1393+$I$9-E1393-F1393&gt;=0,IF(ISERROR(INDEX($C$3:$C$6,MATCH(C1393,$C$3:$C$6,0)+1,0)),Variables!$B$1,INDEX($C$3:$C$6,MATCH(C1393,$C$3:$C$6,0)+1,0)),""),"")</f>
        <v/>
      </c>
      <c r="J1393" s="29" t="str">
        <f ca="1">IF(ISERROR(VLOOKUP(I1393,$C$3:$L$6,5,0)),"",IF(OR(VLOOKUP(I1393,$C$3:$L$6,5,0)=Variables!$B$5,B1393&gt;VLOOKUP(I1393,$C$3:$L$6,8,0)),IF(VLOOKUP(I1393,$C$3:$L$6,5,0)=Variables!$B$5,((YEAR(B1393)-YEAR($B$12))*12+MONTH(B1393)-MONTH($B$12)),((YEAR(B1393)-YEAR(VLOOKUP(I1393,$C$3:$L$6,8,0)))*12+MONTH(B1393)-MONTH(VLOOKUP(I1393,$C$3:$L$6,8,0))))*(VLOOKUP(I1393,$C$3:$L$6,10,0)*VLOOKUP(I1393,$C$3:$L$6,6,0)/12),0))</f>
        <v/>
      </c>
      <c r="K1393" s="29" t="str">
        <f ca="1">IF(C1393&lt;&gt;"",IF(I1393&lt;&gt;"",IF(ISERROR(VLOOKUP(I1393,$C$3:$L$6,10,0)),"",VLOOKUP(I1393,$C$3:$L$6,10,0)+J1393+IF(OR(VLOOKUP(I1393,$C$3:$L$6,5,0)=Variables!$B$5,B1393&gt;VLOOKUP(I1393,$C$3:$L$6,8,0)),IF(VLOOKUP(I1393,$C$3:$L$6,5,0)=Variables!$B$5,((YEAR(B1393)-YEAR($B$12))*12+MONTH(B1393)-MONTH($B$12)),((YEAR(B1393)-YEAR(VLOOKUP(I1393,$C$3:$L$6,8,0)))*12+MONTH(B1393)-MONTH(VLOOKUP(I1393,$C$3:$L$6,8,0))))*VLOOKUP(I1393,$C$3:$L$6,7,0),0)),""),"")</f>
        <v/>
      </c>
      <c r="L1393" s="29" t="str">
        <f t="shared" ca="1" si="119"/>
        <v/>
      </c>
    </row>
    <row r="1394" spans="2:12" x14ac:dyDescent="0.25">
      <c r="B1394" s="14" t="str">
        <f t="shared" ca="1" si="120"/>
        <v/>
      </c>
      <c r="C1394" s="14" t="str">
        <f ca="1">IF(I1393&lt;&gt;Variables!$B$1,IF(H1393&lt;&gt;0,C1393,I1393),"")</f>
        <v/>
      </c>
      <c r="D1394" s="29" t="str">
        <f t="shared" ca="1" si="117"/>
        <v/>
      </c>
      <c r="E1394" s="29" t="str">
        <f t="shared" ca="1" si="118"/>
        <v/>
      </c>
      <c r="F1394" s="29" t="str">
        <f ca="1">IF(C1394&lt;&gt;"",IF(OR(VLOOKUP(C1394,$C$3:$L$6,5,0)=Variables!$B$5,B1394&gt;VLOOKUP(C1394,$C$3:$L$6,8,0)),-D1394*VLOOKUP(C1394,$C$3:$L$6,6,0)/12,0),"")</f>
        <v/>
      </c>
      <c r="G1394" s="29" t="str">
        <f ca="1">IF(I1394&lt;&gt;Variables!$B$1,IF(C1394&lt;&gt;"",$I$9-E1394-F1394,""),-D1394)</f>
        <v/>
      </c>
      <c r="H1394" s="29" t="str">
        <f t="shared" ca="1" si="121"/>
        <v/>
      </c>
      <c r="I1394" s="31" t="str">
        <f ca="1">IF(C1394&lt;&gt;"",IF(D1394+$I$9-E1394-F1394&gt;=0,IF(ISERROR(INDEX($C$3:$C$6,MATCH(C1394,$C$3:$C$6,0)+1,0)),Variables!$B$1,INDEX($C$3:$C$6,MATCH(C1394,$C$3:$C$6,0)+1,0)),""),"")</f>
        <v/>
      </c>
      <c r="J1394" s="29" t="str">
        <f ca="1">IF(ISERROR(VLOOKUP(I1394,$C$3:$L$6,5,0)),"",IF(OR(VLOOKUP(I1394,$C$3:$L$6,5,0)=Variables!$B$5,B1394&gt;VLOOKUP(I1394,$C$3:$L$6,8,0)),IF(VLOOKUP(I1394,$C$3:$L$6,5,0)=Variables!$B$5,((YEAR(B1394)-YEAR($B$12))*12+MONTH(B1394)-MONTH($B$12)),((YEAR(B1394)-YEAR(VLOOKUP(I1394,$C$3:$L$6,8,0)))*12+MONTH(B1394)-MONTH(VLOOKUP(I1394,$C$3:$L$6,8,0))))*(VLOOKUP(I1394,$C$3:$L$6,10,0)*VLOOKUP(I1394,$C$3:$L$6,6,0)/12),0))</f>
        <v/>
      </c>
      <c r="K1394" s="29" t="str">
        <f ca="1">IF(C1394&lt;&gt;"",IF(I1394&lt;&gt;"",IF(ISERROR(VLOOKUP(I1394,$C$3:$L$6,10,0)),"",VLOOKUP(I1394,$C$3:$L$6,10,0)+J1394+IF(OR(VLOOKUP(I1394,$C$3:$L$6,5,0)=Variables!$B$5,B1394&gt;VLOOKUP(I1394,$C$3:$L$6,8,0)),IF(VLOOKUP(I1394,$C$3:$L$6,5,0)=Variables!$B$5,((YEAR(B1394)-YEAR($B$12))*12+MONTH(B1394)-MONTH($B$12)),((YEAR(B1394)-YEAR(VLOOKUP(I1394,$C$3:$L$6,8,0)))*12+MONTH(B1394)-MONTH(VLOOKUP(I1394,$C$3:$L$6,8,0))))*VLOOKUP(I1394,$C$3:$L$6,7,0),0)),""),"")</f>
        <v/>
      </c>
      <c r="L1394" s="29" t="str">
        <f t="shared" ca="1" si="119"/>
        <v/>
      </c>
    </row>
    <row r="1395" spans="2:12" x14ac:dyDescent="0.25">
      <c r="B1395" s="14" t="str">
        <f t="shared" ca="1" si="120"/>
        <v/>
      </c>
      <c r="C1395" s="14" t="str">
        <f ca="1">IF(I1394&lt;&gt;Variables!$B$1,IF(H1394&lt;&gt;0,C1394,I1394),"")</f>
        <v/>
      </c>
      <c r="D1395" s="29" t="str">
        <f t="shared" ca="1" si="117"/>
        <v/>
      </c>
      <c r="E1395" s="29" t="str">
        <f t="shared" ca="1" si="118"/>
        <v/>
      </c>
      <c r="F1395" s="29" t="str">
        <f ca="1">IF(C1395&lt;&gt;"",IF(OR(VLOOKUP(C1395,$C$3:$L$6,5,0)=Variables!$B$5,B1395&gt;VLOOKUP(C1395,$C$3:$L$6,8,0)),-D1395*VLOOKUP(C1395,$C$3:$L$6,6,0)/12,0),"")</f>
        <v/>
      </c>
      <c r="G1395" s="29" t="str">
        <f ca="1">IF(I1395&lt;&gt;Variables!$B$1,IF(C1395&lt;&gt;"",$I$9-E1395-F1395,""),-D1395)</f>
        <v/>
      </c>
      <c r="H1395" s="29" t="str">
        <f t="shared" ca="1" si="121"/>
        <v/>
      </c>
      <c r="I1395" s="31" t="str">
        <f ca="1">IF(C1395&lt;&gt;"",IF(D1395+$I$9-E1395-F1395&gt;=0,IF(ISERROR(INDEX($C$3:$C$6,MATCH(C1395,$C$3:$C$6,0)+1,0)),Variables!$B$1,INDEX($C$3:$C$6,MATCH(C1395,$C$3:$C$6,0)+1,0)),""),"")</f>
        <v/>
      </c>
      <c r="J1395" s="29" t="str">
        <f ca="1">IF(ISERROR(VLOOKUP(I1395,$C$3:$L$6,5,0)),"",IF(OR(VLOOKUP(I1395,$C$3:$L$6,5,0)=Variables!$B$5,B1395&gt;VLOOKUP(I1395,$C$3:$L$6,8,0)),IF(VLOOKUP(I1395,$C$3:$L$6,5,0)=Variables!$B$5,((YEAR(B1395)-YEAR($B$12))*12+MONTH(B1395)-MONTH($B$12)),((YEAR(B1395)-YEAR(VLOOKUP(I1395,$C$3:$L$6,8,0)))*12+MONTH(B1395)-MONTH(VLOOKUP(I1395,$C$3:$L$6,8,0))))*(VLOOKUP(I1395,$C$3:$L$6,10,0)*VLOOKUP(I1395,$C$3:$L$6,6,0)/12),0))</f>
        <v/>
      </c>
      <c r="K1395" s="29" t="str">
        <f ca="1">IF(C1395&lt;&gt;"",IF(I1395&lt;&gt;"",IF(ISERROR(VLOOKUP(I1395,$C$3:$L$6,10,0)),"",VLOOKUP(I1395,$C$3:$L$6,10,0)+J1395+IF(OR(VLOOKUP(I1395,$C$3:$L$6,5,0)=Variables!$B$5,B1395&gt;VLOOKUP(I1395,$C$3:$L$6,8,0)),IF(VLOOKUP(I1395,$C$3:$L$6,5,0)=Variables!$B$5,((YEAR(B1395)-YEAR($B$12))*12+MONTH(B1395)-MONTH($B$12)),((YEAR(B1395)-YEAR(VLOOKUP(I1395,$C$3:$L$6,8,0)))*12+MONTH(B1395)-MONTH(VLOOKUP(I1395,$C$3:$L$6,8,0))))*VLOOKUP(I1395,$C$3:$L$6,7,0),0)),""),"")</f>
        <v/>
      </c>
      <c r="L1395" s="29" t="str">
        <f t="shared" ca="1" si="119"/>
        <v/>
      </c>
    </row>
    <row r="1396" spans="2:12" x14ac:dyDescent="0.25">
      <c r="B1396" s="14" t="str">
        <f t="shared" ca="1" si="120"/>
        <v/>
      </c>
      <c r="C1396" s="14" t="str">
        <f ca="1">IF(I1395&lt;&gt;Variables!$B$1,IF(H1395&lt;&gt;0,C1395,I1395),"")</f>
        <v/>
      </c>
      <c r="D1396" s="29" t="str">
        <f t="shared" ca="1" si="117"/>
        <v/>
      </c>
      <c r="E1396" s="29" t="str">
        <f t="shared" ca="1" si="118"/>
        <v/>
      </c>
      <c r="F1396" s="29" t="str">
        <f ca="1">IF(C1396&lt;&gt;"",IF(OR(VLOOKUP(C1396,$C$3:$L$6,5,0)=Variables!$B$5,B1396&gt;VLOOKUP(C1396,$C$3:$L$6,8,0)),-D1396*VLOOKUP(C1396,$C$3:$L$6,6,0)/12,0),"")</f>
        <v/>
      </c>
      <c r="G1396" s="29" t="str">
        <f ca="1">IF(I1396&lt;&gt;Variables!$B$1,IF(C1396&lt;&gt;"",$I$9-E1396-F1396,""),-D1396)</f>
        <v/>
      </c>
      <c r="H1396" s="29" t="str">
        <f t="shared" ca="1" si="121"/>
        <v/>
      </c>
      <c r="I1396" s="31" t="str">
        <f ca="1">IF(C1396&lt;&gt;"",IF(D1396+$I$9-E1396-F1396&gt;=0,IF(ISERROR(INDEX($C$3:$C$6,MATCH(C1396,$C$3:$C$6,0)+1,0)),Variables!$B$1,INDEX($C$3:$C$6,MATCH(C1396,$C$3:$C$6,0)+1,0)),""),"")</f>
        <v/>
      </c>
      <c r="J1396" s="29" t="str">
        <f ca="1">IF(ISERROR(VLOOKUP(I1396,$C$3:$L$6,5,0)),"",IF(OR(VLOOKUP(I1396,$C$3:$L$6,5,0)=Variables!$B$5,B1396&gt;VLOOKUP(I1396,$C$3:$L$6,8,0)),IF(VLOOKUP(I1396,$C$3:$L$6,5,0)=Variables!$B$5,((YEAR(B1396)-YEAR($B$12))*12+MONTH(B1396)-MONTH($B$12)),((YEAR(B1396)-YEAR(VLOOKUP(I1396,$C$3:$L$6,8,0)))*12+MONTH(B1396)-MONTH(VLOOKUP(I1396,$C$3:$L$6,8,0))))*(VLOOKUP(I1396,$C$3:$L$6,10,0)*VLOOKUP(I1396,$C$3:$L$6,6,0)/12),0))</f>
        <v/>
      </c>
      <c r="K1396" s="29" t="str">
        <f ca="1">IF(C1396&lt;&gt;"",IF(I1396&lt;&gt;"",IF(ISERROR(VLOOKUP(I1396,$C$3:$L$6,10,0)),"",VLOOKUP(I1396,$C$3:$L$6,10,0)+J1396+IF(OR(VLOOKUP(I1396,$C$3:$L$6,5,0)=Variables!$B$5,B1396&gt;VLOOKUP(I1396,$C$3:$L$6,8,0)),IF(VLOOKUP(I1396,$C$3:$L$6,5,0)=Variables!$B$5,((YEAR(B1396)-YEAR($B$12))*12+MONTH(B1396)-MONTH($B$12)),((YEAR(B1396)-YEAR(VLOOKUP(I1396,$C$3:$L$6,8,0)))*12+MONTH(B1396)-MONTH(VLOOKUP(I1396,$C$3:$L$6,8,0))))*VLOOKUP(I1396,$C$3:$L$6,7,0),0)),""),"")</f>
        <v/>
      </c>
      <c r="L1396" s="29" t="str">
        <f t="shared" ca="1" si="119"/>
        <v/>
      </c>
    </row>
    <row r="1397" spans="2:12" x14ac:dyDescent="0.25">
      <c r="B1397" s="14" t="str">
        <f t="shared" ca="1" si="120"/>
        <v/>
      </c>
      <c r="C1397" s="14" t="str">
        <f ca="1">IF(I1396&lt;&gt;Variables!$B$1,IF(H1396&lt;&gt;0,C1396,I1396),"")</f>
        <v/>
      </c>
      <c r="D1397" s="29" t="str">
        <f t="shared" ca="1" si="117"/>
        <v/>
      </c>
      <c r="E1397" s="29" t="str">
        <f t="shared" ca="1" si="118"/>
        <v/>
      </c>
      <c r="F1397" s="29" t="str">
        <f ca="1">IF(C1397&lt;&gt;"",IF(OR(VLOOKUP(C1397,$C$3:$L$6,5,0)=Variables!$B$5,B1397&gt;VLOOKUP(C1397,$C$3:$L$6,8,0)),-D1397*VLOOKUP(C1397,$C$3:$L$6,6,0)/12,0),"")</f>
        <v/>
      </c>
      <c r="G1397" s="29" t="str">
        <f ca="1">IF(I1397&lt;&gt;Variables!$B$1,IF(C1397&lt;&gt;"",$I$9-E1397-F1397,""),-D1397)</f>
        <v/>
      </c>
      <c r="H1397" s="29" t="str">
        <f t="shared" ca="1" si="121"/>
        <v/>
      </c>
      <c r="I1397" s="31" t="str">
        <f ca="1">IF(C1397&lt;&gt;"",IF(D1397+$I$9-E1397-F1397&gt;=0,IF(ISERROR(INDEX($C$3:$C$6,MATCH(C1397,$C$3:$C$6,0)+1,0)),Variables!$B$1,INDEX($C$3:$C$6,MATCH(C1397,$C$3:$C$6,0)+1,0)),""),"")</f>
        <v/>
      </c>
      <c r="J1397" s="29" t="str">
        <f ca="1">IF(ISERROR(VLOOKUP(I1397,$C$3:$L$6,5,0)),"",IF(OR(VLOOKUP(I1397,$C$3:$L$6,5,0)=Variables!$B$5,B1397&gt;VLOOKUP(I1397,$C$3:$L$6,8,0)),IF(VLOOKUP(I1397,$C$3:$L$6,5,0)=Variables!$B$5,((YEAR(B1397)-YEAR($B$12))*12+MONTH(B1397)-MONTH($B$12)),((YEAR(B1397)-YEAR(VLOOKUP(I1397,$C$3:$L$6,8,0)))*12+MONTH(B1397)-MONTH(VLOOKUP(I1397,$C$3:$L$6,8,0))))*(VLOOKUP(I1397,$C$3:$L$6,10,0)*VLOOKUP(I1397,$C$3:$L$6,6,0)/12),0))</f>
        <v/>
      </c>
      <c r="K1397" s="29" t="str">
        <f ca="1">IF(C1397&lt;&gt;"",IF(I1397&lt;&gt;"",IF(ISERROR(VLOOKUP(I1397,$C$3:$L$6,10,0)),"",VLOOKUP(I1397,$C$3:$L$6,10,0)+J1397+IF(OR(VLOOKUP(I1397,$C$3:$L$6,5,0)=Variables!$B$5,B1397&gt;VLOOKUP(I1397,$C$3:$L$6,8,0)),IF(VLOOKUP(I1397,$C$3:$L$6,5,0)=Variables!$B$5,((YEAR(B1397)-YEAR($B$12))*12+MONTH(B1397)-MONTH($B$12)),((YEAR(B1397)-YEAR(VLOOKUP(I1397,$C$3:$L$6,8,0)))*12+MONTH(B1397)-MONTH(VLOOKUP(I1397,$C$3:$L$6,8,0))))*VLOOKUP(I1397,$C$3:$L$6,7,0),0)),""),"")</f>
        <v/>
      </c>
      <c r="L1397" s="29" t="str">
        <f t="shared" ca="1" si="119"/>
        <v/>
      </c>
    </row>
    <row r="1398" spans="2:12" x14ac:dyDescent="0.25">
      <c r="B1398" s="14" t="str">
        <f t="shared" ca="1" si="120"/>
        <v/>
      </c>
      <c r="C1398" s="14" t="str">
        <f ca="1">IF(I1397&lt;&gt;Variables!$B$1,IF(H1397&lt;&gt;0,C1397,I1397),"")</f>
        <v/>
      </c>
      <c r="D1398" s="29" t="str">
        <f t="shared" ca="1" si="117"/>
        <v/>
      </c>
      <c r="E1398" s="29" t="str">
        <f t="shared" ca="1" si="118"/>
        <v/>
      </c>
      <c r="F1398" s="29" t="str">
        <f ca="1">IF(C1398&lt;&gt;"",IF(OR(VLOOKUP(C1398,$C$3:$L$6,5,0)=Variables!$B$5,B1398&gt;VLOOKUP(C1398,$C$3:$L$6,8,0)),-D1398*VLOOKUP(C1398,$C$3:$L$6,6,0)/12,0),"")</f>
        <v/>
      </c>
      <c r="G1398" s="29" t="str">
        <f ca="1">IF(I1398&lt;&gt;Variables!$B$1,IF(C1398&lt;&gt;"",$I$9-E1398-F1398,""),-D1398)</f>
        <v/>
      </c>
      <c r="H1398" s="29" t="str">
        <f t="shared" ca="1" si="121"/>
        <v/>
      </c>
      <c r="I1398" s="31" t="str">
        <f ca="1">IF(C1398&lt;&gt;"",IF(D1398+$I$9-E1398-F1398&gt;=0,IF(ISERROR(INDEX($C$3:$C$6,MATCH(C1398,$C$3:$C$6,0)+1,0)),Variables!$B$1,INDEX($C$3:$C$6,MATCH(C1398,$C$3:$C$6,0)+1,0)),""),"")</f>
        <v/>
      </c>
      <c r="J1398" s="29" t="str">
        <f ca="1">IF(ISERROR(VLOOKUP(I1398,$C$3:$L$6,5,0)),"",IF(OR(VLOOKUP(I1398,$C$3:$L$6,5,0)=Variables!$B$5,B1398&gt;VLOOKUP(I1398,$C$3:$L$6,8,0)),IF(VLOOKUP(I1398,$C$3:$L$6,5,0)=Variables!$B$5,((YEAR(B1398)-YEAR($B$12))*12+MONTH(B1398)-MONTH($B$12)),((YEAR(B1398)-YEAR(VLOOKUP(I1398,$C$3:$L$6,8,0)))*12+MONTH(B1398)-MONTH(VLOOKUP(I1398,$C$3:$L$6,8,0))))*(VLOOKUP(I1398,$C$3:$L$6,10,0)*VLOOKUP(I1398,$C$3:$L$6,6,0)/12),0))</f>
        <v/>
      </c>
      <c r="K1398" s="29" t="str">
        <f ca="1">IF(C1398&lt;&gt;"",IF(I1398&lt;&gt;"",IF(ISERROR(VLOOKUP(I1398,$C$3:$L$6,10,0)),"",VLOOKUP(I1398,$C$3:$L$6,10,0)+J1398+IF(OR(VLOOKUP(I1398,$C$3:$L$6,5,0)=Variables!$B$5,B1398&gt;VLOOKUP(I1398,$C$3:$L$6,8,0)),IF(VLOOKUP(I1398,$C$3:$L$6,5,0)=Variables!$B$5,((YEAR(B1398)-YEAR($B$12))*12+MONTH(B1398)-MONTH($B$12)),((YEAR(B1398)-YEAR(VLOOKUP(I1398,$C$3:$L$6,8,0)))*12+MONTH(B1398)-MONTH(VLOOKUP(I1398,$C$3:$L$6,8,0))))*VLOOKUP(I1398,$C$3:$L$6,7,0),0)),""),"")</f>
        <v/>
      </c>
      <c r="L1398" s="29" t="str">
        <f t="shared" ca="1" si="119"/>
        <v/>
      </c>
    </row>
    <row r="1399" spans="2:12" x14ac:dyDescent="0.25">
      <c r="B1399" s="14" t="str">
        <f t="shared" ca="1" si="120"/>
        <v/>
      </c>
      <c r="C1399" s="14" t="str">
        <f ca="1">IF(I1398&lt;&gt;Variables!$B$1,IF(H1398&lt;&gt;0,C1398,I1398),"")</f>
        <v/>
      </c>
      <c r="D1399" s="29" t="str">
        <f t="shared" ca="1" si="117"/>
        <v/>
      </c>
      <c r="E1399" s="29" t="str">
        <f t="shared" ca="1" si="118"/>
        <v/>
      </c>
      <c r="F1399" s="29" t="str">
        <f ca="1">IF(C1399&lt;&gt;"",IF(OR(VLOOKUP(C1399,$C$3:$L$6,5,0)=Variables!$B$5,B1399&gt;VLOOKUP(C1399,$C$3:$L$6,8,0)),-D1399*VLOOKUP(C1399,$C$3:$L$6,6,0)/12,0),"")</f>
        <v/>
      </c>
      <c r="G1399" s="29" t="str">
        <f ca="1">IF(I1399&lt;&gt;Variables!$B$1,IF(C1399&lt;&gt;"",$I$9-E1399-F1399,""),-D1399)</f>
        <v/>
      </c>
      <c r="H1399" s="29" t="str">
        <f t="shared" ca="1" si="121"/>
        <v/>
      </c>
      <c r="I1399" s="31" t="str">
        <f ca="1">IF(C1399&lt;&gt;"",IF(D1399+$I$9-E1399-F1399&gt;=0,IF(ISERROR(INDEX($C$3:$C$6,MATCH(C1399,$C$3:$C$6,0)+1,0)),Variables!$B$1,INDEX($C$3:$C$6,MATCH(C1399,$C$3:$C$6,0)+1,0)),""),"")</f>
        <v/>
      </c>
      <c r="J1399" s="29" t="str">
        <f ca="1">IF(ISERROR(VLOOKUP(I1399,$C$3:$L$6,5,0)),"",IF(OR(VLOOKUP(I1399,$C$3:$L$6,5,0)=Variables!$B$5,B1399&gt;VLOOKUP(I1399,$C$3:$L$6,8,0)),IF(VLOOKUP(I1399,$C$3:$L$6,5,0)=Variables!$B$5,((YEAR(B1399)-YEAR($B$12))*12+MONTH(B1399)-MONTH($B$12)),((YEAR(B1399)-YEAR(VLOOKUP(I1399,$C$3:$L$6,8,0)))*12+MONTH(B1399)-MONTH(VLOOKUP(I1399,$C$3:$L$6,8,0))))*(VLOOKUP(I1399,$C$3:$L$6,10,0)*VLOOKUP(I1399,$C$3:$L$6,6,0)/12),0))</f>
        <v/>
      </c>
      <c r="K1399" s="29" t="str">
        <f ca="1">IF(C1399&lt;&gt;"",IF(I1399&lt;&gt;"",IF(ISERROR(VLOOKUP(I1399,$C$3:$L$6,10,0)),"",VLOOKUP(I1399,$C$3:$L$6,10,0)+J1399+IF(OR(VLOOKUP(I1399,$C$3:$L$6,5,0)=Variables!$B$5,B1399&gt;VLOOKUP(I1399,$C$3:$L$6,8,0)),IF(VLOOKUP(I1399,$C$3:$L$6,5,0)=Variables!$B$5,((YEAR(B1399)-YEAR($B$12))*12+MONTH(B1399)-MONTH($B$12)),((YEAR(B1399)-YEAR(VLOOKUP(I1399,$C$3:$L$6,8,0)))*12+MONTH(B1399)-MONTH(VLOOKUP(I1399,$C$3:$L$6,8,0))))*VLOOKUP(I1399,$C$3:$L$6,7,0),0)),""),"")</f>
        <v/>
      </c>
      <c r="L1399" s="29" t="str">
        <f t="shared" ca="1" si="119"/>
        <v/>
      </c>
    </row>
    <row r="1400" spans="2:12" x14ac:dyDescent="0.25">
      <c r="B1400" s="14" t="str">
        <f t="shared" ca="1" si="120"/>
        <v/>
      </c>
      <c r="C1400" s="14" t="str">
        <f ca="1">IF(I1399&lt;&gt;Variables!$B$1,IF(H1399&lt;&gt;0,C1399,I1399),"")</f>
        <v/>
      </c>
      <c r="D1400" s="29" t="str">
        <f t="shared" ca="1" si="117"/>
        <v/>
      </c>
      <c r="E1400" s="29" t="str">
        <f t="shared" ca="1" si="118"/>
        <v/>
      </c>
      <c r="F1400" s="29" t="str">
        <f ca="1">IF(C1400&lt;&gt;"",IF(OR(VLOOKUP(C1400,$C$3:$L$6,5,0)=Variables!$B$5,B1400&gt;VLOOKUP(C1400,$C$3:$L$6,8,0)),-D1400*VLOOKUP(C1400,$C$3:$L$6,6,0)/12,0),"")</f>
        <v/>
      </c>
      <c r="G1400" s="29" t="str">
        <f ca="1">IF(I1400&lt;&gt;Variables!$B$1,IF(C1400&lt;&gt;"",$I$9-E1400-F1400,""),-D1400)</f>
        <v/>
      </c>
      <c r="H1400" s="29" t="str">
        <f t="shared" ca="1" si="121"/>
        <v/>
      </c>
      <c r="I1400" s="31" t="str">
        <f ca="1">IF(C1400&lt;&gt;"",IF(D1400+$I$9-E1400-F1400&gt;=0,IF(ISERROR(INDEX($C$3:$C$6,MATCH(C1400,$C$3:$C$6,0)+1,0)),Variables!$B$1,INDEX($C$3:$C$6,MATCH(C1400,$C$3:$C$6,0)+1,0)),""),"")</f>
        <v/>
      </c>
      <c r="J1400" s="29" t="str">
        <f ca="1">IF(ISERROR(VLOOKUP(I1400,$C$3:$L$6,5,0)),"",IF(OR(VLOOKUP(I1400,$C$3:$L$6,5,0)=Variables!$B$5,B1400&gt;VLOOKUP(I1400,$C$3:$L$6,8,0)),IF(VLOOKUP(I1400,$C$3:$L$6,5,0)=Variables!$B$5,((YEAR(B1400)-YEAR($B$12))*12+MONTH(B1400)-MONTH($B$12)),((YEAR(B1400)-YEAR(VLOOKUP(I1400,$C$3:$L$6,8,0)))*12+MONTH(B1400)-MONTH(VLOOKUP(I1400,$C$3:$L$6,8,0))))*(VLOOKUP(I1400,$C$3:$L$6,10,0)*VLOOKUP(I1400,$C$3:$L$6,6,0)/12),0))</f>
        <v/>
      </c>
      <c r="K1400" s="29" t="str">
        <f ca="1">IF(C1400&lt;&gt;"",IF(I1400&lt;&gt;"",IF(ISERROR(VLOOKUP(I1400,$C$3:$L$6,10,0)),"",VLOOKUP(I1400,$C$3:$L$6,10,0)+J1400+IF(OR(VLOOKUP(I1400,$C$3:$L$6,5,0)=Variables!$B$5,B1400&gt;VLOOKUP(I1400,$C$3:$L$6,8,0)),IF(VLOOKUP(I1400,$C$3:$L$6,5,0)=Variables!$B$5,((YEAR(B1400)-YEAR($B$12))*12+MONTH(B1400)-MONTH($B$12)),((YEAR(B1400)-YEAR(VLOOKUP(I1400,$C$3:$L$6,8,0)))*12+MONTH(B1400)-MONTH(VLOOKUP(I1400,$C$3:$L$6,8,0))))*VLOOKUP(I1400,$C$3:$L$6,7,0),0)),""),"")</f>
        <v/>
      </c>
      <c r="L1400" s="29" t="str">
        <f t="shared" ca="1" si="119"/>
        <v/>
      </c>
    </row>
    <row r="1401" spans="2:12" x14ac:dyDescent="0.25">
      <c r="B1401" s="14" t="str">
        <f t="shared" ca="1" si="120"/>
        <v/>
      </c>
      <c r="C1401" s="14" t="str">
        <f ca="1">IF(I1400&lt;&gt;Variables!$B$1,IF(H1400&lt;&gt;0,C1400,I1400),"")</f>
        <v/>
      </c>
      <c r="D1401" s="29" t="str">
        <f t="shared" ca="1" si="117"/>
        <v/>
      </c>
      <c r="E1401" s="29" t="str">
        <f t="shared" ca="1" si="118"/>
        <v/>
      </c>
      <c r="F1401" s="29" t="str">
        <f ca="1">IF(C1401&lt;&gt;"",IF(OR(VLOOKUP(C1401,$C$3:$L$6,5,0)=Variables!$B$5,B1401&gt;VLOOKUP(C1401,$C$3:$L$6,8,0)),-D1401*VLOOKUP(C1401,$C$3:$L$6,6,0)/12,0),"")</f>
        <v/>
      </c>
      <c r="G1401" s="29" t="str">
        <f ca="1">IF(I1401&lt;&gt;Variables!$B$1,IF(C1401&lt;&gt;"",$I$9-E1401-F1401,""),-D1401)</f>
        <v/>
      </c>
      <c r="H1401" s="29" t="str">
        <f t="shared" ca="1" si="121"/>
        <v/>
      </c>
      <c r="I1401" s="31" t="str">
        <f ca="1">IF(C1401&lt;&gt;"",IF(D1401+$I$9-E1401-F1401&gt;=0,IF(ISERROR(INDEX($C$3:$C$6,MATCH(C1401,$C$3:$C$6,0)+1,0)),Variables!$B$1,INDEX($C$3:$C$6,MATCH(C1401,$C$3:$C$6,0)+1,0)),""),"")</f>
        <v/>
      </c>
      <c r="J1401" s="29" t="str">
        <f ca="1">IF(ISERROR(VLOOKUP(I1401,$C$3:$L$6,5,0)),"",IF(OR(VLOOKUP(I1401,$C$3:$L$6,5,0)=Variables!$B$5,B1401&gt;VLOOKUP(I1401,$C$3:$L$6,8,0)),IF(VLOOKUP(I1401,$C$3:$L$6,5,0)=Variables!$B$5,((YEAR(B1401)-YEAR($B$12))*12+MONTH(B1401)-MONTH($B$12)),((YEAR(B1401)-YEAR(VLOOKUP(I1401,$C$3:$L$6,8,0)))*12+MONTH(B1401)-MONTH(VLOOKUP(I1401,$C$3:$L$6,8,0))))*(VLOOKUP(I1401,$C$3:$L$6,10,0)*VLOOKUP(I1401,$C$3:$L$6,6,0)/12),0))</f>
        <v/>
      </c>
      <c r="K1401" s="29" t="str">
        <f ca="1">IF(C1401&lt;&gt;"",IF(I1401&lt;&gt;"",IF(ISERROR(VLOOKUP(I1401,$C$3:$L$6,10,0)),"",VLOOKUP(I1401,$C$3:$L$6,10,0)+J1401+IF(OR(VLOOKUP(I1401,$C$3:$L$6,5,0)=Variables!$B$5,B1401&gt;VLOOKUP(I1401,$C$3:$L$6,8,0)),IF(VLOOKUP(I1401,$C$3:$L$6,5,0)=Variables!$B$5,((YEAR(B1401)-YEAR($B$12))*12+MONTH(B1401)-MONTH($B$12)),((YEAR(B1401)-YEAR(VLOOKUP(I1401,$C$3:$L$6,8,0)))*12+MONTH(B1401)-MONTH(VLOOKUP(I1401,$C$3:$L$6,8,0))))*VLOOKUP(I1401,$C$3:$L$6,7,0),0)),""),"")</f>
        <v/>
      </c>
      <c r="L1401" s="29" t="str">
        <f t="shared" ca="1" si="119"/>
        <v/>
      </c>
    </row>
    <row r="1402" spans="2:12" x14ac:dyDescent="0.25">
      <c r="B1402" s="14" t="str">
        <f t="shared" ca="1" si="120"/>
        <v/>
      </c>
      <c r="C1402" s="14" t="str">
        <f ca="1">IF(I1401&lt;&gt;Variables!$B$1,IF(H1401&lt;&gt;0,C1401,I1401),"")</f>
        <v/>
      </c>
      <c r="D1402" s="29" t="str">
        <f t="shared" ca="1" si="117"/>
        <v/>
      </c>
      <c r="E1402" s="29" t="str">
        <f t="shared" ca="1" si="118"/>
        <v/>
      </c>
      <c r="F1402" s="29" t="str">
        <f ca="1">IF(C1402&lt;&gt;"",IF(OR(VLOOKUP(C1402,$C$3:$L$6,5,0)=Variables!$B$5,B1402&gt;VLOOKUP(C1402,$C$3:$L$6,8,0)),-D1402*VLOOKUP(C1402,$C$3:$L$6,6,0)/12,0),"")</f>
        <v/>
      </c>
      <c r="G1402" s="29" t="str">
        <f ca="1">IF(I1402&lt;&gt;Variables!$B$1,IF(C1402&lt;&gt;"",$I$9-E1402-F1402,""),-D1402)</f>
        <v/>
      </c>
      <c r="H1402" s="29" t="str">
        <f t="shared" ca="1" si="121"/>
        <v/>
      </c>
      <c r="I1402" s="31" t="str">
        <f ca="1">IF(C1402&lt;&gt;"",IF(D1402+$I$9-E1402-F1402&gt;=0,IF(ISERROR(INDEX($C$3:$C$6,MATCH(C1402,$C$3:$C$6,0)+1,0)),Variables!$B$1,INDEX($C$3:$C$6,MATCH(C1402,$C$3:$C$6,0)+1,0)),""),"")</f>
        <v/>
      </c>
      <c r="J1402" s="29" t="str">
        <f ca="1">IF(ISERROR(VLOOKUP(I1402,$C$3:$L$6,5,0)),"",IF(OR(VLOOKUP(I1402,$C$3:$L$6,5,0)=Variables!$B$5,B1402&gt;VLOOKUP(I1402,$C$3:$L$6,8,0)),IF(VLOOKUP(I1402,$C$3:$L$6,5,0)=Variables!$B$5,((YEAR(B1402)-YEAR($B$12))*12+MONTH(B1402)-MONTH($B$12)),((YEAR(B1402)-YEAR(VLOOKUP(I1402,$C$3:$L$6,8,0)))*12+MONTH(B1402)-MONTH(VLOOKUP(I1402,$C$3:$L$6,8,0))))*(VLOOKUP(I1402,$C$3:$L$6,10,0)*VLOOKUP(I1402,$C$3:$L$6,6,0)/12),0))</f>
        <v/>
      </c>
      <c r="K1402" s="29" t="str">
        <f ca="1">IF(C1402&lt;&gt;"",IF(I1402&lt;&gt;"",IF(ISERROR(VLOOKUP(I1402,$C$3:$L$6,10,0)),"",VLOOKUP(I1402,$C$3:$L$6,10,0)+J1402+IF(OR(VLOOKUP(I1402,$C$3:$L$6,5,0)=Variables!$B$5,B1402&gt;VLOOKUP(I1402,$C$3:$L$6,8,0)),IF(VLOOKUP(I1402,$C$3:$L$6,5,0)=Variables!$B$5,((YEAR(B1402)-YEAR($B$12))*12+MONTH(B1402)-MONTH($B$12)),((YEAR(B1402)-YEAR(VLOOKUP(I1402,$C$3:$L$6,8,0)))*12+MONTH(B1402)-MONTH(VLOOKUP(I1402,$C$3:$L$6,8,0))))*VLOOKUP(I1402,$C$3:$L$6,7,0),0)),""),"")</f>
        <v/>
      </c>
      <c r="L1402" s="29" t="str">
        <f t="shared" ca="1" si="119"/>
        <v/>
      </c>
    </row>
    <row r="1403" spans="2:12" x14ac:dyDescent="0.25">
      <c r="B1403" s="14" t="str">
        <f t="shared" ca="1" si="120"/>
        <v/>
      </c>
      <c r="C1403" s="14" t="str">
        <f ca="1">IF(I1402&lt;&gt;Variables!$B$1,IF(H1402&lt;&gt;0,C1402,I1402),"")</f>
        <v/>
      </c>
      <c r="D1403" s="29" t="str">
        <f t="shared" ca="1" si="117"/>
        <v/>
      </c>
      <c r="E1403" s="29" t="str">
        <f t="shared" ca="1" si="118"/>
        <v/>
      </c>
      <c r="F1403" s="29" t="str">
        <f ca="1">IF(C1403&lt;&gt;"",IF(OR(VLOOKUP(C1403,$C$3:$L$6,5,0)=Variables!$B$5,B1403&gt;VLOOKUP(C1403,$C$3:$L$6,8,0)),-D1403*VLOOKUP(C1403,$C$3:$L$6,6,0)/12,0),"")</f>
        <v/>
      </c>
      <c r="G1403" s="29" t="str">
        <f ca="1">IF(I1403&lt;&gt;Variables!$B$1,IF(C1403&lt;&gt;"",$I$9-E1403-F1403,""),-D1403)</f>
        <v/>
      </c>
      <c r="H1403" s="29" t="str">
        <f t="shared" ca="1" si="121"/>
        <v/>
      </c>
      <c r="I1403" s="31" t="str">
        <f ca="1">IF(C1403&lt;&gt;"",IF(D1403+$I$9-E1403-F1403&gt;=0,IF(ISERROR(INDEX($C$3:$C$6,MATCH(C1403,$C$3:$C$6,0)+1,0)),Variables!$B$1,INDEX($C$3:$C$6,MATCH(C1403,$C$3:$C$6,0)+1,0)),""),"")</f>
        <v/>
      </c>
      <c r="J1403" s="29" t="str">
        <f ca="1">IF(ISERROR(VLOOKUP(I1403,$C$3:$L$6,5,0)),"",IF(OR(VLOOKUP(I1403,$C$3:$L$6,5,0)=Variables!$B$5,B1403&gt;VLOOKUP(I1403,$C$3:$L$6,8,0)),IF(VLOOKUP(I1403,$C$3:$L$6,5,0)=Variables!$B$5,((YEAR(B1403)-YEAR($B$12))*12+MONTH(B1403)-MONTH($B$12)),((YEAR(B1403)-YEAR(VLOOKUP(I1403,$C$3:$L$6,8,0)))*12+MONTH(B1403)-MONTH(VLOOKUP(I1403,$C$3:$L$6,8,0))))*(VLOOKUP(I1403,$C$3:$L$6,10,0)*VLOOKUP(I1403,$C$3:$L$6,6,0)/12),0))</f>
        <v/>
      </c>
      <c r="K1403" s="29" t="str">
        <f ca="1">IF(C1403&lt;&gt;"",IF(I1403&lt;&gt;"",IF(ISERROR(VLOOKUP(I1403,$C$3:$L$6,10,0)),"",VLOOKUP(I1403,$C$3:$L$6,10,0)+J1403+IF(OR(VLOOKUP(I1403,$C$3:$L$6,5,0)=Variables!$B$5,B1403&gt;VLOOKUP(I1403,$C$3:$L$6,8,0)),IF(VLOOKUP(I1403,$C$3:$L$6,5,0)=Variables!$B$5,((YEAR(B1403)-YEAR($B$12))*12+MONTH(B1403)-MONTH($B$12)),((YEAR(B1403)-YEAR(VLOOKUP(I1403,$C$3:$L$6,8,0)))*12+MONTH(B1403)-MONTH(VLOOKUP(I1403,$C$3:$L$6,8,0))))*VLOOKUP(I1403,$C$3:$L$6,7,0),0)),""),"")</f>
        <v/>
      </c>
      <c r="L1403" s="29" t="str">
        <f t="shared" ca="1" si="119"/>
        <v/>
      </c>
    </row>
    <row r="1404" spans="2:12" x14ac:dyDescent="0.25">
      <c r="B1404" s="14" t="str">
        <f t="shared" ca="1" si="120"/>
        <v/>
      </c>
      <c r="C1404" s="14" t="str">
        <f ca="1">IF(I1403&lt;&gt;Variables!$B$1,IF(H1403&lt;&gt;0,C1403,I1403),"")</f>
        <v/>
      </c>
      <c r="D1404" s="29" t="str">
        <f t="shared" ca="1" si="117"/>
        <v/>
      </c>
      <c r="E1404" s="29" t="str">
        <f t="shared" ca="1" si="118"/>
        <v/>
      </c>
      <c r="F1404" s="29" t="str">
        <f ca="1">IF(C1404&lt;&gt;"",IF(OR(VLOOKUP(C1404,$C$3:$L$6,5,0)=Variables!$B$5,B1404&gt;VLOOKUP(C1404,$C$3:$L$6,8,0)),-D1404*VLOOKUP(C1404,$C$3:$L$6,6,0)/12,0),"")</f>
        <v/>
      </c>
      <c r="G1404" s="29" t="str">
        <f ca="1">IF(I1404&lt;&gt;Variables!$B$1,IF(C1404&lt;&gt;"",$I$9-E1404-F1404,""),-D1404)</f>
        <v/>
      </c>
      <c r="H1404" s="29" t="str">
        <f t="shared" ca="1" si="121"/>
        <v/>
      </c>
      <c r="I1404" s="31" t="str">
        <f ca="1">IF(C1404&lt;&gt;"",IF(D1404+$I$9-E1404-F1404&gt;=0,IF(ISERROR(INDEX($C$3:$C$6,MATCH(C1404,$C$3:$C$6,0)+1,0)),Variables!$B$1,INDEX($C$3:$C$6,MATCH(C1404,$C$3:$C$6,0)+1,0)),""),"")</f>
        <v/>
      </c>
      <c r="J1404" s="29" t="str">
        <f ca="1">IF(ISERROR(VLOOKUP(I1404,$C$3:$L$6,5,0)),"",IF(OR(VLOOKUP(I1404,$C$3:$L$6,5,0)=Variables!$B$5,B1404&gt;VLOOKUP(I1404,$C$3:$L$6,8,0)),IF(VLOOKUP(I1404,$C$3:$L$6,5,0)=Variables!$B$5,((YEAR(B1404)-YEAR($B$12))*12+MONTH(B1404)-MONTH($B$12)),((YEAR(B1404)-YEAR(VLOOKUP(I1404,$C$3:$L$6,8,0)))*12+MONTH(B1404)-MONTH(VLOOKUP(I1404,$C$3:$L$6,8,0))))*(VLOOKUP(I1404,$C$3:$L$6,10,0)*VLOOKUP(I1404,$C$3:$L$6,6,0)/12),0))</f>
        <v/>
      </c>
      <c r="K1404" s="29" t="str">
        <f ca="1">IF(C1404&lt;&gt;"",IF(I1404&lt;&gt;"",IF(ISERROR(VLOOKUP(I1404,$C$3:$L$6,10,0)),"",VLOOKUP(I1404,$C$3:$L$6,10,0)+J1404+IF(OR(VLOOKUP(I1404,$C$3:$L$6,5,0)=Variables!$B$5,B1404&gt;VLOOKUP(I1404,$C$3:$L$6,8,0)),IF(VLOOKUP(I1404,$C$3:$L$6,5,0)=Variables!$B$5,((YEAR(B1404)-YEAR($B$12))*12+MONTH(B1404)-MONTH($B$12)),((YEAR(B1404)-YEAR(VLOOKUP(I1404,$C$3:$L$6,8,0)))*12+MONTH(B1404)-MONTH(VLOOKUP(I1404,$C$3:$L$6,8,0))))*VLOOKUP(I1404,$C$3:$L$6,7,0),0)),""),"")</f>
        <v/>
      </c>
      <c r="L1404" s="29" t="str">
        <f t="shared" ca="1" si="119"/>
        <v/>
      </c>
    </row>
    <row r="1405" spans="2:12" x14ac:dyDescent="0.25">
      <c r="B1405" s="14" t="str">
        <f t="shared" ca="1" si="120"/>
        <v/>
      </c>
      <c r="C1405" s="14" t="str">
        <f ca="1">IF(I1404&lt;&gt;Variables!$B$1,IF(H1404&lt;&gt;0,C1404,I1404),"")</f>
        <v/>
      </c>
      <c r="D1405" s="29" t="str">
        <f t="shared" ca="1" si="117"/>
        <v/>
      </c>
      <c r="E1405" s="29" t="str">
        <f t="shared" ca="1" si="118"/>
        <v/>
      </c>
      <c r="F1405" s="29" t="str">
        <f ca="1">IF(C1405&lt;&gt;"",IF(OR(VLOOKUP(C1405,$C$3:$L$6,5,0)=Variables!$B$5,B1405&gt;VLOOKUP(C1405,$C$3:$L$6,8,0)),-D1405*VLOOKUP(C1405,$C$3:$L$6,6,0)/12,0),"")</f>
        <v/>
      </c>
      <c r="G1405" s="29" t="str">
        <f ca="1">IF(I1405&lt;&gt;Variables!$B$1,IF(C1405&lt;&gt;"",$I$9-E1405-F1405,""),-D1405)</f>
        <v/>
      </c>
      <c r="H1405" s="29" t="str">
        <f t="shared" ca="1" si="121"/>
        <v/>
      </c>
      <c r="I1405" s="31" t="str">
        <f ca="1">IF(C1405&lt;&gt;"",IF(D1405+$I$9-E1405-F1405&gt;=0,IF(ISERROR(INDEX($C$3:$C$6,MATCH(C1405,$C$3:$C$6,0)+1,0)),Variables!$B$1,INDEX($C$3:$C$6,MATCH(C1405,$C$3:$C$6,0)+1,0)),""),"")</f>
        <v/>
      </c>
      <c r="J1405" s="29" t="str">
        <f ca="1">IF(ISERROR(VLOOKUP(I1405,$C$3:$L$6,5,0)),"",IF(OR(VLOOKUP(I1405,$C$3:$L$6,5,0)=Variables!$B$5,B1405&gt;VLOOKUP(I1405,$C$3:$L$6,8,0)),IF(VLOOKUP(I1405,$C$3:$L$6,5,0)=Variables!$B$5,((YEAR(B1405)-YEAR($B$12))*12+MONTH(B1405)-MONTH($B$12)),((YEAR(B1405)-YEAR(VLOOKUP(I1405,$C$3:$L$6,8,0)))*12+MONTH(B1405)-MONTH(VLOOKUP(I1405,$C$3:$L$6,8,0))))*(VLOOKUP(I1405,$C$3:$L$6,10,0)*VLOOKUP(I1405,$C$3:$L$6,6,0)/12),0))</f>
        <v/>
      </c>
      <c r="K1405" s="29" t="str">
        <f ca="1">IF(C1405&lt;&gt;"",IF(I1405&lt;&gt;"",IF(ISERROR(VLOOKUP(I1405,$C$3:$L$6,10,0)),"",VLOOKUP(I1405,$C$3:$L$6,10,0)+J1405+IF(OR(VLOOKUP(I1405,$C$3:$L$6,5,0)=Variables!$B$5,B1405&gt;VLOOKUP(I1405,$C$3:$L$6,8,0)),IF(VLOOKUP(I1405,$C$3:$L$6,5,0)=Variables!$B$5,((YEAR(B1405)-YEAR($B$12))*12+MONTH(B1405)-MONTH($B$12)),((YEAR(B1405)-YEAR(VLOOKUP(I1405,$C$3:$L$6,8,0)))*12+MONTH(B1405)-MONTH(VLOOKUP(I1405,$C$3:$L$6,8,0))))*VLOOKUP(I1405,$C$3:$L$6,7,0),0)),""),"")</f>
        <v/>
      </c>
      <c r="L1405" s="29" t="str">
        <f t="shared" ca="1" si="119"/>
        <v/>
      </c>
    </row>
    <row r="1406" spans="2:12" x14ac:dyDescent="0.25">
      <c r="B1406" s="14" t="str">
        <f t="shared" ca="1" si="120"/>
        <v/>
      </c>
      <c r="C1406" s="14" t="str">
        <f ca="1">IF(I1405&lt;&gt;Variables!$B$1,IF(H1405&lt;&gt;0,C1405,I1405),"")</f>
        <v/>
      </c>
      <c r="D1406" s="29" t="str">
        <f t="shared" ca="1" si="117"/>
        <v/>
      </c>
      <c r="E1406" s="29" t="str">
        <f t="shared" ca="1" si="118"/>
        <v/>
      </c>
      <c r="F1406" s="29" t="str">
        <f ca="1">IF(C1406&lt;&gt;"",IF(OR(VLOOKUP(C1406,$C$3:$L$6,5,0)=Variables!$B$5,B1406&gt;VLOOKUP(C1406,$C$3:$L$6,8,0)),-D1406*VLOOKUP(C1406,$C$3:$L$6,6,0)/12,0),"")</f>
        <v/>
      </c>
      <c r="G1406" s="29" t="str">
        <f ca="1">IF(I1406&lt;&gt;Variables!$B$1,IF(C1406&lt;&gt;"",$I$9-E1406-F1406,""),-D1406)</f>
        <v/>
      </c>
      <c r="H1406" s="29" t="str">
        <f t="shared" ca="1" si="121"/>
        <v/>
      </c>
      <c r="I1406" s="31" t="str">
        <f ca="1">IF(C1406&lt;&gt;"",IF(D1406+$I$9-E1406-F1406&gt;=0,IF(ISERROR(INDEX($C$3:$C$6,MATCH(C1406,$C$3:$C$6,0)+1,0)),Variables!$B$1,INDEX($C$3:$C$6,MATCH(C1406,$C$3:$C$6,0)+1,0)),""),"")</f>
        <v/>
      </c>
      <c r="J1406" s="29" t="str">
        <f ca="1">IF(ISERROR(VLOOKUP(I1406,$C$3:$L$6,5,0)),"",IF(OR(VLOOKUP(I1406,$C$3:$L$6,5,0)=Variables!$B$5,B1406&gt;VLOOKUP(I1406,$C$3:$L$6,8,0)),IF(VLOOKUP(I1406,$C$3:$L$6,5,0)=Variables!$B$5,((YEAR(B1406)-YEAR($B$12))*12+MONTH(B1406)-MONTH($B$12)),((YEAR(B1406)-YEAR(VLOOKUP(I1406,$C$3:$L$6,8,0)))*12+MONTH(B1406)-MONTH(VLOOKUP(I1406,$C$3:$L$6,8,0))))*(VLOOKUP(I1406,$C$3:$L$6,10,0)*VLOOKUP(I1406,$C$3:$L$6,6,0)/12),0))</f>
        <v/>
      </c>
      <c r="K1406" s="29" t="str">
        <f ca="1">IF(C1406&lt;&gt;"",IF(I1406&lt;&gt;"",IF(ISERROR(VLOOKUP(I1406,$C$3:$L$6,10,0)),"",VLOOKUP(I1406,$C$3:$L$6,10,0)+J1406+IF(OR(VLOOKUP(I1406,$C$3:$L$6,5,0)=Variables!$B$5,B1406&gt;VLOOKUP(I1406,$C$3:$L$6,8,0)),IF(VLOOKUP(I1406,$C$3:$L$6,5,0)=Variables!$B$5,((YEAR(B1406)-YEAR($B$12))*12+MONTH(B1406)-MONTH($B$12)),((YEAR(B1406)-YEAR(VLOOKUP(I1406,$C$3:$L$6,8,0)))*12+MONTH(B1406)-MONTH(VLOOKUP(I1406,$C$3:$L$6,8,0))))*VLOOKUP(I1406,$C$3:$L$6,7,0),0)),""),"")</f>
        <v/>
      </c>
      <c r="L1406" s="29" t="str">
        <f t="shared" ca="1" si="119"/>
        <v/>
      </c>
    </row>
    <row r="1407" spans="2:12" x14ac:dyDescent="0.25">
      <c r="B1407" s="14" t="str">
        <f t="shared" ca="1" si="120"/>
        <v/>
      </c>
      <c r="C1407" s="14" t="str">
        <f ca="1">IF(I1406&lt;&gt;Variables!$B$1,IF(H1406&lt;&gt;0,C1406,I1406),"")</f>
        <v/>
      </c>
      <c r="D1407" s="29" t="str">
        <f t="shared" ca="1" si="117"/>
        <v/>
      </c>
      <c r="E1407" s="29" t="str">
        <f t="shared" ca="1" si="118"/>
        <v/>
      </c>
      <c r="F1407" s="29" t="str">
        <f ca="1">IF(C1407&lt;&gt;"",IF(OR(VLOOKUP(C1407,$C$3:$L$6,5,0)=Variables!$B$5,B1407&gt;VLOOKUP(C1407,$C$3:$L$6,8,0)),-D1407*VLOOKUP(C1407,$C$3:$L$6,6,0)/12,0),"")</f>
        <v/>
      </c>
      <c r="G1407" s="29" t="str">
        <f ca="1">IF(I1407&lt;&gt;Variables!$B$1,IF(C1407&lt;&gt;"",$I$9-E1407-F1407,""),-D1407)</f>
        <v/>
      </c>
      <c r="H1407" s="29" t="str">
        <f t="shared" ca="1" si="121"/>
        <v/>
      </c>
      <c r="I1407" s="31" t="str">
        <f ca="1">IF(C1407&lt;&gt;"",IF(D1407+$I$9-E1407-F1407&gt;=0,IF(ISERROR(INDEX($C$3:$C$6,MATCH(C1407,$C$3:$C$6,0)+1,0)),Variables!$B$1,INDEX($C$3:$C$6,MATCH(C1407,$C$3:$C$6,0)+1,0)),""),"")</f>
        <v/>
      </c>
      <c r="J1407" s="29" t="str">
        <f ca="1">IF(ISERROR(VLOOKUP(I1407,$C$3:$L$6,5,0)),"",IF(OR(VLOOKUP(I1407,$C$3:$L$6,5,0)=Variables!$B$5,B1407&gt;VLOOKUP(I1407,$C$3:$L$6,8,0)),IF(VLOOKUP(I1407,$C$3:$L$6,5,0)=Variables!$B$5,((YEAR(B1407)-YEAR($B$12))*12+MONTH(B1407)-MONTH($B$12)),((YEAR(B1407)-YEAR(VLOOKUP(I1407,$C$3:$L$6,8,0)))*12+MONTH(B1407)-MONTH(VLOOKUP(I1407,$C$3:$L$6,8,0))))*(VLOOKUP(I1407,$C$3:$L$6,10,0)*VLOOKUP(I1407,$C$3:$L$6,6,0)/12),0))</f>
        <v/>
      </c>
      <c r="K1407" s="29" t="str">
        <f ca="1">IF(C1407&lt;&gt;"",IF(I1407&lt;&gt;"",IF(ISERROR(VLOOKUP(I1407,$C$3:$L$6,10,0)),"",VLOOKUP(I1407,$C$3:$L$6,10,0)+J1407+IF(OR(VLOOKUP(I1407,$C$3:$L$6,5,0)=Variables!$B$5,B1407&gt;VLOOKUP(I1407,$C$3:$L$6,8,0)),IF(VLOOKUP(I1407,$C$3:$L$6,5,0)=Variables!$B$5,((YEAR(B1407)-YEAR($B$12))*12+MONTH(B1407)-MONTH($B$12)),((YEAR(B1407)-YEAR(VLOOKUP(I1407,$C$3:$L$6,8,0)))*12+MONTH(B1407)-MONTH(VLOOKUP(I1407,$C$3:$L$6,8,0))))*VLOOKUP(I1407,$C$3:$L$6,7,0),0)),""),"")</f>
        <v/>
      </c>
      <c r="L1407" s="29" t="str">
        <f t="shared" ca="1" si="119"/>
        <v/>
      </c>
    </row>
    <row r="1408" spans="2:12" x14ac:dyDescent="0.25">
      <c r="B1408" s="14" t="str">
        <f t="shared" ca="1" si="120"/>
        <v/>
      </c>
      <c r="C1408" s="14" t="str">
        <f ca="1">IF(I1407&lt;&gt;Variables!$B$1,IF(H1407&lt;&gt;0,C1407,I1407),"")</f>
        <v/>
      </c>
      <c r="D1408" s="29" t="str">
        <f t="shared" ca="1" si="117"/>
        <v/>
      </c>
      <c r="E1408" s="29" t="str">
        <f t="shared" ca="1" si="118"/>
        <v/>
      </c>
      <c r="F1408" s="29" t="str">
        <f ca="1">IF(C1408&lt;&gt;"",IF(OR(VLOOKUP(C1408,$C$3:$L$6,5,0)=Variables!$B$5,B1408&gt;VLOOKUP(C1408,$C$3:$L$6,8,0)),-D1408*VLOOKUP(C1408,$C$3:$L$6,6,0)/12,0),"")</f>
        <v/>
      </c>
      <c r="G1408" s="29" t="str">
        <f ca="1">IF(I1408&lt;&gt;Variables!$B$1,IF(C1408&lt;&gt;"",$I$9-E1408-F1408,""),-D1408)</f>
        <v/>
      </c>
      <c r="H1408" s="29" t="str">
        <f t="shared" ca="1" si="121"/>
        <v/>
      </c>
      <c r="I1408" s="31" t="str">
        <f ca="1">IF(C1408&lt;&gt;"",IF(D1408+$I$9-E1408-F1408&gt;=0,IF(ISERROR(INDEX($C$3:$C$6,MATCH(C1408,$C$3:$C$6,0)+1,0)),Variables!$B$1,INDEX($C$3:$C$6,MATCH(C1408,$C$3:$C$6,0)+1,0)),""),"")</f>
        <v/>
      </c>
      <c r="J1408" s="29" t="str">
        <f ca="1">IF(ISERROR(VLOOKUP(I1408,$C$3:$L$6,5,0)),"",IF(OR(VLOOKUP(I1408,$C$3:$L$6,5,0)=Variables!$B$5,B1408&gt;VLOOKUP(I1408,$C$3:$L$6,8,0)),IF(VLOOKUP(I1408,$C$3:$L$6,5,0)=Variables!$B$5,((YEAR(B1408)-YEAR($B$12))*12+MONTH(B1408)-MONTH($B$12)),((YEAR(B1408)-YEAR(VLOOKUP(I1408,$C$3:$L$6,8,0)))*12+MONTH(B1408)-MONTH(VLOOKUP(I1408,$C$3:$L$6,8,0))))*(VLOOKUP(I1408,$C$3:$L$6,10,0)*VLOOKUP(I1408,$C$3:$L$6,6,0)/12),0))</f>
        <v/>
      </c>
      <c r="K1408" s="29" t="str">
        <f ca="1">IF(C1408&lt;&gt;"",IF(I1408&lt;&gt;"",IF(ISERROR(VLOOKUP(I1408,$C$3:$L$6,10,0)),"",VLOOKUP(I1408,$C$3:$L$6,10,0)+J1408+IF(OR(VLOOKUP(I1408,$C$3:$L$6,5,0)=Variables!$B$5,B1408&gt;VLOOKUP(I1408,$C$3:$L$6,8,0)),IF(VLOOKUP(I1408,$C$3:$L$6,5,0)=Variables!$B$5,((YEAR(B1408)-YEAR($B$12))*12+MONTH(B1408)-MONTH($B$12)),((YEAR(B1408)-YEAR(VLOOKUP(I1408,$C$3:$L$6,8,0)))*12+MONTH(B1408)-MONTH(VLOOKUP(I1408,$C$3:$L$6,8,0))))*VLOOKUP(I1408,$C$3:$L$6,7,0),0)),""),"")</f>
        <v/>
      </c>
      <c r="L1408" s="29" t="str">
        <f t="shared" ca="1" si="119"/>
        <v/>
      </c>
    </row>
    <row r="1409" spans="2:12" x14ac:dyDescent="0.25">
      <c r="B1409" s="14" t="str">
        <f t="shared" ca="1" si="120"/>
        <v/>
      </c>
      <c r="C1409" s="14" t="str">
        <f ca="1">IF(I1408&lt;&gt;Variables!$B$1,IF(H1408&lt;&gt;0,C1408,I1408),"")</f>
        <v/>
      </c>
      <c r="D1409" s="29" t="str">
        <f t="shared" ca="1" si="117"/>
        <v/>
      </c>
      <c r="E1409" s="29" t="str">
        <f t="shared" ca="1" si="118"/>
        <v/>
      </c>
      <c r="F1409" s="29" t="str">
        <f ca="1">IF(C1409&lt;&gt;"",IF(OR(VLOOKUP(C1409,$C$3:$L$6,5,0)=Variables!$B$5,B1409&gt;VLOOKUP(C1409,$C$3:$L$6,8,0)),-D1409*VLOOKUP(C1409,$C$3:$L$6,6,0)/12,0),"")</f>
        <v/>
      </c>
      <c r="G1409" s="29" t="str">
        <f ca="1">IF(I1409&lt;&gt;Variables!$B$1,IF(C1409&lt;&gt;"",$I$9-E1409-F1409,""),-D1409)</f>
        <v/>
      </c>
      <c r="H1409" s="29" t="str">
        <f t="shared" ca="1" si="121"/>
        <v/>
      </c>
      <c r="I1409" s="31" t="str">
        <f ca="1">IF(C1409&lt;&gt;"",IF(D1409+$I$9-E1409-F1409&gt;=0,IF(ISERROR(INDEX($C$3:$C$6,MATCH(C1409,$C$3:$C$6,0)+1,0)),Variables!$B$1,INDEX($C$3:$C$6,MATCH(C1409,$C$3:$C$6,0)+1,0)),""),"")</f>
        <v/>
      </c>
      <c r="J1409" s="29" t="str">
        <f ca="1">IF(ISERROR(VLOOKUP(I1409,$C$3:$L$6,5,0)),"",IF(OR(VLOOKUP(I1409,$C$3:$L$6,5,0)=Variables!$B$5,B1409&gt;VLOOKUP(I1409,$C$3:$L$6,8,0)),IF(VLOOKUP(I1409,$C$3:$L$6,5,0)=Variables!$B$5,((YEAR(B1409)-YEAR($B$12))*12+MONTH(B1409)-MONTH($B$12)),((YEAR(B1409)-YEAR(VLOOKUP(I1409,$C$3:$L$6,8,0)))*12+MONTH(B1409)-MONTH(VLOOKUP(I1409,$C$3:$L$6,8,0))))*(VLOOKUP(I1409,$C$3:$L$6,10,0)*VLOOKUP(I1409,$C$3:$L$6,6,0)/12),0))</f>
        <v/>
      </c>
      <c r="K1409" s="29" t="str">
        <f ca="1">IF(C1409&lt;&gt;"",IF(I1409&lt;&gt;"",IF(ISERROR(VLOOKUP(I1409,$C$3:$L$6,10,0)),"",VLOOKUP(I1409,$C$3:$L$6,10,0)+J1409+IF(OR(VLOOKUP(I1409,$C$3:$L$6,5,0)=Variables!$B$5,B1409&gt;VLOOKUP(I1409,$C$3:$L$6,8,0)),IF(VLOOKUP(I1409,$C$3:$L$6,5,0)=Variables!$B$5,((YEAR(B1409)-YEAR($B$12))*12+MONTH(B1409)-MONTH($B$12)),((YEAR(B1409)-YEAR(VLOOKUP(I1409,$C$3:$L$6,8,0)))*12+MONTH(B1409)-MONTH(VLOOKUP(I1409,$C$3:$L$6,8,0))))*VLOOKUP(I1409,$C$3:$L$6,7,0),0)),""),"")</f>
        <v/>
      </c>
      <c r="L1409" s="29" t="str">
        <f t="shared" ca="1" si="119"/>
        <v/>
      </c>
    </row>
    <row r="1410" spans="2:12" x14ac:dyDescent="0.25">
      <c r="B1410" s="14" t="str">
        <f t="shared" ca="1" si="120"/>
        <v/>
      </c>
      <c r="C1410" s="14" t="str">
        <f ca="1">IF(I1409&lt;&gt;Variables!$B$1,IF(H1409&lt;&gt;0,C1409,I1409),"")</f>
        <v/>
      </c>
      <c r="D1410" s="29" t="str">
        <f t="shared" ca="1" si="117"/>
        <v/>
      </c>
      <c r="E1410" s="29" t="str">
        <f t="shared" ca="1" si="118"/>
        <v/>
      </c>
      <c r="F1410" s="29" t="str">
        <f ca="1">IF(C1410&lt;&gt;"",IF(OR(VLOOKUP(C1410,$C$3:$L$6,5,0)=Variables!$B$5,B1410&gt;VLOOKUP(C1410,$C$3:$L$6,8,0)),-D1410*VLOOKUP(C1410,$C$3:$L$6,6,0)/12,0),"")</f>
        <v/>
      </c>
      <c r="G1410" s="29" t="str">
        <f ca="1">IF(I1410&lt;&gt;Variables!$B$1,IF(C1410&lt;&gt;"",$I$9-E1410-F1410,""),-D1410)</f>
        <v/>
      </c>
      <c r="H1410" s="29" t="str">
        <f t="shared" ca="1" si="121"/>
        <v/>
      </c>
      <c r="I1410" s="31" t="str">
        <f ca="1">IF(C1410&lt;&gt;"",IF(D1410+$I$9-E1410-F1410&gt;=0,IF(ISERROR(INDEX($C$3:$C$6,MATCH(C1410,$C$3:$C$6,0)+1,0)),Variables!$B$1,INDEX($C$3:$C$6,MATCH(C1410,$C$3:$C$6,0)+1,0)),""),"")</f>
        <v/>
      </c>
      <c r="J1410" s="29" t="str">
        <f ca="1">IF(ISERROR(VLOOKUP(I1410,$C$3:$L$6,5,0)),"",IF(OR(VLOOKUP(I1410,$C$3:$L$6,5,0)=Variables!$B$5,B1410&gt;VLOOKUP(I1410,$C$3:$L$6,8,0)),IF(VLOOKUP(I1410,$C$3:$L$6,5,0)=Variables!$B$5,((YEAR(B1410)-YEAR($B$12))*12+MONTH(B1410)-MONTH($B$12)),((YEAR(B1410)-YEAR(VLOOKUP(I1410,$C$3:$L$6,8,0)))*12+MONTH(B1410)-MONTH(VLOOKUP(I1410,$C$3:$L$6,8,0))))*(VLOOKUP(I1410,$C$3:$L$6,10,0)*VLOOKUP(I1410,$C$3:$L$6,6,0)/12),0))</f>
        <v/>
      </c>
      <c r="K1410" s="29" t="str">
        <f ca="1">IF(C1410&lt;&gt;"",IF(I1410&lt;&gt;"",IF(ISERROR(VLOOKUP(I1410,$C$3:$L$6,10,0)),"",VLOOKUP(I1410,$C$3:$L$6,10,0)+J1410+IF(OR(VLOOKUP(I1410,$C$3:$L$6,5,0)=Variables!$B$5,B1410&gt;VLOOKUP(I1410,$C$3:$L$6,8,0)),IF(VLOOKUP(I1410,$C$3:$L$6,5,0)=Variables!$B$5,((YEAR(B1410)-YEAR($B$12))*12+MONTH(B1410)-MONTH($B$12)),((YEAR(B1410)-YEAR(VLOOKUP(I1410,$C$3:$L$6,8,0)))*12+MONTH(B1410)-MONTH(VLOOKUP(I1410,$C$3:$L$6,8,0))))*VLOOKUP(I1410,$C$3:$L$6,7,0),0)),""),"")</f>
        <v/>
      </c>
      <c r="L1410" s="29" t="str">
        <f t="shared" ca="1" si="119"/>
        <v/>
      </c>
    </row>
    <row r="1411" spans="2:12" x14ac:dyDescent="0.25">
      <c r="B1411" s="14" t="str">
        <f t="shared" ca="1" si="120"/>
        <v/>
      </c>
      <c r="C1411" s="14" t="str">
        <f ca="1">IF(I1410&lt;&gt;Variables!$B$1,IF(H1410&lt;&gt;0,C1410,I1410),"")</f>
        <v/>
      </c>
      <c r="D1411" s="29" t="str">
        <f t="shared" ca="1" si="117"/>
        <v/>
      </c>
      <c r="E1411" s="29" t="str">
        <f t="shared" ca="1" si="118"/>
        <v/>
      </c>
      <c r="F1411" s="29" t="str">
        <f ca="1">IF(C1411&lt;&gt;"",IF(OR(VLOOKUP(C1411,$C$3:$L$6,5,0)=Variables!$B$5,B1411&gt;VLOOKUP(C1411,$C$3:$L$6,8,0)),-D1411*VLOOKUP(C1411,$C$3:$L$6,6,0)/12,0),"")</f>
        <v/>
      </c>
      <c r="G1411" s="29" t="str">
        <f ca="1">IF(I1411&lt;&gt;Variables!$B$1,IF(C1411&lt;&gt;"",$I$9-E1411-F1411,""),-D1411)</f>
        <v/>
      </c>
      <c r="H1411" s="29" t="str">
        <f t="shared" ca="1" si="121"/>
        <v/>
      </c>
      <c r="I1411" s="31" t="str">
        <f ca="1">IF(C1411&lt;&gt;"",IF(D1411+$I$9-E1411-F1411&gt;=0,IF(ISERROR(INDEX($C$3:$C$6,MATCH(C1411,$C$3:$C$6,0)+1,0)),Variables!$B$1,INDEX($C$3:$C$6,MATCH(C1411,$C$3:$C$6,0)+1,0)),""),"")</f>
        <v/>
      </c>
      <c r="J1411" s="29" t="str">
        <f ca="1">IF(ISERROR(VLOOKUP(I1411,$C$3:$L$6,5,0)),"",IF(OR(VLOOKUP(I1411,$C$3:$L$6,5,0)=Variables!$B$5,B1411&gt;VLOOKUP(I1411,$C$3:$L$6,8,0)),IF(VLOOKUP(I1411,$C$3:$L$6,5,0)=Variables!$B$5,((YEAR(B1411)-YEAR($B$12))*12+MONTH(B1411)-MONTH($B$12)),((YEAR(B1411)-YEAR(VLOOKUP(I1411,$C$3:$L$6,8,0)))*12+MONTH(B1411)-MONTH(VLOOKUP(I1411,$C$3:$L$6,8,0))))*(VLOOKUP(I1411,$C$3:$L$6,10,0)*VLOOKUP(I1411,$C$3:$L$6,6,0)/12),0))</f>
        <v/>
      </c>
      <c r="K1411" s="29" t="str">
        <f ca="1">IF(C1411&lt;&gt;"",IF(I1411&lt;&gt;"",IF(ISERROR(VLOOKUP(I1411,$C$3:$L$6,10,0)),"",VLOOKUP(I1411,$C$3:$L$6,10,0)+J1411+IF(OR(VLOOKUP(I1411,$C$3:$L$6,5,0)=Variables!$B$5,B1411&gt;VLOOKUP(I1411,$C$3:$L$6,8,0)),IF(VLOOKUP(I1411,$C$3:$L$6,5,0)=Variables!$B$5,((YEAR(B1411)-YEAR($B$12))*12+MONTH(B1411)-MONTH($B$12)),((YEAR(B1411)-YEAR(VLOOKUP(I1411,$C$3:$L$6,8,0)))*12+MONTH(B1411)-MONTH(VLOOKUP(I1411,$C$3:$L$6,8,0))))*VLOOKUP(I1411,$C$3:$L$6,7,0),0)),""),"")</f>
        <v/>
      </c>
      <c r="L1411" s="29" t="str">
        <f t="shared" ca="1" si="119"/>
        <v/>
      </c>
    </row>
    <row r="1412" spans="2:12" x14ac:dyDescent="0.25">
      <c r="B1412" s="14" t="str">
        <f t="shared" ca="1" si="120"/>
        <v/>
      </c>
      <c r="C1412" s="14" t="str">
        <f ca="1">IF(I1411&lt;&gt;Variables!$B$1,IF(H1411&lt;&gt;0,C1411,I1411),"")</f>
        <v/>
      </c>
      <c r="D1412" s="29" t="str">
        <f t="shared" ca="1" si="117"/>
        <v/>
      </c>
      <c r="E1412" s="29" t="str">
        <f t="shared" ca="1" si="118"/>
        <v/>
      </c>
      <c r="F1412" s="29" t="str">
        <f ca="1">IF(C1412&lt;&gt;"",IF(OR(VLOOKUP(C1412,$C$3:$L$6,5,0)=Variables!$B$5,B1412&gt;VLOOKUP(C1412,$C$3:$L$6,8,0)),-D1412*VLOOKUP(C1412,$C$3:$L$6,6,0)/12,0),"")</f>
        <v/>
      </c>
      <c r="G1412" s="29" t="str">
        <f ca="1">IF(I1412&lt;&gt;Variables!$B$1,IF(C1412&lt;&gt;"",$I$9-E1412-F1412,""),-D1412)</f>
        <v/>
      </c>
      <c r="H1412" s="29" t="str">
        <f t="shared" ca="1" si="121"/>
        <v/>
      </c>
      <c r="I1412" s="31" t="str">
        <f ca="1">IF(C1412&lt;&gt;"",IF(D1412+$I$9-E1412-F1412&gt;=0,IF(ISERROR(INDEX($C$3:$C$6,MATCH(C1412,$C$3:$C$6,0)+1,0)),Variables!$B$1,INDEX($C$3:$C$6,MATCH(C1412,$C$3:$C$6,0)+1,0)),""),"")</f>
        <v/>
      </c>
      <c r="J1412" s="29" t="str">
        <f ca="1">IF(ISERROR(VLOOKUP(I1412,$C$3:$L$6,5,0)),"",IF(OR(VLOOKUP(I1412,$C$3:$L$6,5,0)=Variables!$B$5,B1412&gt;VLOOKUP(I1412,$C$3:$L$6,8,0)),IF(VLOOKUP(I1412,$C$3:$L$6,5,0)=Variables!$B$5,((YEAR(B1412)-YEAR($B$12))*12+MONTH(B1412)-MONTH($B$12)),((YEAR(B1412)-YEAR(VLOOKUP(I1412,$C$3:$L$6,8,0)))*12+MONTH(B1412)-MONTH(VLOOKUP(I1412,$C$3:$L$6,8,0))))*(VLOOKUP(I1412,$C$3:$L$6,10,0)*VLOOKUP(I1412,$C$3:$L$6,6,0)/12),0))</f>
        <v/>
      </c>
      <c r="K1412" s="29" t="str">
        <f ca="1">IF(C1412&lt;&gt;"",IF(I1412&lt;&gt;"",IF(ISERROR(VLOOKUP(I1412,$C$3:$L$6,10,0)),"",VLOOKUP(I1412,$C$3:$L$6,10,0)+J1412+IF(OR(VLOOKUP(I1412,$C$3:$L$6,5,0)=Variables!$B$5,B1412&gt;VLOOKUP(I1412,$C$3:$L$6,8,0)),IF(VLOOKUP(I1412,$C$3:$L$6,5,0)=Variables!$B$5,((YEAR(B1412)-YEAR($B$12))*12+MONTH(B1412)-MONTH($B$12)),((YEAR(B1412)-YEAR(VLOOKUP(I1412,$C$3:$L$6,8,0)))*12+MONTH(B1412)-MONTH(VLOOKUP(I1412,$C$3:$L$6,8,0))))*VLOOKUP(I1412,$C$3:$L$6,7,0),0)),""),"")</f>
        <v/>
      </c>
      <c r="L1412" s="29" t="str">
        <f t="shared" ca="1" si="119"/>
        <v/>
      </c>
    </row>
    <row r="1413" spans="2:12" x14ac:dyDescent="0.25">
      <c r="B1413" s="14" t="str">
        <f t="shared" ca="1" si="120"/>
        <v/>
      </c>
      <c r="C1413" s="14" t="str">
        <f ca="1">IF(I1412&lt;&gt;Variables!$B$1,IF(H1412&lt;&gt;0,C1412,I1412),"")</f>
        <v/>
      </c>
      <c r="D1413" s="29" t="str">
        <f t="shared" ca="1" si="117"/>
        <v/>
      </c>
      <c r="E1413" s="29" t="str">
        <f t="shared" ca="1" si="118"/>
        <v/>
      </c>
      <c r="F1413" s="29" t="str">
        <f ca="1">IF(C1413&lt;&gt;"",IF(OR(VLOOKUP(C1413,$C$3:$L$6,5,0)=Variables!$B$5,B1413&gt;VLOOKUP(C1413,$C$3:$L$6,8,0)),-D1413*VLOOKUP(C1413,$C$3:$L$6,6,0)/12,0),"")</f>
        <v/>
      </c>
      <c r="G1413" s="29" t="str">
        <f ca="1">IF(I1413&lt;&gt;Variables!$B$1,IF(C1413&lt;&gt;"",$I$9-E1413-F1413,""),-D1413)</f>
        <v/>
      </c>
      <c r="H1413" s="29" t="str">
        <f t="shared" ca="1" si="121"/>
        <v/>
      </c>
      <c r="I1413" s="31" t="str">
        <f ca="1">IF(C1413&lt;&gt;"",IF(D1413+$I$9-E1413-F1413&gt;=0,IF(ISERROR(INDEX($C$3:$C$6,MATCH(C1413,$C$3:$C$6,0)+1,0)),Variables!$B$1,INDEX($C$3:$C$6,MATCH(C1413,$C$3:$C$6,0)+1,0)),""),"")</f>
        <v/>
      </c>
      <c r="J1413" s="29" t="str">
        <f ca="1">IF(ISERROR(VLOOKUP(I1413,$C$3:$L$6,5,0)),"",IF(OR(VLOOKUP(I1413,$C$3:$L$6,5,0)=Variables!$B$5,B1413&gt;VLOOKUP(I1413,$C$3:$L$6,8,0)),IF(VLOOKUP(I1413,$C$3:$L$6,5,0)=Variables!$B$5,((YEAR(B1413)-YEAR($B$12))*12+MONTH(B1413)-MONTH($B$12)),((YEAR(B1413)-YEAR(VLOOKUP(I1413,$C$3:$L$6,8,0)))*12+MONTH(B1413)-MONTH(VLOOKUP(I1413,$C$3:$L$6,8,0))))*(VLOOKUP(I1413,$C$3:$L$6,10,0)*VLOOKUP(I1413,$C$3:$L$6,6,0)/12),0))</f>
        <v/>
      </c>
      <c r="K1413" s="29" t="str">
        <f ca="1">IF(C1413&lt;&gt;"",IF(I1413&lt;&gt;"",IF(ISERROR(VLOOKUP(I1413,$C$3:$L$6,10,0)),"",VLOOKUP(I1413,$C$3:$L$6,10,0)+J1413+IF(OR(VLOOKUP(I1413,$C$3:$L$6,5,0)=Variables!$B$5,B1413&gt;VLOOKUP(I1413,$C$3:$L$6,8,0)),IF(VLOOKUP(I1413,$C$3:$L$6,5,0)=Variables!$B$5,((YEAR(B1413)-YEAR($B$12))*12+MONTH(B1413)-MONTH($B$12)),((YEAR(B1413)-YEAR(VLOOKUP(I1413,$C$3:$L$6,8,0)))*12+MONTH(B1413)-MONTH(VLOOKUP(I1413,$C$3:$L$6,8,0))))*VLOOKUP(I1413,$C$3:$L$6,7,0),0)),""),"")</f>
        <v/>
      </c>
      <c r="L1413" s="29" t="str">
        <f t="shared" ca="1" si="119"/>
        <v/>
      </c>
    </row>
    <row r="1414" spans="2:12" x14ac:dyDescent="0.25">
      <c r="B1414" s="14" t="str">
        <f t="shared" ca="1" si="120"/>
        <v/>
      </c>
      <c r="C1414" s="14" t="str">
        <f ca="1">IF(I1413&lt;&gt;Variables!$B$1,IF(H1413&lt;&gt;0,C1413,I1413),"")</f>
        <v/>
      </c>
      <c r="D1414" s="29" t="str">
        <f t="shared" ca="1" si="117"/>
        <v/>
      </c>
      <c r="E1414" s="29" t="str">
        <f t="shared" ca="1" si="118"/>
        <v/>
      </c>
      <c r="F1414" s="29" t="str">
        <f ca="1">IF(C1414&lt;&gt;"",IF(OR(VLOOKUP(C1414,$C$3:$L$6,5,0)=Variables!$B$5,B1414&gt;VLOOKUP(C1414,$C$3:$L$6,8,0)),-D1414*VLOOKUP(C1414,$C$3:$L$6,6,0)/12,0),"")</f>
        <v/>
      </c>
      <c r="G1414" s="29" t="str">
        <f ca="1">IF(I1414&lt;&gt;Variables!$B$1,IF(C1414&lt;&gt;"",$I$9-E1414-F1414,""),-D1414)</f>
        <v/>
      </c>
      <c r="H1414" s="29" t="str">
        <f t="shared" ca="1" si="121"/>
        <v/>
      </c>
      <c r="I1414" s="31" t="str">
        <f ca="1">IF(C1414&lt;&gt;"",IF(D1414+$I$9-E1414-F1414&gt;=0,IF(ISERROR(INDEX($C$3:$C$6,MATCH(C1414,$C$3:$C$6,0)+1,0)),Variables!$B$1,INDEX($C$3:$C$6,MATCH(C1414,$C$3:$C$6,0)+1,0)),""),"")</f>
        <v/>
      </c>
      <c r="J1414" s="29" t="str">
        <f ca="1">IF(ISERROR(VLOOKUP(I1414,$C$3:$L$6,5,0)),"",IF(OR(VLOOKUP(I1414,$C$3:$L$6,5,0)=Variables!$B$5,B1414&gt;VLOOKUP(I1414,$C$3:$L$6,8,0)),IF(VLOOKUP(I1414,$C$3:$L$6,5,0)=Variables!$B$5,((YEAR(B1414)-YEAR($B$12))*12+MONTH(B1414)-MONTH($B$12)),((YEAR(B1414)-YEAR(VLOOKUP(I1414,$C$3:$L$6,8,0)))*12+MONTH(B1414)-MONTH(VLOOKUP(I1414,$C$3:$L$6,8,0))))*(VLOOKUP(I1414,$C$3:$L$6,10,0)*VLOOKUP(I1414,$C$3:$L$6,6,0)/12),0))</f>
        <v/>
      </c>
      <c r="K1414" s="29" t="str">
        <f ca="1">IF(C1414&lt;&gt;"",IF(I1414&lt;&gt;"",IF(ISERROR(VLOOKUP(I1414,$C$3:$L$6,10,0)),"",VLOOKUP(I1414,$C$3:$L$6,10,0)+J1414+IF(OR(VLOOKUP(I1414,$C$3:$L$6,5,0)=Variables!$B$5,B1414&gt;VLOOKUP(I1414,$C$3:$L$6,8,0)),IF(VLOOKUP(I1414,$C$3:$L$6,5,0)=Variables!$B$5,((YEAR(B1414)-YEAR($B$12))*12+MONTH(B1414)-MONTH($B$12)),((YEAR(B1414)-YEAR(VLOOKUP(I1414,$C$3:$L$6,8,0)))*12+MONTH(B1414)-MONTH(VLOOKUP(I1414,$C$3:$L$6,8,0))))*VLOOKUP(I1414,$C$3:$L$6,7,0),0)),""),"")</f>
        <v/>
      </c>
      <c r="L1414" s="29" t="str">
        <f t="shared" ca="1" si="119"/>
        <v/>
      </c>
    </row>
    <row r="1415" spans="2:12" x14ac:dyDescent="0.25">
      <c r="B1415" s="14" t="str">
        <f t="shared" ca="1" si="120"/>
        <v/>
      </c>
      <c r="C1415" s="14" t="str">
        <f ca="1">IF(I1414&lt;&gt;Variables!$B$1,IF(H1414&lt;&gt;0,C1414,I1414),"")</f>
        <v/>
      </c>
      <c r="D1415" s="29" t="str">
        <f t="shared" ca="1" si="117"/>
        <v/>
      </c>
      <c r="E1415" s="29" t="str">
        <f t="shared" ca="1" si="118"/>
        <v/>
      </c>
      <c r="F1415" s="29" t="str">
        <f ca="1">IF(C1415&lt;&gt;"",IF(OR(VLOOKUP(C1415,$C$3:$L$6,5,0)=Variables!$B$5,B1415&gt;VLOOKUP(C1415,$C$3:$L$6,8,0)),-D1415*VLOOKUP(C1415,$C$3:$L$6,6,0)/12,0),"")</f>
        <v/>
      </c>
      <c r="G1415" s="29" t="str">
        <f ca="1">IF(I1415&lt;&gt;Variables!$B$1,IF(C1415&lt;&gt;"",$I$9-E1415-F1415,""),-D1415)</f>
        <v/>
      </c>
      <c r="H1415" s="29" t="str">
        <f t="shared" ca="1" si="121"/>
        <v/>
      </c>
      <c r="I1415" s="31" t="str">
        <f ca="1">IF(C1415&lt;&gt;"",IF(D1415+$I$9-E1415-F1415&gt;=0,IF(ISERROR(INDEX($C$3:$C$6,MATCH(C1415,$C$3:$C$6,0)+1,0)),Variables!$B$1,INDEX($C$3:$C$6,MATCH(C1415,$C$3:$C$6,0)+1,0)),""),"")</f>
        <v/>
      </c>
      <c r="J1415" s="29" t="str">
        <f ca="1">IF(ISERROR(VLOOKUP(I1415,$C$3:$L$6,5,0)),"",IF(OR(VLOOKUP(I1415,$C$3:$L$6,5,0)=Variables!$B$5,B1415&gt;VLOOKUP(I1415,$C$3:$L$6,8,0)),IF(VLOOKUP(I1415,$C$3:$L$6,5,0)=Variables!$B$5,((YEAR(B1415)-YEAR($B$12))*12+MONTH(B1415)-MONTH($B$12)),((YEAR(B1415)-YEAR(VLOOKUP(I1415,$C$3:$L$6,8,0)))*12+MONTH(B1415)-MONTH(VLOOKUP(I1415,$C$3:$L$6,8,0))))*(VLOOKUP(I1415,$C$3:$L$6,10,0)*VLOOKUP(I1415,$C$3:$L$6,6,0)/12),0))</f>
        <v/>
      </c>
      <c r="K1415" s="29" t="str">
        <f ca="1">IF(C1415&lt;&gt;"",IF(I1415&lt;&gt;"",IF(ISERROR(VLOOKUP(I1415,$C$3:$L$6,10,0)),"",VLOOKUP(I1415,$C$3:$L$6,10,0)+J1415+IF(OR(VLOOKUP(I1415,$C$3:$L$6,5,0)=Variables!$B$5,B1415&gt;VLOOKUP(I1415,$C$3:$L$6,8,0)),IF(VLOOKUP(I1415,$C$3:$L$6,5,0)=Variables!$B$5,((YEAR(B1415)-YEAR($B$12))*12+MONTH(B1415)-MONTH($B$12)),((YEAR(B1415)-YEAR(VLOOKUP(I1415,$C$3:$L$6,8,0)))*12+MONTH(B1415)-MONTH(VLOOKUP(I1415,$C$3:$L$6,8,0))))*VLOOKUP(I1415,$C$3:$L$6,7,0),0)),""),"")</f>
        <v/>
      </c>
      <c r="L1415" s="29" t="str">
        <f t="shared" ca="1" si="119"/>
        <v/>
      </c>
    </row>
    <row r="1416" spans="2:12" x14ac:dyDescent="0.25">
      <c r="B1416" s="14" t="str">
        <f t="shared" ca="1" si="120"/>
        <v/>
      </c>
      <c r="C1416" s="14" t="str">
        <f ca="1">IF(I1415&lt;&gt;Variables!$B$1,IF(H1415&lt;&gt;0,C1415,I1415),"")</f>
        <v/>
      </c>
      <c r="D1416" s="29" t="str">
        <f t="shared" ca="1" si="117"/>
        <v/>
      </c>
      <c r="E1416" s="29" t="str">
        <f t="shared" ca="1" si="118"/>
        <v/>
      </c>
      <c r="F1416" s="29" t="str">
        <f ca="1">IF(C1416&lt;&gt;"",IF(OR(VLOOKUP(C1416,$C$3:$L$6,5,0)=Variables!$B$5,B1416&gt;VLOOKUP(C1416,$C$3:$L$6,8,0)),-D1416*VLOOKUP(C1416,$C$3:$L$6,6,0)/12,0),"")</f>
        <v/>
      </c>
      <c r="G1416" s="29" t="str">
        <f ca="1">IF(I1416&lt;&gt;Variables!$B$1,IF(C1416&lt;&gt;"",$I$9-E1416-F1416,""),-D1416)</f>
        <v/>
      </c>
      <c r="H1416" s="29" t="str">
        <f t="shared" ca="1" si="121"/>
        <v/>
      </c>
      <c r="I1416" s="31" t="str">
        <f ca="1">IF(C1416&lt;&gt;"",IF(D1416+$I$9-E1416-F1416&gt;=0,IF(ISERROR(INDEX($C$3:$C$6,MATCH(C1416,$C$3:$C$6,0)+1,0)),Variables!$B$1,INDEX($C$3:$C$6,MATCH(C1416,$C$3:$C$6,0)+1,0)),""),"")</f>
        <v/>
      </c>
      <c r="J1416" s="29" t="str">
        <f ca="1">IF(ISERROR(VLOOKUP(I1416,$C$3:$L$6,5,0)),"",IF(OR(VLOOKUP(I1416,$C$3:$L$6,5,0)=Variables!$B$5,B1416&gt;VLOOKUP(I1416,$C$3:$L$6,8,0)),IF(VLOOKUP(I1416,$C$3:$L$6,5,0)=Variables!$B$5,((YEAR(B1416)-YEAR($B$12))*12+MONTH(B1416)-MONTH($B$12)),((YEAR(B1416)-YEAR(VLOOKUP(I1416,$C$3:$L$6,8,0)))*12+MONTH(B1416)-MONTH(VLOOKUP(I1416,$C$3:$L$6,8,0))))*(VLOOKUP(I1416,$C$3:$L$6,10,0)*VLOOKUP(I1416,$C$3:$L$6,6,0)/12),0))</f>
        <v/>
      </c>
      <c r="K1416" s="29" t="str">
        <f ca="1">IF(C1416&lt;&gt;"",IF(I1416&lt;&gt;"",IF(ISERROR(VLOOKUP(I1416,$C$3:$L$6,10,0)),"",VLOOKUP(I1416,$C$3:$L$6,10,0)+J1416+IF(OR(VLOOKUP(I1416,$C$3:$L$6,5,0)=Variables!$B$5,B1416&gt;VLOOKUP(I1416,$C$3:$L$6,8,0)),IF(VLOOKUP(I1416,$C$3:$L$6,5,0)=Variables!$B$5,((YEAR(B1416)-YEAR($B$12))*12+MONTH(B1416)-MONTH($B$12)),((YEAR(B1416)-YEAR(VLOOKUP(I1416,$C$3:$L$6,8,0)))*12+MONTH(B1416)-MONTH(VLOOKUP(I1416,$C$3:$L$6,8,0))))*VLOOKUP(I1416,$C$3:$L$6,7,0),0)),""),"")</f>
        <v/>
      </c>
      <c r="L1416" s="29" t="str">
        <f t="shared" ca="1" si="119"/>
        <v/>
      </c>
    </row>
    <row r="1417" spans="2:12" x14ac:dyDescent="0.25">
      <c r="B1417" s="14" t="str">
        <f t="shared" ca="1" si="120"/>
        <v/>
      </c>
      <c r="C1417" s="14" t="str">
        <f ca="1">IF(I1416&lt;&gt;Variables!$B$1,IF(H1416&lt;&gt;0,C1416,I1416),"")</f>
        <v/>
      </c>
      <c r="D1417" s="29" t="str">
        <f t="shared" ca="1" si="117"/>
        <v/>
      </c>
      <c r="E1417" s="29" t="str">
        <f t="shared" ca="1" si="118"/>
        <v/>
      </c>
      <c r="F1417" s="29" t="str">
        <f ca="1">IF(C1417&lt;&gt;"",IF(OR(VLOOKUP(C1417,$C$3:$L$6,5,0)=Variables!$B$5,B1417&gt;VLOOKUP(C1417,$C$3:$L$6,8,0)),-D1417*VLOOKUP(C1417,$C$3:$L$6,6,0)/12,0),"")</f>
        <v/>
      </c>
      <c r="G1417" s="29" t="str">
        <f ca="1">IF(I1417&lt;&gt;Variables!$B$1,IF(C1417&lt;&gt;"",$I$9-E1417-F1417,""),-D1417)</f>
        <v/>
      </c>
      <c r="H1417" s="29" t="str">
        <f t="shared" ca="1" si="121"/>
        <v/>
      </c>
      <c r="I1417" s="31" t="str">
        <f ca="1">IF(C1417&lt;&gt;"",IF(D1417+$I$9-E1417-F1417&gt;=0,IF(ISERROR(INDEX($C$3:$C$6,MATCH(C1417,$C$3:$C$6,0)+1,0)),Variables!$B$1,INDEX($C$3:$C$6,MATCH(C1417,$C$3:$C$6,0)+1,0)),""),"")</f>
        <v/>
      </c>
      <c r="J1417" s="29" t="str">
        <f ca="1">IF(ISERROR(VLOOKUP(I1417,$C$3:$L$6,5,0)),"",IF(OR(VLOOKUP(I1417,$C$3:$L$6,5,0)=Variables!$B$5,B1417&gt;VLOOKUP(I1417,$C$3:$L$6,8,0)),IF(VLOOKUP(I1417,$C$3:$L$6,5,0)=Variables!$B$5,((YEAR(B1417)-YEAR($B$12))*12+MONTH(B1417)-MONTH($B$12)),((YEAR(B1417)-YEAR(VLOOKUP(I1417,$C$3:$L$6,8,0)))*12+MONTH(B1417)-MONTH(VLOOKUP(I1417,$C$3:$L$6,8,0))))*(VLOOKUP(I1417,$C$3:$L$6,10,0)*VLOOKUP(I1417,$C$3:$L$6,6,0)/12),0))</f>
        <v/>
      </c>
      <c r="K1417" s="29" t="str">
        <f ca="1">IF(C1417&lt;&gt;"",IF(I1417&lt;&gt;"",IF(ISERROR(VLOOKUP(I1417,$C$3:$L$6,10,0)),"",VLOOKUP(I1417,$C$3:$L$6,10,0)+J1417+IF(OR(VLOOKUP(I1417,$C$3:$L$6,5,0)=Variables!$B$5,B1417&gt;VLOOKUP(I1417,$C$3:$L$6,8,0)),IF(VLOOKUP(I1417,$C$3:$L$6,5,0)=Variables!$B$5,((YEAR(B1417)-YEAR($B$12))*12+MONTH(B1417)-MONTH($B$12)),((YEAR(B1417)-YEAR(VLOOKUP(I1417,$C$3:$L$6,8,0)))*12+MONTH(B1417)-MONTH(VLOOKUP(I1417,$C$3:$L$6,8,0))))*VLOOKUP(I1417,$C$3:$L$6,7,0),0)),""),"")</f>
        <v/>
      </c>
      <c r="L1417" s="29" t="str">
        <f t="shared" ca="1" si="119"/>
        <v/>
      </c>
    </row>
    <row r="1418" spans="2:12" x14ac:dyDescent="0.25">
      <c r="B1418" s="14" t="str">
        <f t="shared" ca="1" si="120"/>
        <v/>
      </c>
      <c r="C1418" s="14" t="str">
        <f ca="1">IF(I1417&lt;&gt;Variables!$B$1,IF(H1417&lt;&gt;0,C1417,I1417),"")</f>
        <v/>
      </c>
      <c r="D1418" s="29" t="str">
        <f t="shared" ca="1" si="117"/>
        <v/>
      </c>
      <c r="E1418" s="29" t="str">
        <f t="shared" ca="1" si="118"/>
        <v/>
      </c>
      <c r="F1418" s="29" t="str">
        <f ca="1">IF(C1418&lt;&gt;"",IF(OR(VLOOKUP(C1418,$C$3:$L$6,5,0)=Variables!$B$5,B1418&gt;VLOOKUP(C1418,$C$3:$L$6,8,0)),-D1418*VLOOKUP(C1418,$C$3:$L$6,6,0)/12,0),"")</f>
        <v/>
      </c>
      <c r="G1418" s="29" t="str">
        <f ca="1">IF(I1418&lt;&gt;Variables!$B$1,IF(C1418&lt;&gt;"",$I$9-E1418-F1418,""),-D1418)</f>
        <v/>
      </c>
      <c r="H1418" s="29" t="str">
        <f t="shared" ca="1" si="121"/>
        <v/>
      </c>
      <c r="I1418" s="31" t="str">
        <f ca="1">IF(C1418&lt;&gt;"",IF(D1418+$I$9-E1418-F1418&gt;=0,IF(ISERROR(INDEX($C$3:$C$6,MATCH(C1418,$C$3:$C$6,0)+1,0)),Variables!$B$1,INDEX($C$3:$C$6,MATCH(C1418,$C$3:$C$6,0)+1,0)),""),"")</f>
        <v/>
      </c>
      <c r="J1418" s="29" t="str">
        <f ca="1">IF(ISERROR(VLOOKUP(I1418,$C$3:$L$6,5,0)),"",IF(OR(VLOOKUP(I1418,$C$3:$L$6,5,0)=Variables!$B$5,B1418&gt;VLOOKUP(I1418,$C$3:$L$6,8,0)),IF(VLOOKUP(I1418,$C$3:$L$6,5,0)=Variables!$B$5,((YEAR(B1418)-YEAR($B$12))*12+MONTH(B1418)-MONTH($B$12)),((YEAR(B1418)-YEAR(VLOOKUP(I1418,$C$3:$L$6,8,0)))*12+MONTH(B1418)-MONTH(VLOOKUP(I1418,$C$3:$L$6,8,0))))*(VLOOKUP(I1418,$C$3:$L$6,10,0)*VLOOKUP(I1418,$C$3:$L$6,6,0)/12),0))</f>
        <v/>
      </c>
      <c r="K1418" s="29" t="str">
        <f ca="1">IF(C1418&lt;&gt;"",IF(I1418&lt;&gt;"",IF(ISERROR(VLOOKUP(I1418,$C$3:$L$6,10,0)),"",VLOOKUP(I1418,$C$3:$L$6,10,0)+J1418+IF(OR(VLOOKUP(I1418,$C$3:$L$6,5,0)=Variables!$B$5,B1418&gt;VLOOKUP(I1418,$C$3:$L$6,8,0)),IF(VLOOKUP(I1418,$C$3:$L$6,5,0)=Variables!$B$5,((YEAR(B1418)-YEAR($B$12))*12+MONTH(B1418)-MONTH($B$12)),((YEAR(B1418)-YEAR(VLOOKUP(I1418,$C$3:$L$6,8,0)))*12+MONTH(B1418)-MONTH(VLOOKUP(I1418,$C$3:$L$6,8,0))))*VLOOKUP(I1418,$C$3:$L$6,7,0),0)),""),"")</f>
        <v/>
      </c>
      <c r="L1418" s="29" t="str">
        <f t="shared" ca="1" si="119"/>
        <v/>
      </c>
    </row>
    <row r="1419" spans="2:12" x14ac:dyDescent="0.25">
      <c r="B1419" s="14" t="str">
        <f t="shared" ca="1" si="120"/>
        <v/>
      </c>
      <c r="C1419" s="14" t="str">
        <f ca="1">IF(I1418&lt;&gt;Variables!$B$1,IF(H1418&lt;&gt;0,C1418,I1418),"")</f>
        <v/>
      </c>
      <c r="D1419" s="29" t="str">
        <f t="shared" ca="1" si="117"/>
        <v/>
      </c>
      <c r="E1419" s="29" t="str">
        <f t="shared" ca="1" si="118"/>
        <v/>
      </c>
      <c r="F1419" s="29" t="str">
        <f ca="1">IF(C1419&lt;&gt;"",IF(OR(VLOOKUP(C1419,$C$3:$L$6,5,0)=Variables!$B$5,B1419&gt;VLOOKUP(C1419,$C$3:$L$6,8,0)),-D1419*VLOOKUP(C1419,$C$3:$L$6,6,0)/12,0),"")</f>
        <v/>
      </c>
      <c r="G1419" s="29" t="str">
        <f ca="1">IF(I1419&lt;&gt;Variables!$B$1,IF(C1419&lt;&gt;"",$I$9-E1419-F1419,""),-D1419)</f>
        <v/>
      </c>
      <c r="H1419" s="29" t="str">
        <f t="shared" ca="1" si="121"/>
        <v/>
      </c>
      <c r="I1419" s="31" t="str">
        <f ca="1">IF(C1419&lt;&gt;"",IF(D1419+$I$9-E1419-F1419&gt;=0,IF(ISERROR(INDEX($C$3:$C$6,MATCH(C1419,$C$3:$C$6,0)+1,0)),Variables!$B$1,INDEX($C$3:$C$6,MATCH(C1419,$C$3:$C$6,0)+1,0)),""),"")</f>
        <v/>
      </c>
      <c r="J1419" s="29" t="str">
        <f ca="1">IF(ISERROR(VLOOKUP(I1419,$C$3:$L$6,5,0)),"",IF(OR(VLOOKUP(I1419,$C$3:$L$6,5,0)=Variables!$B$5,B1419&gt;VLOOKUP(I1419,$C$3:$L$6,8,0)),IF(VLOOKUP(I1419,$C$3:$L$6,5,0)=Variables!$B$5,((YEAR(B1419)-YEAR($B$12))*12+MONTH(B1419)-MONTH($B$12)),((YEAR(B1419)-YEAR(VLOOKUP(I1419,$C$3:$L$6,8,0)))*12+MONTH(B1419)-MONTH(VLOOKUP(I1419,$C$3:$L$6,8,0))))*(VLOOKUP(I1419,$C$3:$L$6,10,0)*VLOOKUP(I1419,$C$3:$L$6,6,0)/12),0))</f>
        <v/>
      </c>
      <c r="K1419" s="29" t="str">
        <f ca="1">IF(C1419&lt;&gt;"",IF(I1419&lt;&gt;"",IF(ISERROR(VLOOKUP(I1419,$C$3:$L$6,10,0)),"",VLOOKUP(I1419,$C$3:$L$6,10,0)+J1419+IF(OR(VLOOKUP(I1419,$C$3:$L$6,5,0)=Variables!$B$5,B1419&gt;VLOOKUP(I1419,$C$3:$L$6,8,0)),IF(VLOOKUP(I1419,$C$3:$L$6,5,0)=Variables!$B$5,((YEAR(B1419)-YEAR($B$12))*12+MONTH(B1419)-MONTH($B$12)),((YEAR(B1419)-YEAR(VLOOKUP(I1419,$C$3:$L$6,8,0)))*12+MONTH(B1419)-MONTH(VLOOKUP(I1419,$C$3:$L$6,8,0))))*VLOOKUP(I1419,$C$3:$L$6,7,0),0)),""),"")</f>
        <v/>
      </c>
      <c r="L1419" s="29" t="str">
        <f t="shared" ca="1" si="119"/>
        <v/>
      </c>
    </row>
    <row r="1420" spans="2:12" x14ac:dyDescent="0.25">
      <c r="B1420" s="14" t="str">
        <f t="shared" ca="1" si="120"/>
        <v/>
      </c>
      <c r="C1420" s="14" t="str">
        <f ca="1">IF(I1419&lt;&gt;Variables!$B$1,IF(H1419&lt;&gt;0,C1419,I1419),"")</f>
        <v/>
      </c>
      <c r="D1420" s="29" t="str">
        <f t="shared" ca="1" si="117"/>
        <v/>
      </c>
      <c r="E1420" s="29" t="str">
        <f t="shared" ca="1" si="118"/>
        <v/>
      </c>
      <c r="F1420" s="29" t="str">
        <f ca="1">IF(C1420&lt;&gt;"",IF(OR(VLOOKUP(C1420,$C$3:$L$6,5,0)=Variables!$B$5,B1420&gt;VLOOKUP(C1420,$C$3:$L$6,8,0)),-D1420*VLOOKUP(C1420,$C$3:$L$6,6,0)/12,0),"")</f>
        <v/>
      </c>
      <c r="G1420" s="29" t="str">
        <f ca="1">IF(I1420&lt;&gt;Variables!$B$1,IF(C1420&lt;&gt;"",$I$9-E1420-F1420,""),-D1420)</f>
        <v/>
      </c>
      <c r="H1420" s="29" t="str">
        <f t="shared" ca="1" si="121"/>
        <v/>
      </c>
      <c r="I1420" s="31" t="str">
        <f ca="1">IF(C1420&lt;&gt;"",IF(D1420+$I$9-E1420-F1420&gt;=0,IF(ISERROR(INDEX($C$3:$C$6,MATCH(C1420,$C$3:$C$6,0)+1,0)),Variables!$B$1,INDEX($C$3:$C$6,MATCH(C1420,$C$3:$C$6,0)+1,0)),""),"")</f>
        <v/>
      </c>
      <c r="J1420" s="29" t="str">
        <f ca="1">IF(ISERROR(VLOOKUP(I1420,$C$3:$L$6,5,0)),"",IF(OR(VLOOKUP(I1420,$C$3:$L$6,5,0)=Variables!$B$5,B1420&gt;VLOOKUP(I1420,$C$3:$L$6,8,0)),IF(VLOOKUP(I1420,$C$3:$L$6,5,0)=Variables!$B$5,((YEAR(B1420)-YEAR($B$12))*12+MONTH(B1420)-MONTH($B$12)),((YEAR(B1420)-YEAR(VLOOKUP(I1420,$C$3:$L$6,8,0)))*12+MONTH(B1420)-MONTH(VLOOKUP(I1420,$C$3:$L$6,8,0))))*(VLOOKUP(I1420,$C$3:$L$6,10,0)*VLOOKUP(I1420,$C$3:$L$6,6,0)/12),0))</f>
        <v/>
      </c>
      <c r="K1420" s="29" t="str">
        <f ca="1">IF(C1420&lt;&gt;"",IF(I1420&lt;&gt;"",IF(ISERROR(VLOOKUP(I1420,$C$3:$L$6,10,0)),"",VLOOKUP(I1420,$C$3:$L$6,10,0)+J1420+IF(OR(VLOOKUP(I1420,$C$3:$L$6,5,0)=Variables!$B$5,B1420&gt;VLOOKUP(I1420,$C$3:$L$6,8,0)),IF(VLOOKUP(I1420,$C$3:$L$6,5,0)=Variables!$B$5,((YEAR(B1420)-YEAR($B$12))*12+MONTH(B1420)-MONTH($B$12)),((YEAR(B1420)-YEAR(VLOOKUP(I1420,$C$3:$L$6,8,0)))*12+MONTH(B1420)-MONTH(VLOOKUP(I1420,$C$3:$L$6,8,0))))*VLOOKUP(I1420,$C$3:$L$6,7,0),0)),""),"")</f>
        <v/>
      </c>
      <c r="L1420" s="29" t="str">
        <f t="shared" ca="1" si="119"/>
        <v/>
      </c>
    </row>
    <row r="1421" spans="2:12" x14ac:dyDescent="0.25">
      <c r="B1421" s="14" t="str">
        <f t="shared" ca="1" si="120"/>
        <v/>
      </c>
      <c r="C1421" s="14" t="str">
        <f ca="1">IF(I1420&lt;&gt;Variables!$B$1,IF(H1420&lt;&gt;0,C1420,I1420),"")</f>
        <v/>
      </c>
      <c r="D1421" s="29" t="str">
        <f t="shared" ca="1" si="117"/>
        <v/>
      </c>
      <c r="E1421" s="29" t="str">
        <f t="shared" ca="1" si="118"/>
        <v/>
      </c>
      <c r="F1421" s="29" t="str">
        <f ca="1">IF(C1421&lt;&gt;"",IF(OR(VLOOKUP(C1421,$C$3:$L$6,5,0)=Variables!$B$5,B1421&gt;VLOOKUP(C1421,$C$3:$L$6,8,0)),-D1421*VLOOKUP(C1421,$C$3:$L$6,6,0)/12,0),"")</f>
        <v/>
      </c>
      <c r="G1421" s="29" t="str">
        <f ca="1">IF(I1421&lt;&gt;Variables!$B$1,IF(C1421&lt;&gt;"",$I$9-E1421-F1421,""),-D1421)</f>
        <v/>
      </c>
      <c r="H1421" s="29" t="str">
        <f t="shared" ca="1" si="121"/>
        <v/>
      </c>
      <c r="I1421" s="31" t="str">
        <f ca="1">IF(C1421&lt;&gt;"",IF(D1421+$I$9-E1421-F1421&gt;=0,IF(ISERROR(INDEX($C$3:$C$6,MATCH(C1421,$C$3:$C$6,0)+1,0)),Variables!$B$1,INDEX($C$3:$C$6,MATCH(C1421,$C$3:$C$6,0)+1,0)),""),"")</f>
        <v/>
      </c>
      <c r="J1421" s="29" t="str">
        <f ca="1">IF(ISERROR(VLOOKUP(I1421,$C$3:$L$6,5,0)),"",IF(OR(VLOOKUP(I1421,$C$3:$L$6,5,0)=Variables!$B$5,B1421&gt;VLOOKUP(I1421,$C$3:$L$6,8,0)),IF(VLOOKUP(I1421,$C$3:$L$6,5,0)=Variables!$B$5,((YEAR(B1421)-YEAR($B$12))*12+MONTH(B1421)-MONTH($B$12)),((YEAR(B1421)-YEAR(VLOOKUP(I1421,$C$3:$L$6,8,0)))*12+MONTH(B1421)-MONTH(VLOOKUP(I1421,$C$3:$L$6,8,0))))*(VLOOKUP(I1421,$C$3:$L$6,10,0)*VLOOKUP(I1421,$C$3:$L$6,6,0)/12),0))</f>
        <v/>
      </c>
      <c r="K1421" s="29" t="str">
        <f ca="1">IF(C1421&lt;&gt;"",IF(I1421&lt;&gt;"",IF(ISERROR(VLOOKUP(I1421,$C$3:$L$6,10,0)),"",VLOOKUP(I1421,$C$3:$L$6,10,0)+J1421+IF(OR(VLOOKUP(I1421,$C$3:$L$6,5,0)=Variables!$B$5,B1421&gt;VLOOKUP(I1421,$C$3:$L$6,8,0)),IF(VLOOKUP(I1421,$C$3:$L$6,5,0)=Variables!$B$5,((YEAR(B1421)-YEAR($B$12))*12+MONTH(B1421)-MONTH($B$12)),((YEAR(B1421)-YEAR(VLOOKUP(I1421,$C$3:$L$6,8,0)))*12+MONTH(B1421)-MONTH(VLOOKUP(I1421,$C$3:$L$6,8,0))))*VLOOKUP(I1421,$C$3:$L$6,7,0),0)),""),"")</f>
        <v/>
      </c>
      <c r="L1421" s="29" t="str">
        <f t="shared" ca="1" si="119"/>
        <v/>
      </c>
    </row>
    <row r="1422" spans="2:12" x14ac:dyDescent="0.25">
      <c r="B1422" s="14" t="str">
        <f t="shared" ca="1" si="120"/>
        <v/>
      </c>
      <c r="C1422" s="14" t="str">
        <f ca="1">IF(I1421&lt;&gt;Variables!$B$1,IF(H1421&lt;&gt;0,C1421,I1421),"")</f>
        <v/>
      </c>
      <c r="D1422" s="29" t="str">
        <f t="shared" ca="1" si="117"/>
        <v/>
      </c>
      <c r="E1422" s="29" t="str">
        <f t="shared" ca="1" si="118"/>
        <v/>
      </c>
      <c r="F1422" s="29" t="str">
        <f ca="1">IF(C1422&lt;&gt;"",IF(OR(VLOOKUP(C1422,$C$3:$L$6,5,0)=Variables!$B$5,B1422&gt;VLOOKUP(C1422,$C$3:$L$6,8,0)),-D1422*VLOOKUP(C1422,$C$3:$L$6,6,0)/12,0),"")</f>
        <v/>
      </c>
      <c r="G1422" s="29" t="str">
        <f ca="1">IF(I1422&lt;&gt;Variables!$B$1,IF(C1422&lt;&gt;"",$I$9-E1422-F1422,""),-D1422)</f>
        <v/>
      </c>
      <c r="H1422" s="29" t="str">
        <f t="shared" ca="1" si="121"/>
        <v/>
      </c>
      <c r="I1422" s="31" t="str">
        <f ca="1">IF(C1422&lt;&gt;"",IF(D1422+$I$9-E1422-F1422&gt;=0,IF(ISERROR(INDEX($C$3:$C$6,MATCH(C1422,$C$3:$C$6,0)+1,0)),Variables!$B$1,INDEX($C$3:$C$6,MATCH(C1422,$C$3:$C$6,0)+1,0)),""),"")</f>
        <v/>
      </c>
      <c r="J1422" s="29" t="str">
        <f ca="1">IF(ISERROR(VLOOKUP(I1422,$C$3:$L$6,5,0)),"",IF(OR(VLOOKUP(I1422,$C$3:$L$6,5,0)=Variables!$B$5,B1422&gt;VLOOKUP(I1422,$C$3:$L$6,8,0)),IF(VLOOKUP(I1422,$C$3:$L$6,5,0)=Variables!$B$5,((YEAR(B1422)-YEAR($B$12))*12+MONTH(B1422)-MONTH($B$12)),((YEAR(B1422)-YEAR(VLOOKUP(I1422,$C$3:$L$6,8,0)))*12+MONTH(B1422)-MONTH(VLOOKUP(I1422,$C$3:$L$6,8,0))))*(VLOOKUP(I1422,$C$3:$L$6,10,0)*VLOOKUP(I1422,$C$3:$L$6,6,0)/12),0))</f>
        <v/>
      </c>
      <c r="K1422" s="29" t="str">
        <f ca="1">IF(C1422&lt;&gt;"",IF(I1422&lt;&gt;"",IF(ISERROR(VLOOKUP(I1422,$C$3:$L$6,10,0)),"",VLOOKUP(I1422,$C$3:$L$6,10,0)+J1422+IF(OR(VLOOKUP(I1422,$C$3:$L$6,5,0)=Variables!$B$5,B1422&gt;VLOOKUP(I1422,$C$3:$L$6,8,0)),IF(VLOOKUP(I1422,$C$3:$L$6,5,0)=Variables!$B$5,((YEAR(B1422)-YEAR($B$12))*12+MONTH(B1422)-MONTH($B$12)),((YEAR(B1422)-YEAR(VLOOKUP(I1422,$C$3:$L$6,8,0)))*12+MONTH(B1422)-MONTH(VLOOKUP(I1422,$C$3:$L$6,8,0))))*VLOOKUP(I1422,$C$3:$L$6,7,0),0)),""),"")</f>
        <v/>
      </c>
      <c r="L1422" s="29" t="str">
        <f t="shared" ca="1" si="119"/>
        <v/>
      </c>
    </row>
    <row r="1423" spans="2:12" x14ac:dyDescent="0.25">
      <c r="B1423" s="14" t="str">
        <f t="shared" ca="1" si="120"/>
        <v/>
      </c>
      <c r="C1423" s="14" t="str">
        <f ca="1">IF(I1422&lt;&gt;Variables!$B$1,IF(H1422&lt;&gt;0,C1422,I1422),"")</f>
        <v/>
      </c>
      <c r="D1423" s="29" t="str">
        <f t="shared" ca="1" si="117"/>
        <v/>
      </c>
      <c r="E1423" s="29" t="str">
        <f t="shared" ca="1" si="118"/>
        <v/>
      </c>
      <c r="F1423" s="29" t="str">
        <f ca="1">IF(C1423&lt;&gt;"",IF(OR(VLOOKUP(C1423,$C$3:$L$6,5,0)=Variables!$B$5,B1423&gt;VLOOKUP(C1423,$C$3:$L$6,8,0)),-D1423*VLOOKUP(C1423,$C$3:$L$6,6,0)/12,0),"")</f>
        <v/>
      </c>
      <c r="G1423" s="29" t="str">
        <f ca="1">IF(I1423&lt;&gt;Variables!$B$1,IF(C1423&lt;&gt;"",$I$9-E1423-F1423,""),-D1423)</f>
        <v/>
      </c>
      <c r="H1423" s="29" t="str">
        <f t="shared" ca="1" si="121"/>
        <v/>
      </c>
      <c r="I1423" s="31" t="str">
        <f ca="1">IF(C1423&lt;&gt;"",IF(D1423+$I$9-E1423-F1423&gt;=0,IF(ISERROR(INDEX($C$3:$C$6,MATCH(C1423,$C$3:$C$6,0)+1,0)),Variables!$B$1,INDEX($C$3:$C$6,MATCH(C1423,$C$3:$C$6,0)+1,0)),""),"")</f>
        <v/>
      </c>
      <c r="J1423" s="29" t="str">
        <f ca="1">IF(ISERROR(VLOOKUP(I1423,$C$3:$L$6,5,0)),"",IF(OR(VLOOKUP(I1423,$C$3:$L$6,5,0)=Variables!$B$5,B1423&gt;VLOOKUP(I1423,$C$3:$L$6,8,0)),IF(VLOOKUP(I1423,$C$3:$L$6,5,0)=Variables!$B$5,((YEAR(B1423)-YEAR($B$12))*12+MONTH(B1423)-MONTH($B$12)),((YEAR(B1423)-YEAR(VLOOKUP(I1423,$C$3:$L$6,8,0)))*12+MONTH(B1423)-MONTH(VLOOKUP(I1423,$C$3:$L$6,8,0))))*(VLOOKUP(I1423,$C$3:$L$6,10,0)*VLOOKUP(I1423,$C$3:$L$6,6,0)/12),0))</f>
        <v/>
      </c>
      <c r="K1423" s="29" t="str">
        <f ca="1">IF(C1423&lt;&gt;"",IF(I1423&lt;&gt;"",IF(ISERROR(VLOOKUP(I1423,$C$3:$L$6,10,0)),"",VLOOKUP(I1423,$C$3:$L$6,10,0)+J1423+IF(OR(VLOOKUP(I1423,$C$3:$L$6,5,0)=Variables!$B$5,B1423&gt;VLOOKUP(I1423,$C$3:$L$6,8,0)),IF(VLOOKUP(I1423,$C$3:$L$6,5,0)=Variables!$B$5,((YEAR(B1423)-YEAR($B$12))*12+MONTH(B1423)-MONTH($B$12)),((YEAR(B1423)-YEAR(VLOOKUP(I1423,$C$3:$L$6,8,0)))*12+MONTH(B1423)-MONTH(VLOOKUP(I1423,$C$3:$L$6,8,0))))*VLOOKUP(I1423,$C$3:$L$6,7,0),0)),""),"")</f>
        <v/>
      </c>
      <c r="L1423" s="29" t="str">
        <f t="shared" ca="1" si="119"/>
        <v/>
      </c>
    </row>
    <row r="1424" spans="2:12" x14ac:dyDescent="0.25">
      <c r="B1424" s="14" t="str">
        <f t="shared" ca="1" si="120"/>
        <v/>
      </c>
      <c r="C1424" s="14" t="str">
        <f ca="1">IF(I1423&lt;&gt;Variables!$B$1,IF(H1423&lt;&gt;0,C1423,I1423),"")</f>
        <v/>
      </c>
      <c r="D1424" s="29" t="str">
        <f t="shared" ca="1" si="117"/>
        <v/>
      </c>
      <c r="E1424" s="29" t="str">
        <f t="shared" ca="1" si="118"/>
        <v/>
      </c>
      <c r="F1424" s="29" t="str">
        <f ca="1">IF(C1424&lt;&gt;"",IF(OR(VLOOKUP(C1424,$C$3:$L$6,5,0)=Variables!$B$5,B1424&gt;VLOOKUP(C1424,$C$3:$L$6,8,0)),-D1424*VLOOKUP(C1424,$C$3:$L$6,6,0)/12,0),"")</f>
        <v/>
      </c>
      <c r="G1424" s="29" t="str">
        <f ca="1">IF(I1424&lt;&gt;Variables!$B$1,IF(C1424&lt;&gt;"",$I$9-E1424-F1424,""),-D1424)</f>
        <v/>
      </c>
      <c r="H1424" s="29" t="str">
        <f t="shared" ca="1" si="121"/>
        <v/>
      </c>
      <c r="I1424" s="31" t="str">
        <f ca="1">IF(C1424&lt;&gt;"",IF(D1424+$I$9-E1424-F1424&gt;=0,IF(ISERROR(INDEX($C$3:$C$6,MATCH(C1424,$C$3:$C$6,0)+1,0)),Variables!$B$1,INDEX($C$3:$C$6,MATCH(C1424,$C$3:$C$6,0)+1,0)),""),"")</f>
        <v/>
      </c>
      <c r="J1424" s="29" t="str">
        <f ca="1">IF(ISERROR(VLOOKUP(I1424,$C$3:$L$6,5,0)),"",IF(OR(VLOOKUP(I1424,$C$3:$L$6,5,0)=Variables!$B$5,B1424&gt;VLOOKUP(I1424,$C$3:$L$6,8,0)),IF(VLOOKUP(I1424,$C$3:$L$6,5,0)=Variables!$B$5,((YEAR(B1424)-YEAR($B$12))*12+MONTH(B1424)-MONTH($B$12)),((YEAR(B1424)-YEAR(VLOOKUP(I1424,$C$3:$L$6,8,0)))*12+MONTH(B1424)-MONTH(VLOOKUP(I1424,$C$3:$L$6,8,0))))*(VLOOKUP(I1424,$C$3:$L$6,10,0)*VLOOKUP(I1424,$C$3:$L$6,6,0)/12),0))</f>
        <v/>
      </c>
      <c r="K1424" s="29" t="str">
        <f ca="1">IF(C1424&lt;&gt;"",IF(I1424&lt;&gt;"",IF(ISERROR(VLOOKUP(I1424,$C$3:$L$6,10,0)),"",VLOOKUP(I1424,$C$3:$L$6,10,0)+J1424+IF(OR(VLOOKUP(I1424,$C$3:$L$6,5,0)=Variables!$B$5,B1424&gt;VLOOKUP(I1424,$C$3:$L$6,8,0)),IF(VLOOKUP(I1424,$C$3:$L$6,5,0)=Variables!$B$5,((YEAR(B1424)-YEAR($B$12))*12+MONTH(B1424)-MONTH($B$12)),((YEAR(B1424)-YEAR(VLOOKUP(I1424,$C$3:$L$6,8,0)))*12+MONTH(B1424)-MONTH(VLOOKUP(I1424,$C$3:$L$6,8,0))))*VLOOKUP(I1424,$C$3:$L$6,7,0),0)),""),"")</f>
        <v/>
      </c>
      <c r="L1424" s="29" t="str">
        <f t="shared" ca="1" si="119"/>
        <v/>
      </c>
    </row>
    <row r="1425" spans="2:12" x14ac:dyDescent="0.25">
      <c r="B1425" s="14" t="str">
        <f t="shared" ca="1" si="120"/>
        <v/>
      </c>
      <c r="C1425" s="14" t="str">
        <f ca="1">IF(I1424&lt;&gt;Variables!$B$1,IF(H1424&lt;&gt;0,C1424,I1424),"")</f>
        <v/>
      </c>
      <c r="D1425" s="29" t="str">
        <f t="shared" ca="1" si="117"/>
        <v/>
      </c>
      <c r="E1425" s="29" t="str">
        <f t="shared" ca="1" si="118"/>
        <v/>
      </c>
      <c r="F1425" s="29" t="str">
        <f ca="1">IF(C1425&lt;&gt;"",IF(OR(VLOOKUP(C1425,$C$3:$L$6,5,0)=Variables!$B$5,B1425&gt;VLOOKUP(C1425,$C$3:$L$6,8,0)),-D1425*VLOOKUP(C1425,$C$3:$L$6,6,0)/12,0),"")</f>
        <v/>
      </c>
      <c r="G1425" s="29" t="str">
        <f ca="1">IF(I1425&lt;&gt;Variables!$B$1,IF(C1425&lt;&gt;"",$I$9-E1425-F1425,""),-D1425)</f>
        <v/>
      </c>
      <c r="H1425" s="29" t="str">
        <f t="shared" ca="1" si="121"/>
        <v/>
      </c>
      <c r="I1425" s="31" t="str">
        <f ca="1">IF(C1425&lt;&gt;"",IF(D1425+$I$9-E1425-F1425&gt;=0,IF(ISERROR(INDEX($C$3:$C$6,MATCH(C1425,$C$3:$C$6,0)+1,0)),Variables!$B$1,INDEX($C$3:$C$6,MATCH(C1425,$C$3:$C$6,0)+1,0)),""),"")</f>
        <v/>
      </c>
      <c r="J1425" s="29" t="str">
        <f ca="1">IF(ISERROR(VLOOKUP(I1425,$C$3:$L$6,5,0)),"",IF(OR(VLOOKUP(I1425,$C$3:$L$6,5,0)=Variables!$B$5,B1425&gt;VLOOKUP(I1425,$C$3:$L$6,8,0)),IF(VLOOKUP(I1425,$C$3:$L$6,5,0)=Variables!$B$5,((YEAR(B1425)-YEAR($B$12))*12+MONTH(B1425)-MONTH($B$12)),((YEAR(B1425)-YEAR(VLOOKUP(I1425,$C$3:$L$6,8,0)))*12+MONTH(B1425)-MONTH(VLOOKUP(I1425,$C$3:$L$6,8,0))))*(VLOOKUP(I1425,$C$3:$L$6,10,0)*VLOOKUP(I1425,$C$3:$L$6,6,0)/12),0))</f>
        <v/>
      </c>
      <c r="K1425" s="29" t="str">
        <f ca="1">IF(C1425&lt;&gt;"",IF(I1425&lt;&gt;"",IF(ISERROR(VLOOKUP(I1425,$C$3:$L$6,10,0)),"",VLOOKUP(I1425,$C$3:$L$6,10,0)+J1425+IF(OR(VLOOKUP(I1425,$C$3:$L$6,5,0)=Variables!$B$5,B1425&gt;VLOOKUP(I1425,$C$3:$L$6,8,0)),IF(VLOOKUP(I1425,$C$3:$L$6,5,0)=Variables!$B$5,((YEAR(B1425)-YEAR($B$12))*12+MONTH(B1425)-MONTH($B$12)),((YEAR(B1425)-YEAR(VLOOKUP(I1425,$C$3:$L$6,8,0)))*12+MONTH(B1425)-MONTH(VLOOKUP(I1425,$C$3:$L$6,8,0))))*VLOOKUP(I1425,$C$3:$L$6,7,0),0)),""),"")</f>
        <v/>
      </c>
      <c r="L1425" s="29" t="str">
        <f t="shared" ca="1" si="119"/>
        <v/>
      </c>
    </row>
    <row r="1426" spans="2:12" x14ac:dyDescent="0.25">
      <c r="B1426" s="14" t="str">
        <f t="shared" ca="1" si="120"/>
        <v/>
      </c>
      <c r="C1426" s="14" t="str">
        <f ca="1">IF(I1425&lt;&gt;Variables!$B$1,IF(H1425&lt;&gt;0,C1425,I1425),"")</f>
        <v/>
      </c>
      <c r="D1426" s="29" t="str">
        <f t="shared" ca="1" si="117"/>
        <v/>
      </c>
      <c r="E1426" s="29" t="str">
        <f t="shared" ca="1" si="118"/>
        <v/>
      </c>
      <c r="F1426" s="29" t="str">
        <f ca="1">IF(C1426&lt;&gt;"",IF(OR(VLOOKUP(C1426,$C$3:$L$6,5,0)=Variables!$B$5,B1426&gt;VLOOKUP(C1426,$C$3:$L$6,8,0)),-D1426*VLOOKUP(C1426,$C$3:$L$6,6,0)/12,0),"")</f>
        <v/>
      </c>
      <c r="G1426" s="29" t="str">
        <f ca="1">IF(I1426&lt;&gt;Variables!$B$1,IF(C1426&lt;&gt;"",$I$9-E1426-F1426,""),-D1426)</f>
        <v/>
      </c>
      <c r="H1426" s="29" t="str">
        <f t="shared" ca="1" si="121"/>
        <v/>
      </c>
      <c r="I1426" s="31" t="str">
        <f ca="1">IF(C1426&lt;&gt;"",IF(D1426+$I$9-E1426-F1426&gt;=0,IF(ISERROR(INDEX($C$3:$C$6,MATCH(C1426,$C$3:$C$6,0)+1,0)),Variables!$B$1,INDEX($C$3:$C$6,MATCH(C1426,$C$3:$C$6,0)+1,0)),""),"")</f>
        <v/>
      </c>
      <c r="J1426" s="29" t="str">
        <f ca="1">IF(ISERROR(VLOOKUP(I1426,$C$3:$L$6,5,0)),"",IF(OR(VLOOKUP(I1426,$C$3:$L$6,5,0)=Variables!$B$5,B1426&gt;VLOOKUP(I1426,$C$3:$L$6,8,0)),IF(VLOOKUP(I1426,$C$3:$L$6,5,0)=Variables!$B$5,((YEAR(B1426)-YEAR($B$12))*12+MONTH(B1426)-MONTH($B$12)),((YEAR(B1426)-YEAR(VLOOKUP(I1426,$C$3:$L$6,8,0)))*12+MONTH(B1426)-MONTH(VLOOKUP(I1426,$C$3:$L$6,8,0))))*(VLOOKUP(I1426,$C$3:$L$6,10,0)*VLOOKUP(I1426,$C$3:$L$6,6,0)/12),0))</f>
        <v/>
      </c>
      <c r="K1426" s="29" t="str">
        <f ca="1">IF(C1426&lt;&gt;"",IF(I1426&lt;&gt;"",IF(ISERROR(VLOOKUP(I1426,$C$3:$L$6,10,0)),"",VLOOKUP(I1426,$C$3:$L$6,10,0)+J1426+IF(OR(VLOOKUP(I1426,$C$3:$L$6,5,0)=Variables!$B$5,B1426&gt;VLOOKUP(I1426,$C$3:$L$6,8,0)),IF(VLOOKUP(I1426,$C$3:$L$6,5,0)=Variables!$B$5,((YEAR(B1426)-YEAR($B$12))*12+MONTH(B1426)-MONTH($B$12)),((YEAR(B1426)-YEAR(VLOOKUP(I1426,$C$3:$L$6,8,0)))*12+MONTH(B1426)-MONTH(VLOOKUP(I1426,$C$3:$L$6,8,0))))*VLOOKUP(I1426,$C$3:$L$6,7,0),0)),""),"")</f>
        <v/>
      </c>
      <c r="L1426" s="29" t="str">
        <f t="shared" ca="1" si="119"/>
        <v/>
      </c>
    </row>
    <row r="1427" spans="2:12" x14ac:dyDescent="0.25">
      <c r="B1427" s="14" t="str">
        <f t="shared" ca="1" si="120"/>
        <v/>
      </c>
      <c r="C1427" s="14" t="str">
        <f ca="1">IF(I1426&lt;&gt;Variables!$B$1,IF(H1426&lt;&gt;0,C1426,I1426),"")</f>
        <v/>
      </c>
      <c r="D1427" s="29" t="str">
        <f t="shared" ca="1" si="117"/>
        <v/>
      </c>
      <c r="E1427" s="29" t="str">
        <f t="shared" ca="1" si="118"/>
        <v/>
      </c>
      <c r="F1427" s="29" t="str">
        <f ca="1">IF(C1427&lt;&gt;"",IF(OR(VLOOKUP(C1427,$C$3:$L$6,5,0)=Variables!$B$5,B1427&gt;VLOOKUP(C1427,$C$3:$L$6,8,0)),-D1427*VLOOKUP(C1427,$C$3:$L$6,6,0)/12,0),"")</f>
        <v/>
      </c>
      <c r="G1427" s="29" t="str">
        <f ca="1">IF(I1427&lt;&gt;Variables!$B$1,IF(C1427&lt;&gt;"",$I$9-E1427-F1427,""),-D1427)</f>
        <v/>
      </c>
      <c r="H1427" s="29" t="str">
        <f t="shared" ca="1" si="121"/>
        <v/>
      </c>
      <c r="I1427" s="31" t="str">
        <f ca="1">IF(C1427&lt;&gt;"",IF(D1427+$I$9-E1427-F1427&gt;=0,IF(ISERROR(INDEX($C$3:$C$6,MATCH(C1427,$C$3:$C$6,0)+1,0)),Variables!$B$1,INDEX($C$3:$C$6,MATCH(C1427,$C$3:$C$6,0)+1,0)),""),"")</f>
        <v/>
      </c>
      <c r="J1427" s="29" t="str">
        <f ca="1">IF(ISERROR(VLOOKUP(I1427,$C$3:$L$6,5,0)),"",IF(OR(VLOOKUP(I1427,$C$3:$L$6,5,0)=Variables!$B$5,B1427&gt;VLOOKUP(I1427,$C$3:$L$6,8,0)),IF(VLOOKUP(I1427,$C$3:$L$6,5,0)=Variables!$B$5,((YEAR(B1427)-YEAR($B$12))*12+MONTH(B1427)-MONTH($B$12)),((YEAR(B1427)-YEAR(VLOOKUP(I1427,$C$3:$L$6,8,0)))*12+MONTH(B1427)-MONTH(VLOOKUP(I1427,$C$3:$L$6,8,0))))*(VLOOKUP(I1427,$C$3:$L$6,10,0)*VLOOKUP(I1427,$C$3:$L$6,6,0)/12),0))</f>
        <v/>
      </c>
      <c r="K1427" s="29" t="str">
        <f ca="1">IF(C1427&lt;&gt;"",IF(I1427&lt;&gt;"",IF(ISERROR(VLOOKUP(I1427,$C$3:$L$6,10,0)),"",VLOOKUP(I1427,$C$3:$L$6,10,0)+J1427+IF(OR(VLOOKUP(I1427,$C$3:$L$6,5,0)=Variables!$B$5,B1427&gt;VLOOKUP(I1427,$C$3:$L$6,8,0)),IF(VLOOKUP(I1427,$C$3:$L$6,5,0)=Variables!$B$5,((YEAR(B1427)-YEAR($B$12))*12+MONTH(B1427)-MONTH($B$12)),((YEAR(B1427)-YEAR(VLOOKUP(I1427,$C$3:$L$6,8,0)))*12+MONTH(B1427)-MONTH(VLOOKUP(I1427,$C$3:$L$6,8,0))))*VLOOKUP(I1427,$C$3:$L$6,7,0),0)),""),"")</f>
        <v/>
      </c>
      <c r="L1427" s="29" t="str">
        <f t="shared" ca="1" si="119"/>
        <v/>
      </c>
    </row>
    <row r="1428" spans="2:12" x14ac:dyDescent="0.25">
      <c r="B1428" s="14" t="str">
        <f t="shared" ca="1" si="120"/>
        <v/>
      </c>
      <c r="C1428" s="14" t="str">
        <f ca="1">IF(I1427&lt;&gt;Variables!$B$1,IF(H1427&lt;&gt;0,C1427,I1427),"")</f>
        <v/>
      </c>
      <c r="D1428" s="29" t="str">
        <f t="shared" ca="1" si="117"/>
        <v/>
      </c>
      <c r="E1428" s="29" t="str">
        <f t="shared" ca="1" si="118"/>
        <v/>
      </c>
      <c r="F1428" s="29" t="str">
        <f ca="1">IF(C1428&lt;&gt;"",IF(OR(VLOOKUP(C1428,$C$3:$L$6,5,0)=Variables!$B$5,B1428&gt;VLOOKUP(C1428,$C$3:$L$6,8,0)),-D1428*VLOOKUP(C1428,$C$3:$L$6,6,0)/12,0),"")</f>
        <v/>
      </c>
      <c r="G1428" s="29" t="str">
        <f ca="1">IF(I1428&lt;&gt;Variables!$B$1,IF(C1428&lt;&gt;"",$I$9-E1428-F1428,""),-D1428)</f>
        <v/>
      </c>
      <c r="H1428" s="29" t="str">
        <f t="shared" ca="1" si="121"/>
        <v/>
      </c>
      <c r="I1428" s="31" t="str">
        <f ca="1">IF(C1428&lt;&gt;"",IF(D1428+$I$9-E1428-F1428&gt;=0,IF(ISERROR(INDEX($C$3:$C$6,MATCH(C1428,$C$3:$C$6,0)+1,0)),Variables!$B$1,INDEX($C$3:$C$6,MATCH(C1428,$C$3:$C$6,0)+1,0)),""),"")</f>
        <v/>
      </c>
      <c r="J1428" s="29" t="str">
        <f ca="1">IF(ISERROR(VLOOKUP(I1428,$C$3:$L$6,5,0)),"",IF(OR(VLOOKUP(I1428,$C$3:$L$6,5,0)=Variables!$B$5,B1428&gt;VLOOKUP(I1428,$C$3:$L$6,8,0)),IF(VLOOKUP(I1428,$C$3:$L$6,5,0)=Variables!$B$5,((YEAR(B1428)-YEAR($B$12))*12+MONTH(B1428)-MONTH($B$12)),((YEAR(B1428)-YEAR(VLOOKUP(I1428,$C$3:$L$6,8,0)))*12+MONTH(B1428)-MONTH(VLOOKUP(I1428,$C$3:$L$6,8,0))))*(VLOOKUP(I1428,$C$3:$L$6,10,0)*VLOOKUP(I1428,$C$3:$L$6,6,0)/12),0))</f>
        <v/>
      </c>
      <c r="K1428" s="29" t="str">
        <f ca="1">IF(C1428&lt;&gt;"",IF(I1428&lt;&gt;"",IF(ISERROR(VLOOKUP(I1428,$C$3:$L$6,10,0)),"",VLOOKUP(I1428,$C$3:$L$6,10,0)+J1428+IF(OR(VLOOKUP(I1428,$C$3:$L$6,5,0)=Variables!$B$5,B1428&gt;VLOOKUP(I1428,$C$3:$L$6,8,0)),IF(VLOOKUP(I1428,$C$3:$L$6,5,0)=Variables!$B$5,((YEAR(B1428)-YEAR($B$12))*12+MONTH(B1428)-MONTH($B$12)),((YEAR(B1428)-YEAR(VLOOKUP(I1428,$C$3:$L$6,8,0)))*12+MONTH(B1428)-MONTH(VLOOKUP(I1428,$C$3:$L$6,8,0))))*VLOOKUP(I1428,$C$3:$L$6,7,0),0)),""),"")</f>
        <v/>
      </c>
      <c r="L1428" s="29" t="str">
        <f t="shared" ca="1" si="119"/>
        <v/>
      </c>
    </row>
    <row r="1429" spans="2:12" x14ac:dyDescent="0.25">
      <c r="B1429" s="14" t="str">
        <f t="shared" ca="1" si="120"/>
        <v/>
      </c>
      <c r="C1429" s="14" t="str">
        <f ca="1">IF(I1428&lt;&gt;Variables!$B$1,IF(H1428&lt;&gt;0,C1428,I1428),"")</f>
        <v/>
      </c>
      <c r="D1429" s="29" t="str">
        <f t="shared" ca="1" si="117"/>
        <v/>
      </c>
      <c r="E1429" s="29" t="str">
        <f t="shared" ca="1" si="118"/>
        <v/>
      </c>
      <c r="F1429" s="29" t="str">
        <f ca="1">IF(C1429&lt;&gt;"",IF(OR(VLOOKUP(C1429,$C$3:$L$6,5,0)=Variables!$B$5,B1429&gt;VLOOKUP(C1429,$C$3:$L$6,8,0)),-D1429*VLOOKUP(C1429,$C$3:$L$6,6,0)/12,0),"")</f>
        <v/>
      </c>
      <c r="G1429" s="29" t="str">
        <f ca="1">IF(I1429&lt;&gt;Variables!$B$1,IF(C1429&lt;&gt;"",$I$9-E1429-F1429,""),-D1429)</f>
        <v/>
      </c>
      <c r="H1429" s="29" t="str">
        <f t="shared" ca="1" si="121"/>
        <v/>
      </c>
      <c r="I1429" s="31" t="str">
        <f ca="1">IF(C1429&lt;&gt;"",IF(D1429+$I$9-E1429-F1429&gt;=0,IF(ISERROR(INDEX($C$3:$C$6,MATCH(C1429,$C$3:$C$6,0)+1,0)),Variables!$B$1,INDEX($C$3:$C$6,MATCH(C1429,$C$3:$C$6,0)+1,0)),""),"")</f>
        <v/>
      </c>
      <c r="J1429" s="29" t="str">
        <f ca="1">IF(ISERROR(VLOOKUP(I1429,$C$3:$L$6,5,0)),"",IF(OR(VLOOKUP(I1429,$C$3:$L$6,5,0)=Variables!$B$5,B1429&gt;VLOOKUP(I1429,$C$3:$L$6,8,0)),IF(VLOOKUP(I1429,$C$3:$L$6,5,0)=Variables!$B$5,((YEAR(B1429)-YEAR($B$12))*12+MONTH(B1429)-MONTH($B$12)),((YEAR(B1429)-YEAR(VLOOKUP(I1429,$C$3:$L$6,8,0)))*12+MONTH(B1429)-MONTH(VLOOKUP(I1429,$C$3:$L$6,8,0))))*(VLOOKUP(I1429,$C$3:$L$6,10,0)*VLOOKUP(I1429,$C$3:$L$6,6,0)/12),0))</f>
        <v/>
      </c>
      <c r="K1429" s="29" t="str">
        <f ca="1">IF(C1429&lt;&gt;"",IF(I1429&lt;&gt;"",IF(ISERROR(VLOOKUP(I1429,$C$3:$L$6,10,0)),"",VLOOKUP(I1429,$C$3:$L$6,10,0)+J1429+IF(OR(VLOOKUP(I1429,$C$3:$L$6,5,0)=Variables!$B$5,B1429&gt;VLOOKUP(I1429,$C$3:$L$6,8,0)),IF(VLOOKUP(I1429,$C$3:$L$6,5,0)=Variables!$B$5,((YEAR(B1429)-YEAR($B$12))*12+MONTH(B1429)-MONTH($B$12)),((YEAR(B1429)-YEAR(VLOOKUP(I1429,$C$3:$L$6,8,0)))*12+MONTH(B1429)-MONTH(VLOOKUP(I1429,$C$3:$L$6,8,0))))*VLOOKUP(I1429,$C$3:$L$6,7,0),0)),""),"")</f>
        <v/>
      </c>
      <c r="L1429" s="29" t="str">
        <f t="shared" ca="1" si="119"/>
        <v/>
      </c>
    </row>
    <row r="1430" spans="2:12" x14ac:dyDescent="0.25">
      <c r="B1430" s="14" t="str">
        <f t="shared" ca="1" si="120"/>
        <v/>
      </c>
      <c r="C1430" s="14" t="str">
        <f ca="1">IF(I1429&lt;&gt;Variables!$B$1,IF(H1429&lt;&gt;0,C1429,I1429),"")</f>
        <v/>
      </c>
      <c r="D1430" s="29" t="str">
        <f t="shared" ca="1" si="117"/>
        <v/>
      </c>
      <c r="E1430" s="29" t="str">
        <f t="shared" ca="1" si="118"/>
        <v/>
      </c>
      <c r="F1430" s="29" t="str">
        <f ca="1">IF(C1430&lt;&gt;"",IF(OR(VLOOKUP(C1430,$C$3:$L$6,5,0)=Variables!$B$5,B1430&gt;VLOOKUP(C1430,$C$3:$L$6,8,0)),-D1430*VLOOKUP(C1430,$C$3:$L$6,6,0)/12,0),"")</f>
        <v/>
      </c>
      <c r="G1430" s="29" t="str">
        <f ca="1">IF(I1430&lt;&gt;Variables!$B$1,IF(C1430&lt;&gt;"",$I$9-E1430-F1430,""),-D1430)</f>
        <v/>
      </c>
      <c r="H1430" s="29" t="str">
        <f t="shared" ca="1" si="121"/>
        <v/>
      </c>
      <c r="I1430" s="31" t="str">
        <f ca="1">IF(C1430&lt;&gt;"",IF(D1430+$I$9-E1430-F1430&gt;=0,IF(ISERROR(INDEX($C$3:$C$6,MATCH(C1430,$C$3:$C$6,0)+1,0)),Variables!$B$1,INDEX($C$3:$C$6,MATCH(C1430,$C$3:$C$6,0)+1,0)),""),"")</f>
        <v/>
      </c>
      <c r="J1430" s="29" t="str">
        <f ca="1">IF(ISERROR(VLOOKUP(I1430,$C$3:$L$6,5,0)),"",IF(OR(VLOOKUP(I1430,$C$3:$L$6,5,0)=Variables!$B$5,B1430&gt;VLOOKUP(I1430,$C$3:$L$6,8,0)),IF(VLOOKUP(I1430,$C$3:$L$6,5,0)=Variables!$B$5,((YEAR(B1430)-YEAR($B$12))*12+MONTH(B1430)-MONTH($B$12)),((YEAR(B1430)-YEAR(VLOOKUP(I1430,$C$3:$L$6,8,0)))*12+MONTH(B1430)-MONTH(VLOOKUP(I1430,$C$3:$L$6,8,0))))*(VLOOKUP(I1430,$C$3:$L$6,10,0)*VLOOKUP(I1430,$C$3:$L$6,6,0)/12),0))</f>
        <v/>
      </c>
      <c r="K1430" s="29" t="str">
        <f ca="1">IF(C1430&lt;&gt;"",IF(I1430&lt;&gt;"",IF(ISERROR(VLOOKUP(I1430,$C$3:$L$6,10,0)),"",VLOOKUP(I1430,$C$3:$L$6,10,0)+J1430+IF(OR(VLOOKUP(I1430,$C$3:$L$6,5,0)=Variables!$B$5,B1430&gt;VLOOKUP(I1430,$C$3:$L$6,8,0)),IF(VLOOKUP(I1430,$C$3:$L$6,5,0)=Variables!$B$5,((YEAR(B1430)-YEAR($B$12))*12+MONTH(B1430)-MONTH($B$12)),((YEAR(B1430)-YEAR(VLOOKUP(I1430,$C$3:$L$6,8,0)))*12+MONTH(B1430)-MONTH(VLOOKUP(I1430,$C$3:$L$6,8,0))))*VLOOKUP(I1430,$C$3:$L$6,7,0),0)),""),"")</f>
        <v/>
      </c>
      <c r="L1430" s="29" t="str">
        <f t="shared" ca="1" si="119"/>
        <v/>
      </c>
    </row>
    <row r="1431" spans="2:12" x14ac:dyDescent="0.25">
      <c r="B1431" s="14" t="str">
        <f t="shared" ca="1" si="120"/>
        <v/>
      </c>
      <c r="C1431" s="14" t="str">
        <f ca="1">IF(I1430&lt;&gt;Variables!$B$1,IF(H1430&lt;&gt;0,C1430,I1430),"")</f>
        <v/>
      </c>
      <c r="D1431" s="29" t="str">
        <f t="shared" ca="1" si="117"/>
        <v/>
      </c>
      <c r="E1431" s="29" t="str">
        <f t="shared" ca="1" si="118"/>
        <v/>
      </c>
      <c r="F1431" s="29" t="str">
        <f ca="1">IF(C1431&lt;&gt;"",IF(OR(VLOOKUP(C1431,$C$3:$L$6,5,0)=Variables!$B$5,B1431&gt;VLOOKUP(C1431,$C$3:$L$6,8,0)),-D1431*VLOOKUP(C1431,$C$3:$L$6,6,0)/12,0),"")</f>
        <v/>
      </c>
      <c r="G1431" s="29" t="str">
        <f ca="1">IF(I1431&lt;&gt;Variables!$B$1,IF(C1431&lt;&gt;"",$I$9-E1431-F1431,""),-D1431)</f>
        <v/>
      </c>
      <c r="H1431" s="29" t="str">
        <f t="shared" ca="1" si="121"/>
        <v/>
      </c>
      <c r="I1431" s="31" t="str">
        <f ca="1">IF(C1431&lt;&gt;"",IF(D1431+$I$9-E1431-F1431&gt;=0,IF(ISERROR(INDEX($C$3:$C$6,MATCH(C1431,$C$3:$C$6,0)+1,0)),Variables!$B$1,INDEX($C$3:$C$6,MATCH(C1431,$C$3:$C$6,0)+1,0)),""),"")</f>
        <v/>
      </c>
      <c r="J1431" s="29" t="str">
        <f ca="1">IF(ISERROR(VLOOKUP(I1431,$C$3:$L$6,5,0)),"",IF(OR(VLOOKUP(I1431,$C$3:$L$6,5,0)=Variables!$B$5,B1431&gt;VLOOKUP(I1431,$C$3:$L$6,8,0)),IF(VLOOKUP(I1431,$C$3:$L$6,5,0)=Variables!$B$5,((YEAR(B1431)-YEAR($B$12))*12+MONTH(B1431)-MONTH($B$12)),((YEAR(B1431)-YEAR(VLOOKUP(I1431,$C$3:$L$6,8,0)))*12+MONTH(B1431)-MONTH(VLOOKUP(I1431,$C$3:$L$6,8,0))))*(VLOOKUP(I1431,$C$3:$L$6,10,0)*VLOOKUP(I1431,$C$3:$L$6,6,0)/12),0))</f>
        <v/>
      </c>
      <c r="K1431" s="29" t="str">
        <f ca="1">IF(C1431&lt;&gt;"",IF(I1431&lt;&gt;"",IF(ISERROR(VLOOKUP(I1431,$C$3:$L$6,10,0)),"",VLOOKUP(I1431,$C$3:$L$6,10,0)+J1431+IF(OR(VLOOKUP(I1431,$C$3:$L$6,5,0)=Variables!$B$5,B1431&gt;VLOOKUP(I1431,$C$3:$L$6,8,0)),IF(VLOOKUP(I1431,$C$3:$L$6,5,0)=Variables!$B$5,((YEAR(B1431)-YEAR($B$12))*12+MONTH(B1431)-MONTH($B$12)),((YEAR(B1431)-YEAR(VLOOKUP(I1431,$C$3:$L$6,8,0)))*12+MONTH(B1431)-MONTH(VLOOKUP(I1431,$C$3:$L$6,8,0))))*VLOOKUP(I1431,$C$3:$L$6,7,0),0)),""),"")</f>
        <v/>
      </c>
      <c r="L1431" s="29" t="str">
        <f t="shared" ca="1" si="119"/>
        <v/>
      </c>
    </row>
    <row r="1432" spans="2:12" x14ac:dyDescent="0.25">
      <c r="B1432" s="14" t="str">
        <f t="shared" ca="1" si="120"/>
        <v/>
      </c>
      <c r="C1432" s="14" t="str">
        <f ca="1">IF(I1431&lt;&gt;Variables!$B$1,IF(H1431&lt;&gt;0,C1431,I1431),"")</f>
        <v/>
      </c>
      <c r="D1432" s="29" t="str">
        <f t="shared" ca="1" si="117"/>
        <v/>
      </c>
      <c r="E1432" s="29" t="str">
        <f t="shared" ca="1" si="118"/>
        <v/>
      </c>
      <c r="F1432" s="29" t="str">
        <f ca="1">IF(C1432&lt;&gt;"",IF(OR(VLOOKUP(C1432,$C$3:$L$6,5,0)=Variables!$B$5,B1432&gt;VLOOKUP(C1432,$C$3:$L$6,8,0)),-D1432*VLOOKUP(C1432,$C$3:$L$6,6,0)/12,0),"")</f>
        <v/>
      </c>
      <c r="G1432" s="29" t="str">
        <f ca="1">IF(I1432&lt;&gt;Variables!$B$1,IF(C1432&lt;&gt;"",$I$9-E1432-F1432,""),-D1432)</f>
        <v/>
      </c>
      <c r="H1432" s="29" t="str">
        <f t="shared" ca="1" si="121"/>
        <v/>
      </c>
      <c r="I1432" s="31" t="str">
        <f ca="1">IF(C1432&lt;&gt;"",IF(D1432+$I$9-E1432-F1432&gt;=0,IF(ISERROR(INDEX($C$3:$C$6,MATCH(C1432,$C$3:$C$6,0)+1,0)),Variables!$B$1,INDEX($C$3:$C$6,MATCH(C1432,$C$3:$C$6,0)+1,0)),""),"")</f>
        <v/>
      </c>
      <c r="J1432" s="29" t="str">
        <f ca="1">IF(ISERROR(VLOOKUP(I1432,$C$3:$L$6,5,0)),"",IF(OR(VLOOKUP(I1432,$C$3:$L$6,5,0)=Variables!$B$5,B1432&gt;VLOOKUP(I1432,$C$3:$L$6,8,0)),IF(VLOOKUP(I1432,$C$3:$L$6,5,0)=Variables!$B$5,((YEAR(B1432)-YEAR($B$12))*12+MONTH(B1432)-MONTH($B$12)),((YEAR(B1432)-YEAR(VLOOKUP(I1432,$C$3:$L$6,8,0)))*12+MONTH(B1432)-MONTH(VLOOKUP(I1432,$C$3:$L$6,8,0))))*(VLOOKUP(I1432,$C$3:$L$6,10,0)*VLOOKUP(I1432,$C$3:$L$6,6,0)/12),0))</f>
        <v/>
      </c>
      <c r="K1432" s="29" t="str">
        <f ca="1">IF(C1432&lt;&gt;"",IF(I1432&lt;&gt;"",IF(ISERROR(VLOOKUP(I1432,$C$3:$L$6,10,0)),"",VLOOKUP(I1432,$C$3:$L$6,10,0)+J1432+IF(OR(VLOOKUP(I1432,$C$3:$L$6,5,0)=Variables!$B$5,B1432&gt;VLOOKUP(I1432,$C$3:$L$6,8,0)),IF(VLOOKUP(I1432,$C$3:$L$6,5,0)=Variables!$B$5,((YEAR(B1432)-YEAR($B$12))*12+MONTH(B1432)-MONTH($B$12)),((YEAR(B1432)-YEAR(VLOOKUP(I1432,$C$3:$L$6,8,0)))*12+MONTH(B1432)-MONTH(VLOOKUP(I1432,$C$3:$L$6,8,0))))*VLOOKUP(I1432,$C$3:$L$6,7,0),0)),""),"")</f>
        <v/>
      </c>
      <c r="L1432" s="29" t="str">
        <f t="shared" ca="1" si="119"/>
        <v/>
      </c>
    </row>
    <row r="1433" spans="2:12" x14ac:dyDescent="0.25">
      <c r="B1433" s="14" t="str">
        <f t="shared" ca="1" si="120"/>
        <v/>
      </c>
      <c r="C1433" s="14" t="str">
        <f ca="1">IF(I1432&lt;&gt;Variables!$B$1,IF(H1432&lt;&gt;0,C1432,I1432),"")</f>
        <v/>
      </c>
      <c r="D1433" s="29" t="str">
        <f t="shared" ca="1" si="117"/>
        <v/>
      </c>
      <c r="E1433" s="29" t="str">
        <f t="shared" ca="1" si="118"/>
        <v/>
      </c>
      <c r="F1433" s="29" t="str">
        <f ca="1">IF(C1433&lt;&gt;"",IF(OR(VLOOKUP(C1433,$C$3:$L$6,5,0)=Variables!$B$5,B1433&gt;VLOOKUP(C1433,$C$3:$L$6,8,0)),-D1433*VLOOKUP(C1433,$C$3:$L$6,6,0)/12,0),"")</f>
        <v/>
      </c>
      <c r="G1433" s="29" t="str">
        <f ca="1">IF(I1433&lt;&gt;Variables!$B$1,IF(C1433&lt;&gt;"",$I$9-E1433-F1433,""),-D1433)</f>
        <v/>
      </c>
      <c r="H1433" s="29" t="str">
        <f t="shared" ca="1" si="121"/>
        <v/>
      </c>
      <c r="I1433" s="31" t="str">
        <f ca="1">IF(C1433&lt;&gt;"",IF(D1433+$I$9-E1433-F1433&gt;=0,IF(ISERROR(INDEX($C$3:$C$6,MATCH(C1433,$C$3:$C$6,0)+1,0)),Variables!$B$1,INDEX($C$3:$C$6,MATCH(C1433,$C$3:$C$6,0)+1,0)),""),"")</f>
        <v/>
      </c>
      <c r="J1433" s="29" t="str">
        <f ca="1">IF(ISERROR(VLOOKUP(I1433,$C$3:$L$6,5,0)),"",IF(OR(VLOOKUP(I1433,$C$3:$L$6,5,0)=Variables!$B$5,B1433&gt;VLOOKUP(I1433,$C$3:$L$6,8,0)),IF(VLOOKUP(I1433,$C$3:$L$6,5,0)=Variables!$B$5,((YEAR(B1433)-YEAR($B$12))*12+MONTH(B1433)-MONTH($B$12)),((YEAR(B1433)-YEAR(VLOOKUP(I1433,$C$3:$L$6,8,0)))*12+MONTH(B1433)-MONTH(VLOOKUP(I1433,$C$3:$L$6,8,0))))*(VLOOKUP(I1433,$C$3:$L$6,10,0)*VLOOKUP(I1433,$C$3:$L$6,6,0)/12),0))</f>
        <v/>
      </c>
      <c r="K1433" s="29" t="str">
        <f ca="1">IF(C1433&lt;&gt;"",IF(I1433&lt;&gt;"",IF(ISERROR(VLOOKUP(I1433,$C$3:$L$6,10,0)),"",VLOOKUP(I1433,$C$3:$L$6,10,0)+J1433+IF(OR(VLOOKUP(I1433,$C$3:$L$6,5,0)=Variables!$B$5,B1433&gt;VLOOKUP(I1433,$C$3:$L$6,8,0)),IF(VLOOKUP(I1433,$C$3:$L$6,5,0)=Variables!$B$5,((YEAR(B1433)-YEAR($B$12))*12+MONTH(B1433)-MONTH($B$12)),((YEAR(B1433)-YEAR(VLOOKUP(I1433,$C$3:$L$6,8,0)))*12+MONTH(B1433)-MONTH(VLOOKUP(I1433,$C$3:$L$6,8,0))))*VLOOKUP(I1433,$C$3:$L$6,7,0),0)),""),"")</f>
        <v/>
      </c>
      <c r="L1433" s="29" t="str">
        <f t="shared" ca="1" si="119"/>
        <v/>
      </c>
    </row>
    <row r="1434" spans="2:12" x14ac:dyDescent="0.25">
      <c r="B1434" s="14" t="str">
        <f t="shared" ca="1" si="120"/>
        <v/>
      </c>
      <c r="C1434" s="14" t="str">
        <f ca="1">IF(I1433&lt;&gt;Variables!$B$1,IF(H1433&lt;&gt;0,C1433,I1433),"")</f>
        <v/>
      </c>
      <c r="D1434" s="29" t="str">
        <f t="shared" ca="1" si="117"/>
        <v/>
      </c>
      <c r="E1434" s="29" t="str">
        <f t="shared" ca="1" si="118"/>
        <v/>
      </c>
      <c r="F1434" s="29" t="str">
        <f ca="1">IF(C1434&lt;&gt;"",IF(OR(VLOOKUP(C1434,$C$3:$L$6,5,0)=Variables!$B$5,B1434&gt;VLOOKUP(C1434,$C$3:$L$6,8,0)),-D1434*VLOOKUP(C1434,$C$3:$L$6,6,0)/12,0),"")</f>
        <v/>
      </c>
      <c r="G1434" s="29" t="str">
        <f ca="1">IF(I1434&lt;&gt;Variables!$B$1,IF(C1434&lt;&gt;"",$I$9-E1434-F1434,""),-D1434)</f>
        <v/>
      </c>
      <c r="H1434" s="29" t="str">
        <f t="shared" ca="1" si="121"/>
        <v/>
      </c>
      <c r="I1434" s="31" t="str">
        <f ca="1">IF(C1434&lt;&gt;"",IF(D1434+$I$9-E1434-F1434&gt;=0,IF(ISERROR(INDEX($C$3:$C$6,MATCH(C1434,$C$3:$C$6,0)+1,0)),Variables!$B$1,INDEX($C$3:$C$6,MATCH(C1434,$C$3:$C$6,0)+1,0)),""),"")</f>
        <v/>
      </c>
      <c r="J1434" s="29" t="str">
        <f ca="1">IF(ISERROR(VLOOKUP(I1434,$C$3:$L$6,5,0)),"",IF(OR(VLOOKUP(I1434,$C$3:$L$6,5,0)=Variables!$B$5,B1434&gt;VLOOKUP(I1434,$C$3:$L$6,8,0)),IF(VLOOKUP(I1434,$C$3:$L$6,5,0)=Variables!$B$5,((YEAR(B1434)-YEAR($B$12))*12+MONTH(B1434)-MONTH($B$12)),((YEAR(B1434)-YEAR(VLOOKUP(I1434,$C$3:$L$6,8,0)))*12+MONTH(B1434)-MONTH(VLOOKUP(I1434,$C$3:$L$6,8,0))))*(VLOOKUP(I1434,$C$3:$L$6,10,0)*VLOOKUP(I1434,$C$3:$L$6,6,0)/12),0))</f>
        <v/>
      </c>
      <c r="K1434" s="29" t="str">
        <f ca="1">IF(C1434&lt;&gt;"",IF(I1434&lt;&gt;"",IF(ISERROR(VLOOKUP(I1434,$C$3:$L$6,10,0)),"",VLOOKUP(I1434,$C$3:$L$6,10,0)+J1434+IF(OR(VLOOKUP(I1434,$C$3:$L$6,5,0)=Variables!$B$5,B1434&gt;VLOOKUP(I1434,$C$3:$L$6,8,0)),IF(VLOOKUP(I1434,$C$3:$L$6,5,0)=Variables!$B$5,((YEAR(B1434)-YEAR($B$12))*12+MONTH(B1434)-MONTH($B$12)),((YEAR(B1434)-YEAR(VLOOKUP(I1434,$C$3:$L$6,8,0)))*12+MONTH(B1434)-MONTH(VLOOKUP(I1434,$C$3:$L$6,8,0))))*VLOOKUP(I1434,$C$3:$L$6,7,0),0)),""),"")</f>
        <v/>
      </c>
      <c r="L1434" s="29" t="str">
        <f t="shared" ca="1" si="119"/>
        <v/>
      </c>
    </row>
    <row r="1435" spans="2:12" x14ac:dyDescent="0.25">
      <c r="B1435" s="14" t="str">
        <f t="shared" ca="1" si="120"/>
        <v/>
      </c>
      <c r="C1435" s="14" t="str">
        <f ca="1">IF(I1434&lt;&gt;Variables!$B$1,IF(H1434&lt;&gt;0,C1434,I1434),"")</f>
        <v/>
      </c>
      <c r="D1435" s="29" t="str">
        <f t="shared" ca="1" si="117"/>
        <v/>
      </c>
      <c r="E1435" s="29" t="str">
        <f t="shared" ca="1" si="118"/>
        <v/>
      </c>
      <c r="F1435" s="29" t="str">
        <f ca="1">IF(C1435&lt;&gt;"",IF(OR(VLOOKUP(C1435,$C$3:$L$6,5,0)=Variables!$B$5,B1435&gt;VLOOKUP(C1435,$C$3:$L$6,8,0)),-D1435*VLOOKUP(C1435,$C$3:$L$6,6,0)/12,0),"")</f>
        <v/>
      </c>
      <c r="G1435" s="29" t="str">
        <f ca="1">IF(I1435&lt;&gt;Variables!$B$1,IF(C1435&lt;&gt;"",$I$9-E1435-F1435,""),-D1435)</f>
        <v/>
      </c>
      <c r="H1435" s="29" t="str">
        <f t="shared" ca="1" si="121"/>
        <v/>
      </c>
      <c r="I1435" s="31" t="str">
        <f ca="1">IF(C1435&lt;&gt;"",IF(D1435+$I$9-E1435-F1435&gt;=0,IF(ISERROR(INDEX($C$3:$C$6,MATCH(C1435,$C$3:$C$6,0)+1,0)),Variables!$B$1,INDEX($C$3:$C$6,MATCH(C1435,$C$3:$C$6,0)+1,0)),""),"")</f>
        <v/>
      </c>
      <c r="J1435" s="29" t="str">
        <f ca="1">IF(ISERROR(VLOOKUP(I1435,$C$3:$L$6,5,0)),"",IF(OR(VLOOKUP(I1435,$C$3:$L$6,5,0)=Variables!$B$5,B1435&gt;VLOOKUP(I1435,$C$3:$L$6,8,0)),IF(VLOOKUP(I1435,$C$3:$L$6,5,0)=Variables!$B$5,((YEAR(B1435)-YEAR($B$12))*12+MONTH(B1435)-MONTH($B$12)),((YEAR(B1435)-YEAR(VLOOKUP(I1435,$C$3:$L$6,8,0)))*12+MONTH(B1435)-MONTH(VLOOKUP(I1435,$C$3:$L$6,8,0))))*(VLOOKUP(I1435,$C$3:$L$6,10,0)*VLOOKUP(I1435,$C$3:$L$6,6,0)/12),0))</f>
        <v/>
      </c>
      <c r="K1435" s="29" t="str">
        <f ca="1">IF(C1435&lt;&gt;"",IF(I1435&lt;&gt;"",IF(ISERROR(VLOOKUP(I1435,$C$3:$L$6,10,0)),"",VLOOKUP(I1435,$C$3:$L$6,10,0)+J1435+IF(OR(VLOOKUP(I1435,$C$3:$L$6,5,0)=Variables!$B$5,B1435&gt;VLOOKUP(I1435,$C$3:$L$6,8,0)),IF(VLOOKUP(I1435,$C$3:$L$6,5,0)=Variables!$B$5,((YEAR(B1435)-YEAR($B$12))*12+MONTH(B1435)-MONTH($B$12)),((YEAR(B1435)-YEAR(VLOOKUP(I1435,$C$3:$L$6,8,0)))*12+MONTH(B1435)-MONTH(VLOOKUP(I1435,$C$3:$L$6,8,0))))*VLOOKUP(I1435,$C$3:$L$6,7,0),0)),""),"")</f>
        <v/>
      </c>
      <c r="L1435" s="29" t="str">
        <f t="shared" ca="1" si="119"/>
        <v/>
      </c>
    </row>
    <row r="1436" spans="2:12" x14ac:dyDescent="0.25">
      <c r="B1436" s="14" t="str">
        <f t="shared" ca="1" si="120"/>
        <v/>
      </c>
      <c r="C1436" s="14" t="str">
        <f ca="1">IF(I1435&lt;&gt;Variables!$B$1,IF(H1435&lt;&gt;0,C1435,I1435),"")</f>
        <v/>
      </c>
      <c r="D1436" s="29" t="str">
        <f t="shared" ref="D1436:D1499" ca="1" si="122">IF(C1436&lt;&gt;"",IF(H1435&lt;&gt;0,H1435,L1435),"")</f>
        <v/>
      </c>
      <c r="E1436" s="29" t="str">
        <f t="shared" ref="E1436:E1499" ca="1" si="123">IF(C1436&lt;&gt;"",MINPAYMENT(C1436,ROW(B1436),COLUMN(B1436)),"")</f>
        <v/>
      </c>
      <c r="F1436" s="29" t="str">
        <f ca="1">IF(C1436&lt;&gt;"",IF(OR(VLOOKUP(C1436,$C$3:$L$6,5,0)=Variables!$B$5,B1436&gt;VLOOKUP(C1436,$C$3:$L$6,8,0)),-D1436*VLOOKUP(C1436,$C$3:$L$6,6,0)/12,0),"")</f>
        <v/>
      </c>
      <c r="G1436" s="29" t="str">
        <f ca="1">IF(I1436&lt;&gt;Variables!$B$1,IF(C1436&lt;&gt;"",$I$9-E1436-F1436,""),-D1436)</f>
        <v/>
      </c>
      <c r="H1436" s="29" t="str">
        <f t="shared" ca="1" si="121"/>
        <v/>
      </c>
      <c r="I1436" s="31" t="str">
        <f ca="1">IF(C1436&lt;&gt;"",IF(D1436+$I$9-E1436-F1436&gt;=0,IF(ISERROR(INDEX($C$3:$C$6,MATCH(C1436,$C$3:$C$6,0)+1,0)),Variables!$B$1,INDEX($C$3:$C$6,MATCH(C1436,$C$3:$C$6,0)+1,0)),""),"")</f>
        <v/>
      </c>
      <c r="J1436" s="29" t="str">
        <f ca="1">IF(ISERROR(VLOOKUP(I1436,$C$3:$L$6,5,0)),"",IF(OR(VLOOKUP(I1436,$C$3:$L$6,5,0)=Variables!$B$5,B1436&gt;VLOOKUP(I1436,$C$3:$L$6,8,0)),IF(VLOOKUP(I1436,$C$3:$L$6,5,0)=Variables!$B$5,((YEAR(B1436)-YEAR($B$12))*12+MONTH(B1436)-MONTH($B$12)),((YEAR(B1436)-YEAR(VLOOKUP(I1436,$C$3:$L$6,8,0)))*12+MONTH(B1436)-MONTH(VLOOKUP(I1436,$C$3:$L$6,8,0))))*(VLOOKUP(I1436,$C$3:$L$6,10,0)*VLOOKUP(I1436,$C$3:$L$6,6,0)/12),0))</f>
        <v/>
      </c>
      <c r="K1436" s="29" t="str">
        <f ca="1">IF(C1436&lt;&gt;"",IF(I1436&lt;&gt;"",IF(ISERROR(VLOOKUP(I1436,$C$3:$L$6,10,0)),"",VLOOKUP(I1436,$C$3:$L$6,10,0)+J1436+IF(OR(VLOOKUP(I1436,$C$3:$L$6,5,0)=Variables!$B$5,B1436&gt;VLOOKUP(I1436,$C$3:$L$6,8,0)),IF(VLOOKUP(I1436,$C$3:$L$6,5,0)=Variables!$B$5,((YEAR(B1436)-YEAR($B$12))*12+MONTH(B1436)-MONTH($B$12)),((YEAR(B1436)-YEAR(VLOOKUP(I1436,$C$3:$L$6,8,0)))*12+MONTH(B1436)-MONTH(VLOOKUP(I1436,$C$3:$L$6,8,0))))*VLOOKUP(I1436,$C$3:$L$6,7,0),0)),""),"")</f>
        <v/>
      </c>
      <c r="L1436" s="29" t="str">
        <f t="shared" ref="L1436:L1499" ca="1" si="124">IF(C1436&lt;&gt;"",IF(ISERROR(IF(D1436+G1436&gt;=0,K1436+D1436+G1436,"")),"",IF(D1436+G1436&gt;=0,K1436+D1436+G1436,"")),"")</f>
        <v/>
      </c>
    </row>
    <row r="1437" spans="2:12" x14ac:dyDescent="0.25">
      <c r="B1437" s="14" t="str">
        <f t="shared" ref="B1437:B1500" ca="1" si="125">IF(C1437&lt;&gt;"",DATE(YEAR(B1436),MONTH(B1436)+1,DAY(B1436)),"")</f>
        <v/>
      </c>
      <c r="C1437" s="14" t="str">
        <f ca="1">IF(I1436&lt;&gt;Variables!$B$1,IF(H1436&lt;&gt;0,C1436,I1436),"")</f>
        <v/>
      </c>
      <c r="D1437" s="29" t="str">
        <f t="shared" ca="1" si="122"/>
        <v/>
      </c>
      <c r="E1437" s="29" t="str">
        <f t="shared" ca="1" si="123"/>
        <v/>
      </c>
      <c r="F1437" s="29" t="str">
        <f ca="1">IF(C1437&lt;&gt;"",IF(OR(VLOOKUP(C1437,$C$3:$L$6,5,0)=Variables!$B$5,B1437&gt;VLOOKUP(C1437,$C$3:$L$6,8,0)),-D1437*VLOOKUP(C1437,$C$3:$L$6,6,0)/12,0),"")</f>
        <v/>
      </c>
      <c r="G1437" s="29" t="str">
        <f ca="1">IF(I1437&lt;&gt;Variables!$B$1,IF(C1437&lt;&gt;"",$I$9-E1437-F1437,""),-D1437)</f>
        <v/>
      </c>
      <c r="H1437" s="29" t="str">
        <f t="shared" ref="H1437:H1500" ca="1" si="126">IF(C1437&lt;&gt;"",IF(D1437+G1437&lt;0,D1437+G1437,0),"")</f>
        <v/>
      </c>
      <c r="I1437" s="31" t="str">
        <f ca="1">IF(C1437&lt;&gt;"",IF(D1437+$I$9-E1437-F1437&gt;=0,IF(ISERROR(INDEX($C$3:$C$6,MATCH(C1437,$C$3:$C$6,0)+1,0)),Variables!$B$1,INDEX($C$3:$C$6,MATCH(C1437,$C$3:$C$6,0)+1,0)),""),"")</f>
        <v/>
      </c>
      <c r="J1437" s="29" t="str">
        <f ca="1">IF(ISERROR(VLOOKUP(I1437,$C$3:$L$6,5,0)),"",IF(OR(VLOOKUP(I1437,$C$3:$L$6,5,0)=Variables!$B$5,B1437&gt;VLOOKUP(I1437,$C$3:$L$6,8,0)),IF(VLOOKUP(I1437,$C$3:$L$6,5,0)=Variables!$B$5,((YEAR(B1437)-YEAR($B$12))*12+MONTH(B1437)-MONTH($B$12)),((YEAR(B1437)-YEAR(VLOOKUP(I1437,$C$3:$L$6,8,0)))*12+MONTH(B1437)-MONTH(VLOOKUP(I1437,$C$3:$L$6,8,0))))*(VLOOKUP(I1437,$C$3:$L$6,10,0)*VLOOKUP(I1437,$C$3:$L$6,6,0)/12),0))</f>
        <v/>
      </c>
      <c r="K1437" s="29" t="str">
        <f ca="1">IF(C1437&lt;&gt;"",IF(I1437&lt;&gt;"",IF(ISERROR(VLOOKUP(I1437,$C$3:$L$6,10,0)),"",VLOOKUP(I1437,$C$3:$L$6,10,0)+J1437+IF(OR(VLOOKUP(I1437,$C$3:$L$6,5,0)=Variables!$B$5,B1437&gt;VLOOKUP(I1437,$C$3:$L$6,8,0)),IF(VLOOKUP(I1437,$C$3:$L$6,5,0)=Variables!$B$5,((YEAR(B1437)-YEAR($B$12))*12+MONTH(B1437)-MONTH($B$12)),((YEAR(B1437)-YEAR(VLOOKUP(I1437,$C$3:$L$6,8,0)))*12+MONTH(B1437)-MONTH(VLOOKUP(I1437,$C$3:$L$6,8,0))))*VLOOKUP(I1437,$C$3:$L$6,7,0),0)),""),"")</f>
        <v/>
      </c>
      <c r="L1437" s="29" t="str">
        <f t="shared" ca="1" si="124"/>
        <v/>
      </c>
    </row>
    <row r="1438" spans="2:12" x14ac:dyDescent="0.25">
      <c r="B1438" s="14" t="str">
        <f t="shared" ca="1" si="125"/>
        <v/>
      </c>
      <c r="C1438" s="14" t="str">
        <f ca="1">IF(I1437&lt;&gt;Variables!$B$1,IF(H1437&lt;&gt;0,C1437,I1437),"")</f>
        <v/>
      </c>
      <c r="D1438" s="29" t="str">
        <f t="shared" ca="1" si="122"/>
        <v/>
      </c>
      <c r="E1438" s="29" t="str">
        <f t="shared" ca="1" si="123"/>
        <v/>
      </c>
      <c r="F1438" s="29" t="str">
        <f ca="1">IF(C1438&lt;&gt;"",IF(OR(VLOOKUP(C1438,$C$3:$L$6,5,0)=Variables!$B$5,B1438&gt;VLOOKUP(C1438,$C$3:$L$6,8,0)),-D1438*VLOOKUP(C1438,$C$3:$L$6,6,0)/12,0),"")</f>
        <v/>
      </c>
      <c r="G1438" s="29" t="str">
        <f ca="1">IF(I1438&lt;&gt;Variables!$B$1,IF(C1438&lt;&gt;"",$I$9-E1438-F1438,""),-D1438)</f>
        <v/>
      </c>
      <c r="H1438" s="29" t="str">
        <f t="shared" ca="1" si="126"/>
        <v/>
      </c>
      <c r="I1438" s="31" t="str">
        <f ca="1">IF(C1438&lt;&gt;"",IF(D1438+$I$9-E1438-F1438&gt;=0,IF(ISERROR(INDEX($C$3:$C$6,MATCH(C1438,$C$3:$C$6,0)+1,0)),Variables!$B$1,INDEX($C$3:$C$6,MATCH(C1438,$C$3:$C$6,0)+1,0)),""),"")</f>
        <v/>
      </c>
      <c r="J1438" s="29" t="str">
        <f ca="1">IF(ISERROR(VLOOKUP(I1438,$C$3:$L$6,5,0)),"",IF(OR(VLOOKUP(I1438,$C$3:$L$6,5,0)=Variables!$B$5,B1438&gt;VLOOKUP(I1438,$C$3:$L$6,8,0)),IF(VLOOKUP(I1438,$C$3:$L$6,5,0)=Variables!$B$5,((YEAR(B1438)-YEAR($B$12))*12+MONTH(B1438)-MONTH($B$12)),((YEAR(B1438)-YEAR(VLOOKUP(I1438,$C$3:$L$6,8,0)))*12+MONTH(B1438)-MONTH(VLOOKUP(I1438,$C$3:$L$6,8,0))))*(VLOOKUP(I1438,$C$3:$L$6,10,0)*VLOOKUP(I1438,$C$3:$L$6,6,0)/12),0))</f>
        <v/>
      </c>
      <c r="K1438" s="29" t="str">
        <f ca="1">IF(C1438&lt;&gt;"",IF(I1438&lt;&gt;"",IF(ISERROR(VLOOKUP(I1438,$C$3:$L$6,10,0)),"",VLOOKUP(I1438,$C$3:$L$6,10,0)+J1438+IF(OR(VLOOKUP(I1438,$C$3:$L$6,5,0)=Variables!$B$5,B1438&gt;VLOOKUP(I1438,$C$3:$L$6,8,0)),IF(VLOOKUP(I1438,$C$3:$L$6,5,0)=Variables!$B$5,((YEAR(B1438)-YEAR($B$12))*12+MONTH(B1438)-MONTH($B$12)),((YEAR(B1438)-YEAR(VLOOKUP(I1438,$C$3:$L$6,8,0)))*12+MONTH(B1438)-MONTH(VLOOKUP(I1438,$C$3:$L$6,8,0))))*VLOOKUP(I1438,$C$3:$L$6,7,0),0)),""),"")</f>
        <v/>
      </c>
      <c r="L1438" s="29" t="str">
        <f t="shared" ca="1" si="124"/>
        <v/>
      </c>
    </row>
    <row r="1439" spans="2:12" x14ac:dyDescent="0.25">
      <c r="B1439" s="14" t="str">
        <f t="shared" ca="1" si="125"/>
        <v/>
      </c>
      <c r="C1439" s="14" t="str">
        <f ca="1">IF(I1438&lt;&gt;Variables!$B$1,IF(H1438&lt;&gt;0,C1438,I1438),"")</f>
        <v/>
      </c>
      <c r="D1439" s="29" t="str">
        <f t="shared" ca="1" si="122"/>
        <v/>
      </c>
      <c r="E1439" s="29" t="str">
        <f t="shared" ca="1" si="123"/>
        <v/>
      </c>
      <c r="F1439" s="29" t="str">
        <f ca="1">IF(C1439&lt;&gt;"",IF(OR(VLOOKUP(C1439,$C$3:$L$6,5,0)=Variables!$B$5,B1439&gt;VLOOKUP(C1439,$C$3:$L$6,8,0)),-D1439*VLOOKUP(C1439,$C$3:$L$6,6,0)/12,0),"")</f>
        <v/>
      </c>
      <c r="G1439" s="29" t="str">
        <f ca="1">IF(I1439&lt;&gt;Variables!$B$1,IF(C1439&lt;&gt;"",$I$9-E1439-F1439,""),-D1439)</f>
        <v/>
      </c>
      <c r="H1439" s="29" t="str">
        <f t="shared" ca="1" si="126"/>
        <v/>
      </c>
      <c r="I1439" s="31" t="str">
        <f ca="1">IF(C1439&lt;&gt;"",IF(D1439+$I$9-E1439-F1439&gt;=0,IF(ISERROR(INDEX($C$3:$C$6,MATCH(C1439,$C$3:$C$6,0)+1,0)),Variables!$B$1,INDEX($C$3:$C$6,MATCH(C1439,$C$3:$C$6,0)+1,0)),""),"")</f>
        <v/>
      </c>
      <c r="J1439" s="29" t="str">
        <f ca="1">IF(ISERROR(VLOOKUP(I1439,$C$3:$L$6,5,0)),"",IF(OR(VLOOKUP(I1439,$C$3:$L$6,5,0)=Variables!$B$5,B1439&gt;VLOOKUP(I1439,$C$3:$L$6,8,0)),IF(VLOOKUP(I1439,$C$3:$L$6,5,0)=Variables!$B$5,((YEAR(B1439)-YEAR($B$12))*12+MONTH(B1439)-MONTH($B$12)),((YEAR(B1439)-YEAR(VLOOKUP(I1439,$C$3:$L$6,8,0)))*12+MONTH(B1439)-MONTH(VLOOKUP(I1439,$C$3:$L$6,8,0))))*(VLOOKUP(I1439,$C$3:$L$6,10,0)*VLOOKUP(I1439,$C$3:$L$6,6,0)/12),0))</f>
        <v/>
      </c>
      <c r="K1439" s="29" t="str">
        <f ca="1">IF(C1439&lt;&gt;"",IF(I1439&lt;&gt;"",IF(ISERROR(VLOOKUP(I1439,$C$3:$L$6,10,0)),"",VLOOKUP(I1439,$C$3:$L$6,10,0)+J1439+IF(OR(VLOOKUP(I1439,$C$3:$L$6,5,0)=Variables!$B$5,B1439&gt;VLOOKUP(I1439,$C$3:$L$6,8,0)),IF(VLOOKUP(I1439,$C$3:$L$6,5,0)=Variables!$B$5,((YEAR(B1439)-YEAR($B$12))*12+MONTH(B1439)-MONTH($B$12)),((YEAR(B1439)-YEAR(VLOOKUP(I1439,$C$3:$L$6,8,0)))*12+MONTH(B1439)-MONTH(VLOOKUP(I1439,$C$3:$L$6,8,0))))*VLOOKUP(I1439,$C$3:$L$6,7,0),0)),""),"")</f>
        <v/>
      </c>
      <c r="L1439" s="29" t="str">
        <f t="shared" ca="1" si="124"/>
        <v/>
      </c>
    </row>
    <row r="1440" spans="2:12" x14ac:dyDescent="0.25">
      <c r="B1440" s="14" t="str">
        <f t="shared" ca="1" si="125"/>
        <v/>
      </c>
      <c r="C1440" s="14" t="str">
        <f ca="1">IF(I1439&lt;&gt;Variables!$B$1,IF(H1439&lt;&gt;0,C1439,I1439),"")</f>
        <v/>
      </c>
      <c r="D1440" s="29" t="str">
        <f t="shared" ca="1" si="122"/>
        <v/>
      </c>
      <c r="E1440" s="29" t="str">
        <f t="shared" ca="1" si="123"/>
        <v/>
      </c>
      <c r="F1440" s="29" t="str">
        <f ca="1">IF(C1440&lt;&gt;"",IF(OR(VLOOKUP(C1440,$C$3:$L$6,5,0)=Variables!$B$5,B1440&gt;VLOOKUP(C1440,$C$3:$L$6,8,0)),-D1440*VLOOKUP(C1440,$C$3:$L$6,6,0)/12,0),"")</f>
        <v/>
      </c>
      <c r="G1440" s="29" t="str">
        <f ca="1">IF(I1440&lt;&gt;Variables!$B$1,IF(C1440&lt;&gt;"",$I$9-E1440-F1440,""),-D1440)</f>
        <v/>
      </c>
      <c r="H1440" s="29" t="str">
        <f t="shared" ca="1" si="126"/>
        <v/>
      </c>
      <c r="I1440" s="31" t="str">
        <f ca="1">IF(C1440&lt;&gt;"",IF(D1440+$I$9-E1440-F1440&gt;=0,IF(ISERROR(INDEX($C$3:$C$6,MATCH(C1440,$C$3:$C$6,0)+1,0)),Variables!$B$1,INDEX($C$3:$C$6,MATCH(C1440,$C$3:$C$6,0)+1,0)),""),"")</f>
        <v/>
      </c>
      <c r="J1440" s="29" t="str">
        <f ca="1">IF(ISERROR(VLOOKUP(I1440,$C$3:$L$6,5,0)),"",IF(OR(VLOOKUP(I1440,$C$3:$L$6,5,0)=Variables!$B$5,B1440&gt;VLOOKUP(I1440,$C$3:$L$6,8,0)),IF(VLOOKUP(I1440,$C$3:$L$6,5,0)=Variables!$B$5,((YEAR(B1440)-YEAR($B$12))*12+MONTH(B1440)-MONTH($B$12)),((YEAR(B1440)-YEAR(VLOOKUP(I1440,$C$3:$L$6,8,0)))*12+MONTH(B1440)-MONTH(VLOOKUP(I1440,$C$3:$L$6,8,0))))*(VLOOKUP(I1440,$C$3:$L$6,10,0)*VLOOKUP(I1440,$C$3:$L$6,6,0)/12),0))</f>
        <v/>
      </c>
      <c r="K1440" s="29" t="str">
        <f ca="1">IF(C1440&lt;&gt;"",IF(I1440&lt;&gt;"",IF(ISERROR(VLOOKUP(I1440,$C$3:$L$6,10,0)),"",VLOOKUP(I1440,$C$3:$L$6,10,0)+J1440+IF(OR(VLOOKUP(I1440,$C$3:$L$6,5,0)=Variables!$B$5,B1440&gt;VLOOKUP(I1440,$C$3:$L$6,8,0)),IF(VLOOKUP(I1440,$C$3:$L$6,5,0)=Variables!$B$5,((YEAR(B1440)-YEAR($B$12))*12+MONTH(B1440)-MONTH($B$12)),((YEAR(B1440)-YEAR(VLOOKUP(I1440,$C$3:$L$6,8,0)))*12+MONTH(B1440)-MONTH(VLOOKUP(I1440,$C$3:$L$6,8,0))))*VLOOKUP(I1440,$C$3:$L$6,7,0),0)),""),"")</f>
        <v/>
      </c>
      <c r="L1440" s="29" t="str">
        <f t="shared" ca="1" si="124"/>
        <v/>
      </c>
    </row>
    <row r="1441" spans="2:12" x14ac:dyDescent="0.25">
      <c r="B1441" s="14" t="str">
        <f t="shared" ca="1" si="125"/>
        <v/>
      </c>
      <c r="C1441" s="14" t="str">
        <f ca="1">IF(I1440&lt;&gt;Variables!$B$1,IF(H1440&lt;&gt;0,C1440,I1440),"")</f>
        <v/>
      </c>
      <c r="D1441" s="29" t="str">
        <f t="shared" ca="1" si="122"/>
        <v/>
      </c>
      <c r="E1441" s="29" t="str">
        <f t="shared" ca="1" si="123"/>
        <v/>
      </c>
      <c r="F1441" s="29" t="str">
        <f ca="1">IF(C1441&lt;&gt;"",IF(OR(VLOOKUP(C1441,$C$3:$L$6,5,0)=Variables!$B$5,B1441&gt;VLOOKUP(C1441,$C$3:$L$6,8,0)),-D1441*VLOOKUP(C1441,$C$3:$L$6,6,0)/12,0),"")</f>
        <v/>
      </c>
      <c r="G1441" s="29" t="str">
        <f ca="1">IF(I1441&lt;&gt;Variables!$B$1,IF(C1441&lt;&gt;"",$I$9-E1441-F1441,""),-D1441)</f>
        <v/>
      </c>
      <c r="H1441" s="29" t="str">
        <f t="shared" ca="1" si="126"/>
        <v/>
      </c>
      <c r="I1441" s="31" t="str">
        <f ca="1">IF(C1441&lt;&gt;"",IF(D1441+$I$9-E1441-F1441&gt;=0,IF(ISERROR(INDEX($C$3:$C$6,MATCH(C1441,$C$3:$C$6,0)+1,0)),Variables!$B$1,INDEX($C$3:$C$6,MATCH(C1441,$C$3:$C$6,0)+1,0)),""),"")</f>
        <v/>
      </c>
      <c r="J1441" s="29" t="str">
        <f ca="1">IF(ISERROR(VLOOKUP(I1441,$C$3:$L$6,5,0)),"",IF(OR(VLOOKUP(I1441,$C$3:$L$6,5,0)=Variables!$B$5,B1441&gt;VLOOKUP(I1441,$C$3:$L$6,8,0)),IF(VLOOKUP(I1441,$C$3:$L$6,5,0)=Variables!$B$5,((YEAR(B1441)-YEAR($B$12))*12+MONTH(B1441)-MONTH($B$12)),((YEAR(B1441)-YEAR(VLOOKUP(I1441,$C$3:$L$6,8,0)))*12+MONTH(B1441)-MONTH(VLOOKUP(I1441,$C$3:$L$6,8,0))))*(VLOOKUP(I1441,$C$3:$L$6,10,0)*VLOOKUP(I1441,$C$3:$L$6,6,0)/12),0))</f>
        <v/>
      </c>
      <c r="K1441" s="29" t="str">
        <f ca="1">IF(C1441&lt;&gt;"",IF(I1441&lt;&gt;"",IF(ISERROR(VLOOKUP(I1441,$C$3:$L$6,10,0)),"",VLOOKUP(I1441,$C$3:$L$6,10,0)+J1441+IF(OR(VLOOKUP(I1441,$C$3:$L$6,5,0)=Variables!$B$5,B1441&gt;VLOOKUP(I1441,$C$3:$L$6,8,0)),IF(VLOOKUP(I1441,$C$3:$L$6,5,0)=Variables!$B$5,((YEAR(B1441)-YEAR($B$12))*12+MONTH(B1441)-MONTH($B$12)),((YEAR(B1441)-YEAR(VLOOKUP(I1441,$C$3:$L$6,8,0)))*12+MONTH(B1441)-MONTH(VLOOKUP(I1441,$C$3:$L$6,8,0))))*VLOOKUP(I1441,$C$3:$L$6,7,0),0)),""),"")</f>
        <v/>
      </c>
      <c r="L1441" s="29" t="str">
        <f t="shared" ca="1" si="124"/>
        <v/>
      </c>
    </row>
    <row r="1442" spans="2:12" x14ac:dyDescent="0.25">
      <c r="B1442" s="14" t="str">
        <f t="shared" ca="1" si="125"/>
        <v/>
      </c>
      <c r="C1442" s="14" t="str">
        <f ca="1">IF(I1441&lt;&gt;Variables!$B$1,IF(H1441&lt;&gt;0,C1441,I1441),"")</f>
        <v/>
      </c>
      <c r="D1442" s="29" t="str">
        <f t="shared" ca="1" si="122"/>
        <v/>
      </c>
      <c r="E1442" s="29" t="str">
        <f t="shared" ca="1" si="123"/>
        <v/>
      </c>
      <c r="F1442" s="29" t="str">
        <f ca="1">IF(C1442&lt;&gt;"",IF(OR(VLOOKUP(C1442,$C$3:$L$6,5,0)=Variables!$B$5,B1442&gt;VLOOKUP(C1442,$C$3:$L$6,8,0)),-D1442*VLOOKUP(C1442,$C$3:$L$6,6,0)/12,0),"")</f>
        <v/>
      </c>
      <c r="G1442" s="29" t="str">
        <f ca="1">IF(I1442&lt;&gt;Variables!$B$1,IF(C1442&lt;&gt;"",$I$9-E1442-F1442,""),-D1442)</f>
        <v/>
      </c>
      <c r="H1442" s="29" t="str">
        <f t="shared" ca="1" si="126"/>
        <v/>
      </c>
      <c r="I1442" s="31" t="str">
        <f ca="1">IF(C1442&lt;&gt;"",IF(D1442+$I$9-E1442-F1442&gt;=0,IF(ISERROR(INDEX($C$3:$C$6,MATCH(C1442,$C$3:$C$6,0)+1,0)),Variables!$B$1,INDEX($C$3:$C$6,MATCH(C1442,$C$3:$C$6,0)+1,0)),""),"")</f>
        <v/>
      </c>
      <c r="J1442" s="29" t="str">
        <f ca="1">IF(ISERROR(VLOOKUP(I1442,$C$3:$L$6,5,0)),"",IF(OR(VLOOKUP(I1442,$C$3:$L$6,5,0)=Variables!$B$5,B1442&gt;VLOOKUP(I1442,$C$3:$L$6,8,0)),IF(VLOOKUP(I1442,$C$3:$L$6,5,0)=Variables!$B$5,((YEAR(B1442)-YEAR($B$12))*12+MONTH(B1442)-MONTH($B$12)),((YEAR(B1442)-YEAR(VLOOKUP(I1442,$C$3:$L$6,8,0)))*12+MONTH(B1442)-MONTH(VLOOKUP(I1442,$C$3:$L$6,8,0))))*(VLOOKUP(I1442,$C$3:$L$6,10,0)*VLOOKUP(I1442,$C$3:$L$6,6,0)/12),0))</f>
        <v/>
      </c>
      <c r="K1442" s="29" t="str">
        <f ca="1">IF(C1442&lt;&gt;"",IF(I1442&lt;&gt;"",IF(ISERROR(VLOOKUP(I1442,$C$3:$L$6,10,0)),"",VLOOKUP(I1442,$C$3:$L$6,10,0)+J1442+IF(OR(VLOOKUP(I1442,$C$3:$L$6,5,0)=Variables!$B$5,B1442&gt;VLOOKUP(I1442,$C$3:$L$6,8,0)),IF(VLOOKUP(I1442,$C$3:$L$6,5,0)=Variables!$B$5,((YEAR(B1442)-YEAR($B$12))*12+MONTH(B1442)-MONTH($B$12)),((YEAR(B1442)-YEAR(VLOOKUP(I1442,$C$3:$L$6,8,0)))*12+MONTH(B1442)-MONTH(VLOOKUP(I1442,$C$3:$L$6,8,0))))*VLOOKUP(I1442,$C$3:$L$6,7,0),0)),""),"")</f>
        <v/>
      </c>
      <c r="L1442" s="29" t="str">
        <f t="shared" ca="1" si="124"/>
        <v/>
      </c>
    </row>
    <row r="1443" spans="2:12" x14ac:dyDescent="0.25">
      <c r="B1443" s="14" t="str">
        <f t="shared" ca="1" si="125"/>
        <v/>
      </c>
      <c r="C1443" s="14" t="str">
        <f ca="1">IF(I1442&lt;&gt;Variables!$B$1,IF(H1442&lt;&gt;0,C1442,I1442),"")</f>
        <v/>
      </c>
      <c r="D1443" s="29" t="str">
        <f t="shared" ca="1" si="122"/>
        <v/>
      </c>
      <c r="E1443" s="29" t="str">
        <f t="shared" ca="1" si="123"/>
        <v/>
      </c>
      <c r="F1443" s="29" t="str">
        <f ca="1">IF(C1443&lt;&gt;"",IF(OR(VLOOKUP(C1443,$C$3:$L$6,5,0)=Variables!$B$5,B1443&gt;VLOOKUP(C1443,$C$3:$L$6,8,0)),-D1443*VLOOKUP(C1443,$C$3:$L$6,6,0)/12,0),"")</f>
        <v/>
      </c>
      <c r="G1443" s="29" t="str">
        <f ca="1">IF(I1443&lt;&gt;Variables!$B$1,IF(C1443&lt;&gt;"",$I$9-E1443-F1443,""),-D1443)</f>
        <v/>
      </c>
      <c r="H1443" s="29" t="str">
        <f t="shared" ca="1" si="126"/>
        <v/>
      </c>
      <c r="I1443" s="31" t="str">
        <f ca="1">IF(C1443&lt;&gt;"",IF(D1443+$I$9-E1443-F1443&gt;=0,IF(ISERROR(INDEX($C$3:$C$6,MATCH(C1443,$C$3:$C$6,0)+1,0)),Variables!$B$1,INDEX($C$3:$C$6,MATCH(C1443,$C$3:$C$6,0)+1,0)),""),"")</f>
        <v/>
      </c>
      <c r="J1443" s="29" t="str">
        <f ca="1">IF(ISERROR(VLOOKUP(I1443,$C$3:$L$6,5,0)),"",IF(OR(VLOOKUP(I1443,$C$3:$L$6,5,0)=Variables!$B$5,B1443&gt;VLOOKUP(I1443,$C$3:$L$6,8,0)),IF(VLOOKUP(I1443,$C$3:$L$6,5,0)=Variables!$B$5,((YEAR(B1443)-YEAR($B$12))*12+MONTH(B1443)-MONTH($B$12)),((YEAR(B1443)-YEAR(VLOOKUP(I1443,$C$3:$L$6,8,0)))*12+MONTH(B1443)-MONTH(VLOOKUP(I1443,$C$3:$L$6,8,0))))*(VLOOKUP(I1443,$C$3:$L$6,10,0)*VLOOKUP(I1443,$C$3:$L$6,6,0)/12),0))</f>
        <v/>
      </c>
      <c r="K1443" s="29" t="str">
        <f ca="1">IF(C1443&lt;&gt;"",IF(I1443&lt;&gt;"",IF(ISERROR(VLOOKUP(I1443,$C$3:$L$6,10,0)),"",VLOOKUP(I1443,$C$3:$L$6,10,0)+J1443+IF(OR(VLOOKUP(I1443,$C$3:$L$6,5,0)=Variables!$B$5,B1443&gt;VLOOKUP(I1443,$C$3:$L$6,8,0)),IF(VLOOKUP(I1443,$C$3:$L$6,5,0)=Variables!$B$5,((YEAR(B1443)-YEAR($B$12))*12+MONTH(B1443)-MONTH($B$12)),((YEAR(B1443)-YEAR(VLOOKUP(I1443,$C$3:$L$6,8,0)))*12+MONTH(B1443)-MONTH(VLOOKUP(I1443,$C$3:$L$6,8,0))))*VLOOKUP(I1443,$C$3:$L$6,7,0),0)),""),"")</f>
        <v/>
      </c>
      <c r="L1443" s="29" t="str">
        <f t="shared" ca="1" si="124"/>
        <v/>
      </c>
    </row>
    <row r="1444" spans="2:12" x14ac:dyDescent="0.25">
      <c r="B1444" s="14" t="str">
        <f t="shared" ca="1" si="125"/>
        <v/>
      </c>
      <c r="C1444" s="14" t="str">
        <f ca="1">IF(I1443&lt;&gt;Variables!$B$1,IF(H1443&lt;&gt;0,C1443,I1443),"")</f>
        <v/>
      </c>
      <c r="D1444" s="29" t="str">
        <f t="shared" ca="1" si="122"/>
        <v/>
      </c>
      <c r="E1444" s="29" t="str">
        <f t="shared" ca="1" si="123"/>
        <v/>
      </c>
      <c r="F1444" s="29" t="str">
        <f ca="1">IF(C1444&lt;&gt;"",IF(OR(VLOOKUP(C1444,$C$3:$L$6,5,0)=Variables!$B$5,B1444&gt;VLOOKUP(C1444,$C$3:$L$6,8,0)),-D1444*VLOOKUP(C1444,$C$3:$L$6,6,0)/12,0),"")</f>
        <v/>
      </c>
      <c r="G1444" s="29" t="str">
        <f ca="1">IF(I1444&lt;&gt;Variables!$B$1,IF(C1444&lt;&gt;"",$I$9-E1444-F1444,""),-D1444)</f>
        <v/>
      </c>
      <c r="H1444" s="29" t="str">
        <f t="shared" ca="1" si="126"/>
        <v/>
      </c>
      <c r="I1444" s="31" t="str">
        <f ca="1">IF(C1444&lt;&gt;"",IF(D1444+$I$9-E1444-F1444&gt;=0,IF(ISERROR(INDEX($C$3:$C$6,MATCH(C1444,$C$3:$C$6,0)+1,0)),Variables!$B$1,INDEX($C$3:$C$6,MATCH(C1444,$C$3:$C$6,0)+1,0)),""),"")</f>
        <v/>
      </c>
      <c r="J1444" s="29" t="str">
        <f ca="1">IF(ISERROR(VLOOKUP(I1444,$C$3:$L$6,5,0)),"",IF(OR(VLOOKUP(I1444,$C$3:$L$6,5,0)=Variables!$B$5,B1444&gt;VLOOKUP(I1444,$C$3:$L$6,8,0)),IF(VLOOKUP(I1444,$C$3:$L$6,5,0)=Variables!$B$5,((YEAR(B1444)-YEAR($B$12))*12+MONTH(B1444)-MONTH($B$12)),((YEAR(B1444)-YEAR(VLOOKUP(I1444,$C$3:$L$6,8,0)))*12+MONTH(B1444)-MONTH(VLOOKUP(I1444,$C$3:$L$6,8,0))))*(VLOOKUP(I1444,$C$3:$L$6,10,0)*VLOOKUP(I1444,$C$3:$L$6,6,0)/12),0))</f>
        <v/>
      </c>
      <c r="K1444" s="29" t="str">
        <f ca="1">IF(C1444&lt;&gt;"",IF(I1444&lt;&gt;"",IF(ISERROR(VLOOKUP(I1444,$C$3:$L$6,10,0)),"",VLOOKUP(I1444,$C$3:$L$6,10,0)+J1444+IF(OR(VLOOKUP(I1444,$C$3:$L$6,5,0)=Variables!$B$5,B1444&gt;VLOOKUP(I1444,$C$3:$L$6,8,0)),IF(VLOOKUP(I1444,$C$3:$L$6,5,0)=Variables!$B$5,((YEAR(B1444)-YEAR($B$12))*12+MONTH(B1444)-MONTH($B$12)),((YEAR(B1444)-YEAR(VLOOKUP(I1444,$C$3:$L$6,8,0)))*12+MONTH(B1444)-MONTH(VLOOKUP(I1444,$C$3:$L$6,8,0))))*VLOOKUP(I1444,$C$3:$L$6,7,0),0)),""),"")</f>
        <v/>
      </c>
      <c r="L1444" s="29" t="str">
        <f t="shared" ca="1" si="124"/>
        <v/>
      </c>
    </row>
    <row r="1445" spans="2:12" x14ac:dyDescent="0.25">
      <c r="B1445" s="14" t="str">
        <f t="shared" ca="1" si="125"/>
        <v/>
      </c>
      <c r="C1445" s="14" t="str">
        <f ca="1">IF(I1444&lt;&gt;Variables!$B$1,IF(H1444&lt;&gt;0,C1444,I1444),"")</f>
        <v/>
      </c>
      <c r="D1445" s="29" t="str">
        <f t="shared" ca="1" si="122"/>
        <v/>
      </c>
      <c r="E1445" s="29" t="str">
        <f t="shared" ca="1" si="123"/>
        <v/>
      </c>
      <c r="F1445" s="29" t="str">
        <f ca="1">IF(C1445&lt;&gt;"",IF(OR(VLOOKUP(C1445,$C$3:$L$6,5,0)=Variables!$B$5,B1445&gt;VLOOKUP(C1445,$C$3:$L$6,8,0)),-D1445*VLOOKUP(C1445,$C$3:$L$6,6,0)/12,0),"")</f>
        <v/>
      </c>
      <c r="G1445" s="29" t="str">
        <f ca="1">IF(I1445&lt;&gt;Variables!$B$1,IF(C1445&lt;&gt;"",$I$9-E1445-F1445,""),-D1445)</f>
        <v/>
      </c>
      <c r="H1445" s="29" t="str">
        <f t="shared" ca="1" si="126"/>
        <v/>
      </c>
      <c r="I1445" s="31" t="str">
        <f ca="1">IF(C1445&lt;&gt;"",IF(D1445+$I$9-E1445-F1445&gt;=0,IF(ISERROR(INDEX($C$3:$C$6,MATCH(C1445,$C$3:$C$6,0)+1,0)),Variables!$B$1,INDEX($C$3:$C$6,MATCH(C1445,$C$3:$C$6,0)+1,0)),""),"")</f>
        <v/>
      </c>
      <c r="J1445" s="29" t="str">
        <f ca="1">IF(ISERROR(VLOOKUP(I1445,$C$3:$L$6,5,0)),"",IF(OR(VLOOKUP(I1445,$C$3:$L$6,5,0)=Variables!$B$5,B1445&gt;VLOOKUP(I1445,$C$3:$L$6,8,0)),IF(VLOOKUP(I1445,$C$3:$L$6,5,0)=Variables!$B$5,((YEAR(B1445)-YEAR($B$12))*12+MONTH(B1445)-MONTH($B$12)),((YEAR(B1445)-YEAR(VLOOKUP(I1445,$C$3:$L$6,8,0)))*12+MONTH(B1445)-MONTH(VLOOKUP(I1445,$C$3:$L$6,8,0))))*(VLOOKUP(I1445,$C$3:$L$6,10,0)*VLOOKUP(I1445,$C$3:$L$6,6,0)/12),0))</f>
        <v/>
      </c>
      <c r="K1445" s="29" t="str">
        <f ca="1">IF(C1445&lt;&gt;"",IF(I1445&lt;&gt;"",IF(ISERROR(VLOOKUP(I1445,$C$3:$L$6,10,0)),"",VLOOKUP(I1445,$C$3:$L$6,10,0)+J1445+IF(OR(VLOOKUP(I1445,$C$3:$L$6,5,0)=Variables!$B$5,B1445&gt;VLOOKUP(I1445,$C$3:$L$6,8,0)),IF(VLOOKUP(I1445,$C$3:$L$6,5,0)=Variables!$B$5,((YEAR(B1445)-YEAR($B$12))*12+MONTH(B1445)-MONTH($B$12)),((YEAR(B1445)-YEAR(VLOOKUP(I1445,$C$3:$L$6,8,0)))*12+MONTH(B1445)-MONTH(VLOOKUP(I1445,$C$3:$L$6,8,0))))*VLOOKUP(I1445,$C$3:$L$6,7,0),0)),""),"")</f>
        <v/>
      </c>
      <c r="L1445" s="29" t="str">
        <f t="shared" ca="1" si="124"/>
        <v/>
      </c>
    </row>
    <row r="1446" spans="2:12" x14ac:dyDescent="0.25">
      <c r="B1446" s="14" t="str">
        <f t="shared" ca="1" si="125"/>
        <v/>
      </c>
      <c r="C1446" s="14" t="str">
        <f ca="1">IF(I1445&lt;&gt;Variables!$B$1,IF(H1445&lt;&gt;0,C1445,I1445),"")</f>
        <v/>
      </c>
      <c r="D1446" s="29" t="str">
        <f t="shared" ca="1" si="122"/>
        <v/>
      </c>
      <c r="E1446" s="29" t="str">
        <f t="shared" ca="1" si="123"/>
        <v/>
      </c>
      <c r="F1446" s="29" t="str">
        <f ca="1">IF(C1446&lt;&gt;"",IF(OR(VLOOKUP(C1446,$C$3:$L$6,5,0)=Variables!$B$5,B1446&gt;VLOOKUP(C1446,$C$3:$L$6,8,0)),-D1446*VLOOKUP(C1446,$C$3:$L$6,6,0)/12,0),"")</f>
        <v/>
      </c>
      <c r="G1446" s="29" t="str">
        <f ca="1">IF(I1446&lt;&gt;Variables!$B$1,IF(C1446&lt;&gt;"",$I$9-E1446-F1446,""),-D1446)</f>
        <v/>
      </c>
      <c r="H1446" s="29" t="str">
        <f t="shared" ca="1" si="126"/>
        <v/>
      </c>
      <c r="I1446" s="31" t="str">
        <f ca="1">IF(C1446&lt;&gt;"",IF(D1446+$I$9-E1446-F1446&gt;=0,IF(ISERROR(INDEX($C$3:$C$6,MATCH(C1446,$C$3:$C$6,0)+1,0)),Variables!$B$1,INDEX($C$3:$C$6,MATCH(C1446,$C$3:$C$6,0)+1,0)),""),"")</f>
        <v/>
      </c>
      <c r="J1446" s="29" t="str">
        <f ca="1">IF(ISERROR(VLOOKUP(I1446,$C$3:$L$6,5,0)),"",IF(OR(VLOOKUP(I1446,$C$3:$L$6,5,0)=Variables!$B$5,B1446&gt;VLOOKUP(I1446,$C$3:$L$6,8,0)),IF(VLOOKUP(I1446,$C$3:$L$6,5,0)=Variables!$B$5,((YEAR(B1446)-YEAR($B$12))*12+MONTH(B1446)-MONTH($B$12)),((YEAR(B1446)-YEAR(VLOOKUP(I1446,$C$3:$L$6,8,0)))*12+MONTH(B1446)-MONTH(VLOOKUP(I1446,$C$3:$L$6,8,0))))*(VLOOKUP(I1446,$C$3:$L$6,10,0)*VLOOKUP(I1446,$C$3:$L$6,6,0)/12),0))</f>
        <v/>
      </c>
      <c r="K1446" s="29" t="str">
        <f ca="1">IF(C1446&lt;&gt;"",IF(I1446&lt;&gt;"",IF(ISERROR(VLOOKUP(I1446,$C$3:$L$6,10,0)),"",VLOOKUP(I1446,$C$3:$L$6,10,0)+J1446+IF(OR(VLOOKUP(I1446,$C$3:$L$6,5,0)=Variables!$B$5,B1446&gt;VLOOKUP(I1446,$C$3:$L$6,8,0)),IF(VLOOKUP(I1446,$C$3:$L$6,5,0)=Variables!$B$5,((YEAR(B1446)-YEAR($B$12))*12+MONTH(B1446)-MONTH($B$12)),((YEAR(B1446)-YEAR(VLOOKUP(I1446,$C$3:$L$6,8,0)))*12+MONTH(B1446)-MONTH(VLOOKUP(I1446,$C$3:$L$6,8,0))))*VLOOKUP(I1446,$C$3:$L$6,7,0),0)),""),"")</f>
        <v/>
      </c>
      <c r="L1446" s="29" t="str">
        <f t="shared" ca="1" si="124"/>
        <v/>
      </c>
    </row>
    <row r="1447" spans="2:12" x14ac:dyDescent="0.25">
      <c r="B1447" s="14" t="str">
        <f t="shared" ca="1" si="125"/>
        <v/>
      </c>
      <c r="C1447" s="14" t="str">
        <f ca="1">IF(I1446&lt;&gt;Variables!$B$1,IF(H1446&lt;&gt;0,C1446,I1446),"")</f>
        <v/>
      </c>
      <c r="D1447" s="29" t="str">
        <f t="shared" ca="1" si="122"/>
        <v/>
      </c>
      <c r="E1447" s="29" t="str">
        <f t="shared" ca="1" si="123"/>
        <v/>
      </c>
      <c r="F1447" s="29" t="str">
        <f ca="1">IF(C1447&lt;&gt;"",IF(OR(VLOOKUP(C1447,$C$3:$L$6,5,0)=Variables!$B$5,B1447&gt;VLOOKUP(C1447,$C$3:$L$6,8,0)),-D1447*VLOOKUP(C1447,$C$3:$L$6,6,0)/12,0),"")</f>
        <v/>
      </c>
      <c r="G1447" s="29" t="str">
        <f ca="1">IF(I1447&lt;&gt;Variables!$B$1,IF(C1447&lt;&gt;"",$I$9-E1447-F1447,""),-D1447)</f>
        <v/>
      </c>
      <c r="H1447" s="29" t="str">
        <f t="shared" ca="1" si="126"/>
        <v/>
      </c>
      <c r="I1447" s="31" t="str">
        <f ca="1">IF(C1447&lt;&gt;"",IF(D1447+$I$9-E1447-F1447&gt;=0,IF(ISERROR(INDEX($C$3:$C$6,MATCH(C1447,$C$3:$C$6,0)+1,0)),Variables!$B$1,INDEX($C$3:$C$6,MATCH(C1447,$C$3:$C$6,0)+1,0)),""),"")</f>
        <v/>
      </c>
      <c r="J1447" s="29" t="str">
        <f ca="1">IF(ISERROR(VLOOKUP(I1447,$C$3:$L$6,5,0)),"",IF(OR(VLOOKUP(I1447,$C$3:$L$6,5,0)=Variables!$B$5,B1447&gt;VLOOKUP(I1447,$C$3:$L$6,8,0)),IF(VLOOKUP(I1447,$C$3:$L$6,5,0)=Variables!$B$5,((YEAR(B1447)-YEAR($B$12))*12+MONTH(B1447)-MONTH($B$12)),((YEAR(B1447)-YEAR(VLOOKUP(I1447,$C$3:$L$6,8,0)))*12+MONTH(B1447)-MONTH(VLOOKUP(I1447,$C$3:$L$6,8,0))))*(VLOOKUP(I1447,$C$3:$L$6,10,0)*VLOOKUP(I1447,$C$3:$L$6,6,0)/12),0))</f>
        <v/>
      </c>
      <c r="K1447" s="29" t="str">
        <f ca="1">IF(C1447&lt;&gt;"",IF(I1447&lt;&gt;"",IF(ISERROR(VLOOKUP(I1447,$C$3:$L$6,10,0)),"",VLOOKUP(I1447,$C$3:$L$6,10,0)+J1447+IF(OR(VLOOKUP(I1447,$C$3:$L$6,5,0)=Variables!$B$5,B1447&gt;VLOOKUP(I1447,$C$3:$L$6,8,0)),IF(VLOOKUP(I1447,$C$3:$L$6,5,0)=Variables!$B$5,((YEAR(B1447)-YEAR($B$12))*12+MONTH(B1447)-MONTH($B$12)),((YEAR(B1447)-YEAR(VLOOKUP(I1447,$C$3:$L$6,8,0)))*12+MONTH(B1447)-MONTH(VLOOKUP(I1447,$C$3:$L$6,8,0))))*VLOOKUP(I1447,$C$3:$L$6,7,0),0)),""),"")</f>
        <v/>
      </c>
      <c r="L1447" s="29" t="str">
        <f t="shared" ca="1" si="124"/>
        <v/>
      </c>
    </row>
    <row r="1448" spans="2:12" x14ac:dyDescent="0.25">
      <c r="B1448" s="14" t="str">
        <f t="shared" ca="1" si="125"/>
        <v/>
      </c>
      <c r="C1448" s="14" t="str">
        <f ca="1">IF(I1447&lt;&gt;Variables!$B$1,IF(H1447&lt;&gt;0,C1447,I1447),"")</f>
        <v/>
      </c>
      <c r="D1448" s="29" t="str">
        <f t="shared" ca="1" si="122"/>
        <v/>
      </c>
      <c r="E1448" s="29" t="str">
        <f t="shared" ca="1" si="123"/>
        <v/>
      </c>
      <c r="F1448" s="29" t="str">
        <f ca="1">IF(C1448&lt;&gt;"",IF(OR(VLOOKUP(C1448,$C$3:$L$6,5,0)=Variables!$B$5,B1448&gt;VLOOKUP(C1448,$C$3:$L$6,8,0)),-D1448*VLOOKUP(C1448,$C$3:$L$6,6,0)/12,0),"")</f>
        <v/>
      </c>
      <c r="G1448" s="29" t="str">
        <f ca="1">IF(I1448&lt;&gt;Variables!$B$1,IF(C1448&lt;&gt;"",$I$9-E1448-F1448,""),-D1448)</f>
        <v/>
      </c>
      <c r="H1448" s="29" t="str">
        <f t="shared" ca="1" si="126"/>
        <v/>
      </c>
      <c r="I1448" s="31" t="str">
        <f ca="1">IF(C1448&lt;&gt;"",IF(D1448+$I$9-E1448-F1448&gt;=0,IF(ISERROR(INDEX($C$3:$C$6,MATCH(C1448,$C$3:$C$6,0)+1,0)),Variables!$B$1,INDEX($C$3:$C$6,MATCH(C1448,$C$3:$C$6,0)+1,0)),""),"")</f>
        <v/>
      </c>
      <c r="J1448" s="29" t="str">
        <f ca="1">IF(ISERROR(VLOOKUP(I1448,$C$3:$L$6,5,0)),"",IF(OR(VLOOKUP(I1448,$C$3:$L$6,5,0)=Variables!$B$5,B1448&gt;VLOOKUP(I1448,$C$3:$L$6,8,0)),IF(VLOOKUP(I1448,$C$3:$L$6,5,0)=Variables!$B$5,((YEAR(B1448)-YEAR($B$12))*12+MONTH(B1448)-MONTH($B$12)),((YEAR(B1448)-YEAR(VLOOKUP(I1448,$C$3:$L$6,8,0)))*12+MONTH(B1448)-MONTH(VLOOKUP(I1448,$C$3:$L$6,8,0))))*(VLOOKUP(I1448,$C$3:$L$6,10,0)*VLOOKUP(I1448,$C$3:$L$6,6,0)/12),0))</f>
        <v/>
      </c>
      <c r="K1448" s="29" t="str">
        <f ca="1">IF(C1448&lt;&gt;"",IF(I1448&lt;&gt;"",IF(ISERROR(VLOOKUP(I1448,$C$3:$L$6,10,0)),"",VLOOKUP(I1448,$C$3:$L$6,10,0)+J1448+IF(OR(VLOOKUP(I1448,$C$3:$L$6,5,0)=Variables!$B$5,B1448&gt;VLOOKUP(I1448,$C$3:$L$6,8,0)),IF(VLOOKUP(I1448,$C$3:$L$6,5,0)=Variables!$B$5,((YEAR(B1448)-YEAR($B$12))*12+MONTH(B1448)-MONTH($B$12)),((YEAR(B1448)-YEAR(VLOOKUP(I1448,$C$3:$L$6,8,0)))*12+MONTH(B1448)-MONTH(VLOOKUP(I1448,$C$3:$L$6,8,0))))*VLOOKUP(I1448,$C$3:$L$6,7,0),0)),""),"")</f>
        <v/>
      </c>
      <c r="L1448" s="29" t="str">
        <f t="shared" ca="1" si="124"/>
        <v/>
      </c>
    </row>
    <row r="1449" spans="2:12" x14ac:dyDescent="0.25">
      <c r="B1449" s="14" t="str">
        <f t="shared" ca="1" si="125"/>
        <v/>
      </c>
      <c r="C1449" s="14" t="str">
        <f ca="1">IF(I1448&lt;&gt;Variables!$B$1,IF(H1448&lt;&gt;0,C1448,I1448),"")</f>
        <v/>
      </c>
      <c r="D1449" s="29" t="str">
        <f t="shared" ca="1" si="122"/>
        <v/>
      </c>
      <c r="E1449" s="29" t="str">
        <f t="shared" ca="1" si="123"/>
        <v/>
      </c>
      <c r="F1449" s="29" t="str">
        <f ca="1">IF(C1449&lt;&gt;"",IF(OR(VLOOKUP(C1449,$C$3:$L$6,5,0)=Variables!$B$5,B1449&gt;VLOOKUP(C1449,$C$3:$L$6,8,0)),-D1449*VLOOKUP(C1449,$C$3:$L$6,6,0)/12,0),"")</f>
        <v/>
      </c>
      <c r="G1449" s="29" t="str">
        <f ca="1">IF(I1449&lt;&gt;Variables!$B$1,IF(C1449&lt;&gt;"",$I$9-E1449-F1449,""),-D1449)</f>
        <v/>
      </c>
      <c r="H1449" s="29" t="str">
        <f t="shared" ca="1" si="126"/>
        <v/>
      </c>
      <c r="I1449" s="31" t="str">
        <f ca="1">IF(C1449&lt;&gt;"",IF(D1449+$I$9-E1449-F1449&gt;=0,IF(ISERROR(INDEX($C$3:$C$6,MATCH(C1449,$C$3:$C$6,0)+1,0)),Variables!$B$1,INDEX($C$3:$C$6,MATCH(C1449,$C$3:$C$6,0)+1,0)),""),"")</f>
        <v/>
      </c>
      <c r="J1449" s="29" t="str">
        <f ca="1">IF(ISERROR(VLOOKUP(I1449,$C$3:$L$6,5,0)),"",IF(OR(VLOOKUP(I1449,$C$3:$L$6,5,0)=Variables!$B$5,B1449&gt;VLOOKUP(I1449,$C$3:$L$6,8,0)),IF(VLOOKUP(I1449,$C$3:$L$6,5,0)=Variables!$B$5,((YEAR(B1449)-YEAR($B$12))*12+MONTH(B1449)-MONTH($B$12)),((YEAR(B1449)-YEAR(VLOOKUP(I1449,$C$3:$L$6,8,0)))*12+MONTH(B1449)-MONTH(VLOOKUP(I1449,$C$3:$L$6,8,0))))*(VLOOKUP(I1449,$C$3:$L$6,10,0)*VLOOKUP(I1449,$C$3:$L$6,6,0)/12),0))</f>
        <v/>
      </c>
      <c r="K1449" s="29" t="str">
        <f ca="1">IF(C1449&lt;&gt;"",IF(I1449&lt;&gt;"",IF(ISERROR(VLOOKUP(I1449,$C$3:$L$6,10,0)),"",VLOOKUP(I1449,$C$3:$L$6,10,0)+J1449+IF(OR(VLOOKUP(I1449,$C$3:$L$6,5,0)=Variables!$B$5,B1449&gt;VLOOKUP(I1449,$C$3:$L$6,8,0)),IF(VLOOKUP(I1449,$C$3:$L$6,5,0)=Variables!$B$5,((YEAR(B1449)-YEAR($B$12))*12+MONTH(B1449)-MONTH($B$12)),((YEAR(B1449)-YEAR(VLOOKUP(I1449,$C$3:$L$6,8,0)))*12+MONTH(B1449)-MONTH(VLOOKUP(I1449,$C$3:$L$6,8,0))))*VLOOKUP(I1449,$C$3:$L$6,7,0),0)),""),"")</f>
        <v/>
      </c>
      <c r="L1449" s="29" t="str">
        <f t="shared" ca="1" si="124"/>
        <v/>
      </c>
    </row>
    <row r="1450" spans="2:12" x14ac:dyDescent="0.25">
      <c r="B1450" s="14" t="str">
        <f t="shared" ca="1" si="125"/>
        <v/>
      </c>
      <c r="C1450" s="14" t="str">
        <f ca="1">IF(I1449&lt;&gt;Variables!$B$1,IF(H1449&lt;&gt;0,C1449,I1449),"")</f>
        <v/>
      </c>
      <c r="D1450" s="29" t="str">
        <f t="shared" ca="1" si="122"/>
        <v/>
      </c>
      <c r="E1450" s="29" t="str">
        <f t="shared" ca="1" si="123"/>
        <v/>
      </c>
      <c r="F1450" s="29" t="str">
        <f ca="1">IF(C1450&lt;&gt;"",IF(OR(VLOOKUP(C1450,$C$3:$L$6,5,0)=Variables!$B$5,B1450&gt;VLOOKUP(C1450,$C$3:$L$6,8,0)),-D1450*VLOOKUP(C1450,$C$3:$L$6,6,0)/12,0),"")</f>
        <v/>
      </c>
      <c r="G1450" s="29" t="str">
        <f ca="1">IF(I1450&lt;&gt;Variables!$B$1,IF(C1450&lt;&gt;"",$I$9-E1450-F1450,""),-D1450)</f>
        <v/>
      </c>
      <c r="H1450" s="29" t="str">
        <f t="shared" ca="1" si="126"/>
        <v/>
      </c>
      <c r="I1450" s="31" t="str">
        <f ca="1">IF(C1450&lt;&gt;"",IF(D1450+$I$9-E1450-F1450&gt;=0,IF(ISERROR(INDEX($C$3:$C$6,MATCH(C1450,$C$3:$C$6,0)+1,0)),Variables!$B$1,INDEX($C$3:$C$6,MATCH(C1450,$C$3:$C$6,0)+1,0)),""),"")</f>
        <v/>
      </c>
      <c r="J1450" s="29" t="str">
        <f ca="1">IF(ISERROR(VLOOKUP(I1450,$C$3:$L$6,5,0)),"",IF(OR(VLOOKUP(I1450,$C$3:$L$6,5,0)=Variables!$B$5,B1450&gt;VLOOKUP(I1450,$C$3:$L$6,8,0)),IF(VLOOKUP(I1450,$C$3:$L$6,5,0)=Variables!$B$5,((YEAR(B1450)-YEAR($B$12))*12+MONTH(B1450)-MONTH($B$12)),((YEAR(B1450)-YEAR(VLOOKUP(I1450,$C$3:$L$6,8,0)))*12+MONTH(B1450)-MONTH(VLOOKUP(I1450,$C$3:$L$6,8,0))))*(VLOOKUP(I1450,$C$3:$L$6,10,0)*VLOOKUP(I1450,$C$3:$L$6,6,0)/12),0))</f>
        <v/>
      </c>
      <c r="K1450" s="29" t="str">
        <f ca="1">IF(C1450&lt;&gt;"",IF(I1450&lt;&gt;"",IF(ISERROR(VLOOKUP(I1450,$C$3:$L$6,10,0)),"",VLOOKUP(I1450,$C$3:$L$6,10,0)+J1450+IF(OR(VLOOKUP(I1450,$C$3:$L$6,5,0)=Variables!$B$5,B1450&gt;VLOOKUP(I1450,$C$3:$L$6,8,0)),IF(VLOOKUP(I1450,$C$3:$L$6,5,0)=Variables!$B$5,((YEAR(B1450)-YEAR($B$12))*12+MONTH(B1450)-MONTH($B$12)),((YEAR(B1450)-YEAR(VLOOKUP(I1450,$C$3:$L$6,8,0)))*12+MONTH(B1450)-MONTH(VLOOKUP(I1450,$C$3:$L$6,8,0))))*VLOOKUP(I1450,$C$3:$L$6,7,0),0)),""),"")</f>
        <v/>
      </c>
      <c r="L1450" s="29" t="str">
        <f t="shared" ca="1" si="124"/>
        <v/>
      </c>
    </row>
    <row r="1451" spans="2:12" x14ac:dyDescent="0.25">
      <c r="B1451" s="14" t="str">
        <f t="shared" ca="1" si="125"/>
        <v/>
      </c>
      <c r="C1451" s="14" t="str">
        <f ca="1">IF(I1450&lt;&gt;Variables!$B$1,IF(H1450&lt;&gt;0,C1450,I1450),"")</f>
        <v/>
      </c>
      <c r="D1451" s="29" t="str">
        <f t="shared" ca="1" si="122"/>
        <v/>
      </c>
      <c r="E1451" s="29" t="str">
        <f t="shared" ca="1" si="123"/>
        <v/>
      </c>
      <c r="F1451" s="29" t="str">
        <f ca="1">IF(C1451&lt;&gt;"",IF(OR(VLOOKUP(C1451,$C$3:$L$6,5,0)=Variables!$B$5,B1451&gt;VLOOKUP(C1451,$C$3:$L$6,8,0)),-D1451*VLOOKUP(C1451,$C$3:$L$6,6,0)/12,0),"")</f>
        <v/>
      </c>
      <c r="G1451" s="29" t="str">
        <f ca="1">IF(I1451&lt;&gt;Variables!$B$1,IF(C1451&lt;&gt;"",$I$9-E1451-F1451,""),-D1451)</f>
        <v/>
      </c>
      <c r="H1451" s="29" t="str">
        <f t="shared" ca="1" si="126"/>
        <v/>
      </c>
      <c r="I1451" s="31" t="str">
        <f ca="1">IF(C1451&lt;&gt;"",IF(D1451+$I$9-E1451-F1451&gt;=0,IF(ISERROR(INDEX($C$3:$C$6,MATCH(C1451,$C$3:$C$6,0)+1,0)),Variables!$B$1,INDEX($C$3:$C$6,MATCH(C1451,$C$3:$C$6,0)+1,0)),""),"")</f>
        <v/>
      </c>
      <c r="J1451" s="29" t="str">
        <f ca="1">IF(ISERROR(VLOOKUP(I1451,$C$3:$L$6,5,0)),"",IF(OR(VLOOKUP(I1451,$C$3:$L$6,5,0)=Variables!$B$5,B1451&gt;VLOOKUP(I1451,$C$3:$L$6,8,0)),IF(VLOOKUP(I1451,$C$3:$L$6,5,0)=Variables!$B$5,((YEAR(B1451)-YEAR($B$12))*12+MONTH(B1451)-MONTH($B$12)),((YEAR(B1451)-YEAR(VLOOKUP(I1451,$C$3:$L$6,8,0)))*12+MONTH(B1451)-MONTH(VLOOKUP(I1451,$C$3:$L$6,8,0))))*(VLOOKUP(I1451,$C$3:$L$6,10,0)*VLOOKUP(I1451,$C$3:$L$6,6,0)/12),0))</f>
        <v/>
      </c>
      <c r="K1451" s="29" t="str">
        <f ca="1">IF(C1451&lt;&gt;"",IF(I1451&lt;&gt;"",IF(ISERROR(VLOOKUP(I1451,$C$3:$L$6,10,0)),"",VLOOKUP(I1451,$C$3:$L$6,10,0)+J1451+IF(OR(VLOOKUP(I1451,$C$3:$L$6,5,0)=Variables!$B$5,B1451&gt;VLOOKUP(I1451,$C$3:$L$6,8,0)),IF(VLOOKUP(I1451,$C$3:$L$6,5,0)=Variables!$B$5,((YEAR(B1451)-YEAR($B$12))*12+MONTH(B1451)-MONTH($B$12)),((YEAR(B1451)-YEAR(VLOOKUP(I1451,$C$3:$L$6,8,0)))*12+MONTH(B1451)-MONTH(VLOOKUP(I1451,$C$3:$L$6,8,0))))*VLOOKUP(I1451,$C$3:$L$6,7,0),0)),""),"")</f>
        <v/>
      </c>
      <c r="L1451" s="29" t="str">
        <f t="shared" ca="1" si="124"/>
        <v/>
      </c>
    </row>
    <row r="1452" spans="2:12" x14ac:dyDescent="0.25">
      <c r="B1452" s="14" t="str">
        <f t="shared" ca="1" si="125"/>
        <v/>
      </c>
      <c r="C1452" s="14" t="str">
        <f ca="1">IF(I1451&lt;&gt;Variables!$B$1,IF(H1451&lt;&gt;0,C1451,I1451),"")</f>
        <v/>
      </c>
      <c r="D1452" s="29" t="str">
        <f t="shared" ca="1" si="122"/>
        <v/>
      </c>
      <c r="E1452" s="29" t="str">
        <f t="shared" ca="1" si="123"/>
        <v/>
      </c>
      <c r="F1452" s="29" t="str">
        <f ca="1">IF(C1452&lt;&gt;"",IF(OR(VLOOKUP(C1452,$C$3:$L$6,5,0)=Variables!$B$5,B1452&gt;VLOOKUP(C1452,$C$3:$L$6,8,0)),-D1452*VLOOKUP(C1452,$C$3:$L$6,6,0)/12,0),"")</f>
        <v/>
      </c>
      <c r="G1452" s="29" t="str">
        <f ca="1">IF(I1452&lt;&gt;Variables!$B$1,IF(C1452&lt;&gt;"",$I$9-E1452-F1452,""),-D1452)</f>
        <v/>
      </c>
      <c r="H1452" s="29" t="str">
        <f t="shared" ca="1" si="126"/>
        <v/>
      </c>
      <c r="I1452" s="31" t="str">
        <f ca="1">IF(C1452&lt;&gt;"",IF(D1452+$I$9-E1452-F1452&gt;=0,IF(ISERROR(INDEX($C$3:$C$6,MATCH(C1452,$C$3:$C$6,0)+1,0)),Variables!$B$1,INDEX($C$3:$C$6,MATCH(C1452,$C$3:$C$6,0)+1,0)),""),"")</f>
        <v/>
      </c>
      <c r="J1452" s="29" t="str">
        <f ca="1">IF(ISERROR(VLOOKUP(I1452,$C$3:$L$6,5,0)),"",IF(OR(VLOOKUP(I1452,$C$3:$L$6,5,0)=Variables!$B$5,B1452&gt;VLOOKUP(I1452,$C$3:$L$6,8,0)),IF(VLOOKUP(I1452,$C$3:$L$6,5,0)=Variables!$B$5,((YEAR(B1452)-YEAR($B$12))*12+MONTH(B1452)-MONTH($B$12)),((YEAR(B1452)-YEAR(VLOOKUP(I1452,$C$3:$L$6,8,0)))*12+MONTH(B1452)-MONTH(VLOOKUP(I1452,$C$3:$L$6,8,0))))*(VLOOKUP(I1452,$C$3:$L$6,10,0)*VLOOKUP(I1452,$C$3:$L$6,6,0)/12),0))</f>
        <v/>
      </c>
      <c r="K1452" s="29" t="str">
        <f ca="1">IF(C1452&lt;&gt;"",IF(I1452&lt;&gt;"",IF(ISERROR(VLOOKUP(I1452,$C$3:$L$6,10,0)),"",VLOOKUP(I1452,$C$3:$L$6,10,0)+J1452+IF(OR(VLOOKUP(I1452,$C$3:$L$6,5,0)=Variables!$B$5,B1452&gt;VLOOKUP(I1452,$C$3:$L$6,8,0)),IF(VLOOKUP(I1452,$C$3:$L$6,5,0)=Variables!$B$5,((YEAR(B1452)-YEAR($B$12))*12+MONTH(B1452)-MONTH($B$12)),((YEAR(B1452)-YEAR(VLOOKUP(I1452,$C$3:$L$6,8,0)))*12+MONTH(B1452)-MONTH(VLOOKUP(I1452,$C$3:$L$6,8,0))))*VLOOKUP(I1452,$C$3:$L$6,7,0),0)),""),"")</f>
        <v/>
      </c>
      <c r="L1452" s="29" t="str">
        <f t="shared" ca="1" si="124"/>
        <v/>
      </c>
    </row>
    <row r="1453" spans="2:12" x14ac:dyDescent="0.25">
      <c r="B1453" s="14" t="str">
        <f t="shared" ca="1" si="125"/>
        <v/>
      </c>
      <c r="C1453" s="14" t="str">
        <f ca="1">IF(I1452&lt;&gt;Variables!$B$1,IF(H1452&lt;&gt;0,C1452,I1452),"")</f>
        <v/>
      </c>
      <c r="D1453" s="29" t="str">
        <f t="shared" ca="1" si="122"/>
        <v/>
      </c>
      <c r="E1453" s="29" t="str">
        <f t="shared" ca="1" si="123"/>
        <v/>
      </c>
      <c r="F1453" s="29" t="str">
        <f ca="1">IF(C1453&lt;&gt;"",IF(OR(VLOOKUP(C1453,$C$3:$L$6,5,0)=Variables!$B$5,B1453&gt;VLOOKUP(C1453,$C$3:$L$6,8,0)),-D1453*VLOOKUP(C1453,$C$3:$L$6,6,0)/12,0),"")</f>
        <v/>
      </c>
      <c r="G1453" s="29" t="str">
        <f ca="1">IF(I1453&lt;&gt;Variables!$B$1,IF(C1453&lt;&gt;"",$I$9-E1453-F1453,""),-D1453)</f>
        <v/>
      </c>
      <c r="H1453" s="29" t="str">
        <f t="shared" ca="1" si="126"/>
        <v/>
      </c>
      <c r="I1453" s="31" t="str">
        <f ca="1">IF(C1453&lt;&gt;"",IF(D1453+$I$9-E1453-F1453&gt;=0,IF(ISERROR(INDEX($C$3:$C$6,MATCH(C1453,$C$3:$C$6,0)+1,0)),Variables!$B$1,INDEX($C$3:$C$6,MATCH(C1453,$C$3:$C$6,0)+1,0)),""),"")</f>
        <v/>
      </c>
      <c r="J1453" s="29" t="str">
        <f ca="1">IF(ISERROR(VLOOKUP(I1453,$C$3:$L$6,5,0)),"",IF(OR(VLOOKUP(I1453,$C$3:$L$6,5,0)=Variables!$B$5,B1453&gt;VLOOKUP(I1453,$C$3:$L$6,8,0)),IF(VLOOKUP(I1453,$C$3:$L$6,5,0)=Variables!$B$5,((YEAR(B1453)-YEAR($B$12))*12+MONTH(B1453)-MONTH($B$12)),((YEAR(B1453)-YEAR(VLOOKUP(I1453,$C$3:$L$6,8,0)))*12+MONTH(B1453)-MONTH(VLOOKUP(I1453,$C$3:$L$6,8,0))))*(VLOOKUP(I1453,$C$3:$L$6,10,0)*VLOOKUP(I1453,$C$3:$L$6,6,0)/12),0))</f>
        <v/>
      </c>
      <c r="K1453" s="29" t="str">
        <f ca="1">IF(C1453&lt;&gt;"",IF(I1453&lt;&gt;"",IF(ISERROR(VLOOKUP(I1453,$C$3:$L$6,10,0)),"",VLOOKUP(I1453,$C$3:$L$6,10,0)+J1453+IF(OR(VLOOKUP(I1453,$C$3:$L$6,5,0)=Variables!$B$5,B1453&gt;VLOOKUP(I1453,$C$3:$L$6,8,0)),IF(VLOOKUP(I1453,$C$3:$L$6,5,0)=Variables!$B$5,((YEAR(B1453)-YEAR($B$12))*12+MONTH(B1453)-MONTH($B$12)),((YEAR(B1453)-YEAR(VLOOKUP(I1453,$C$3:$L$6,8,0)))*12+MONTH(B1453)-MONTH(VLOOKUP(I1453,$C$3:$L$6,8,0))))*VLOOKUP(I1453,$C$3:$L$6,7,0),0)),""),"")</f>
        <v/>
      </c>
      <c r="L1453" s="29" t="str">
        <f t="shared" ca="1" si="124"/>
        <v/>
      </c>
    </row>
    <row r="1454" spans="2:12" x14ac:dyDescent="0.25">
      <c r="B1454" s="14" t="str">
        <f t="shared" ca="1" si="125"/>
        <v/>
      </c>
      <c r="C1454" s="14" t="str">
        <f ca="1">IF(I1453&lt;&gt;Variables!$B$1,IF(H1453&lt;&gt;0,C1453,I1453),"")</f>
        <v/>
      </c>
      <c r="D1454" s="29" t="str">
        <f t="shared" ca="1" si="122"/>
        <v/>
      </c>
      <c r="E1454" s="29" t="str">
        <f t="shared" ca="1" si="123"/>
        <v/>
      </c>
      <c r="F1454" s="29" t="str">
        <f ca="1">IF(C1454&lt;&gt;"",IF(OR(VLOOKUP(C1454,$C$3:$L$6,5,0)=Variables!$B$5,B1454&gt;VLOOKUP(C1454,$C$3:$L$6,8,0)),-D1454*VLOOKUP(C1454,$C$3:$L$6,6,0)/12,0),"")</f>
        <v/>
      </c>
      <c r="G1454" s="29" t="str">
        <f ca="1">IF(I1454&lt;&gt;Variables!$B$1,IF(C1454&lt;&gt;"",$I$9-E1454-F1454,""),-D1454)</f>
        <v/>
      </c>
      <c r="H1454" s="29" t="str">
        <f t="shared" ca="1" si="126"/>
        <v/>
      </c>
      <c r="I1454" s="31" t="str">
        <f ca="1">IF(C1454&lt;&gt;"",IF(D1454+$I$9-E1454-F1454&gt;=0,IF(ISERROR(INDEX($C$3:$C$6,MATCH(C1454,$C$3:$C$6,0)+1,0)),Variables!$B$1,INDEX($C$3:$C$6,MATCH(C1454,$C$3:$C$6,0)+1,0)),""),"")</f>
        <v/>
      </c>
      <c r="J1454" s="29" t="str">
        <f ca="1">IF(ISERROR(VLOOKUP(I1454,$C$3:$L$6,5,0)),"",IF(OR(VLOOKUP(I1454,$C$3:$L$6,5,0)=Variables!$B$5,B1454&gt;VLOOKUP(I1454,$C$3:$L$6,8,0)),IF(VLOOKUP(I1454,$C$3:$L$6,5,0)=Variables!$B$5,((YEAR(B1454)-YEAR($B$12))*12+MONTH(B1454)-MONTH($B$12)),((YEAR(B1454)-YEAR(VLOOKUP(I1454,$C$3:$L$6,8,0)))*12+MONTH(B1454)-MONTH(VLOOKUP(I1454,$C$3:$L$6,8,0))))*(VLOOKUP(I1454,$C$3:$L$6,10,0)*VLOOKUP(I1454,$C$3:$L$6,6,0)/12),0))</f>
        <v/>
      </c>
      <c r="K1454" s="29" t="str">
        <f ca="1">IF(C1454&lt;&gt;"",IF(I1454&lt;&gt;"",IF(ISERROR(VLOOKUP(I1454,$C$3:$L$6,10,0)),"",VLOOKUP(I1454,$C$3:$L$6,10,0)+J1454+IF(OR(VLOOKUP(I1454,$C$3:$L$6,5,0)=Variables!$B$5,B1454&gt;VLOOKUP(I1454,$C$3:$L$6,8,0)),IF(VLOOKUP(I1454,$C$3:$L$6,5,0)=Variables!$B$5,((YEAR(B1454)-YEAR($B$12))*12+MONTH(B1454)-MONTH($B$12)),((YEAR(B1454)-YEAR(VLOOKUP(I1454,$C$3:$L$6,8,0)))*12+MONTH(B1454)-MONTH(VLOOKUP(I1454,$C$3:$L$6,8,0))))*VLOOKUP(I1454,$C$3:$L$6,7,0),0)),""),"")</f>
        <v/>
      </c>
      <c r="L1454" s="29" t="str">
        <f t="shared" ca="1" si="124"/>
        <v/>
      </c>
    </row>
    <row r="1455" spans="2:12" x14ac:dyDescent="0.25">
      <c r="B1455" s="14" t="str">
        <f t="shared" ca="1" si="125"/>
        <v/>
      </c>
      <c r="C1455" s="14" t="str">
        <f ca="1">IF(I1454&lt;&gt;Variables!$B$1,IF(H1454&lt;&gt;0,C1454,I1454),"")</f>
        <v/>
      </c>
      <c r="D1455" s="29" t="str">
        <f t="shared" ca="1" si="122"/>
        <v/>
      </c>
      <c r="E1455" s="29" t="str">
        <f t="shared" ca="1" si="123"/>
        <v/>
      </c>
      <c r="F1455" s="29" t="str">
        <f ca="1">IF(C1455&lt;&gt;"",IF(OR(VLOOKUP(C1455,$C$3:$L$6,5,0)=Variables!$B$5,B1455&gt;VLOOKUP(C1455,$C$3:$L$6,8,0)),-D1455*VLOOKUP(C1455,$C$3:$L$6,6,0)/12,0),"")</f>
        <v/>
      </c>
      <c r="G1455" s="29" t="str">
        <f ca="1">IF(I1455&lt;&gt;Variables!$B$1,IF(C1455&lt;&gt;"",$I$9-E1455-F1455,""),-D1455)</f>
        <v/>
      </c>
      <c r="H1455" s="29" t="str">
        <f t="shared" ca="1" si="126"/>
        <v/>
      </c>
      <c r="I1455" s="31" t="str">
        <f ca="1">IF(C1455&lt;&gt;"",IF(D1455+$I$9-E1455-F1455&gt;=0,IF(ISERROR(INDEX($C$3:$C$6,MATCH(C1455,$C$3:$C$6,0)+1,0)),Variables!$B$1,INDEX($C$3:$C$6,MATCH(C1455,$C$3:$C$6,0)+1,0)),""),"")</f>
        <v/>
      </c>
      <c r="J1455" s="29" t="str">
        <f ca="1">IF(ISERROR(VLOOKUP(I1455,$C$3:$L$6,5,0)),"",IF(OR(VLOOKUP(I1455,$C$3:$L$6,5,0)=Variables!$B$5,B1455&gt;VLOOKUP(I1455,$C$3:$L$6,8,0)),IF(VLOOKUP(I1455,$C$3:$L$6,5,0)=Variables!$B$5,((YEAR(B1455)-YEAR($B$12))*12+MONTH(B1455)-MONTH($B$12)),((YEAR(B1455)-YEAR(VLOOKUP(I1455,$C$3:$L$6,8,0)))*12+MONTH(B1455)-MONTH(VLOOKUP(I1455,$C$3:$L$6,8,0))))*(VLOOKUP(I1455,$C$3:$L$6,10,0)*VLOOKUP(I1455,$C$3:$L$6,6,0)/12),0))</f>
        <v/>
      </c>
      <c r="K1455" s="29" t="str">
        <f ca="1">IF(C1455&lt;&gt;"",IF(I1455&lt;&gt;"",IF(ISERROR(VLOOKUP(I1455,$C$3:$L$6,10,0)),"",VLOOKUP(I1455,$C$3:$L$6,10,0)+J1455+IF(OR(VLOOKUP(I1455,$C$3:$L$6,5,0)=Variables!$B$5,B1455&gt;VLOOKUP(I1455,$C$3:$L$6,8,0)),IF(VLOOKUP(I1455,$C$3:$L$6,5,0)=Variables!$B$5,((YEAR(B1455)-YEAR($B$12))*12+MONTH(B1455)-MONTH($B$12)),((YEAR(B1455)-YEAR(VLOOKUP(I1455,$C$3:$L$6,8,0)))*12+MONTH(B1455)-MONTH(VLOOKUP(I1455,$C$3:$L$6,8,0))))*VLOOKUP(I1455,$C$3:$L$6,7,0),0)),""),"")</f>
        <v/>
      </c>
      <c r="L1455" s="29" t="str">
        <f t="shared" ca="1" si="124"/>
        <v/>
      </c>
    </row>
    <row r="1456" spans="2:12" x14ac:dyDescent="0.25">
      <c r="B1456" s="14" t="str">
        <f t="shared" ca="1" si="125"/>
        <v/>
      </c>
      <c r="C1456" s="14" t="str">
        <f ca="1">IF(I1455&lt;&gt;Variables!$B$1,IF(H1455&lt;&gt;0,C1455,I1455),"")</f>
        <v/>
      </c>
      <c r="D1456" s="29" t="str">
        <f t="shared" ca="1" si="122"/>
        <v/>
      </c>
      <c r="E1456" s="29" t="str">
        <f t="shared" ca="1" si="123"/>
        <v/>
      </c>
      <c r="F1456" s="29" t="str">
        <f ca="1">IF(C1456&lt;&gt;"",IF(OR(VLOOKUP(C1456,$C$3:$L$6,5,0)=Variables!$B$5,B1456&gt;VLOOKUP(C1456,$C$3:$L$6,8,0)),-D1456*VLOOKUP(C1456,$C$3:$L$6,6,0)/12,0),"")</f>
        <v/>
      </c>
      <c r="G1456" s="29" t="str">
        <f ca="1">IF(I1456&lt;&gt;Variables!$B$1,IF(C1456&lt;&gt;"",$I$9-E1456-F1456,""),-D1456)</f>
        <v/>
      </c>
      <c r="H1456" s="29" t="str">
        <f t="shared" ca="1" si="126"/>
        <v/>
      </c>
      <c r="I1456" s="31" t="str">
        <f ca="1">IF(C1456&lt;&gt;"",IF(D1456+$I$9-E1456-F1456&gt;=0,IF(ISERROR(INDEX($C$3:$C$6,MATCH(C1456,$C$3:$C$6,0)+1,0)),Variables!$B$1,INDEX($C$3:$C$6,MATCH(C1456,$C$3:$C$6,0)+1,0)),""),"")</f>
        <v/>
      </c>
      <c r="J1456" s="29" t="str">
        <f ca="1">IF(ISERROR(VLOOKUP(I1456,$C$3:$L$6,5,0)),"",IF(OR(VLOOKUP(I1456,$C$3:$L$6,5,0)=Variables!$B$5,B1456&gt;VLOOKUP(I1456,$C$3:$L$6,8,0)),IF(VLOOKUP(I1456,$C$3:$L$6,5,0)=Variables!$B$5,((YEAR(B1456)-YEAR($B$12))*12+MONTH(B1456)-MONTH($B$12)),((YEAR(B1456)-YEAR(VLOOKUP(I1456,$C$3:$L$6,8,0)))*12+MONTH(B1456)-MONTH(VLOOKUP(I1456,$C$3:$L$6,8,0))))*(VLOOKUP(I1456,$C$3:$L$6,10,0)*VLOOKUP(I1456,$C$3:$L$6,6,0)/12),0))</f>
        <v/>
      </c>
      <c r="K1456" s="29" t="str">
        <f ca="1">IF(C1456&lt;&gt;"",IF(I1456&lt;&gt;"",IF(ISERROR(VLOOKUP(I1456,$C$3:$L$6,10,0)),"",VLOOKUP(I1456,$C$3:$L$6,10,0)+J1456+IF(OR(VLOOKUP(I1456,$C$3:$L$6,5,0)=Variables!$B$5,B1456&gt;VLOOKUP(I1456,$C$3:$L$6,8,0)),IF(VLOOKUP(I1456,$C$3:$L$6,5,0)=Variables!$B$5,((YEAR(B1456)-YEAR($B$12))*12+MONTH(B1456)-MONTH($B$12)),((YEAR(B1456)-YEAR(VLOOKUP(I1456,$C$3:$L$6,8,0)))*12+MONTH(B1456)-MONTH(VLOOKUP(I1456,$C$3:$L$6,8,0))))*VLOOKUP(I1456,$C$3:$L$6,7,0),0)),""),"")</f>
        <v/>
      </c>
      <c r="L1456" s="29" t="str">
        <f t="shared" ca="1" si="124"/>
        <v/>
      </c>
    </row>
    <row r="1457" spans="2:12" x14ac:dyDescent="0.25">
      <c r="B1457" s="14" t="str">
        <f t="shared" ca="1" si="125"/>
        <v/>
      </c>
      <c r="C1457" s="14" t="str">
        <f ca="1">IF(I1456&lt;&gt;Variables!$B$1,IF(H1456&lt;&gt;0,C1456,I1456),"")</f>
        <v/>
      </c>
      <c r="D1457" s="29" t="str">
        <f t="shared" ca="1" si="122"/>
        <v/>
      </c>
      <c r="E1457" s="29" t="str">
        <f t="shared" ca="1" si="123"/>
        <v/>
      </c>
      <c r="F1457" s="29" t="str">
        <f ca="1">IF(C1457&lt;&gt;"",IF(OR(VLOOKUP(C1457,$C$3:$L$6,5,0)=Variables!$B$5,B1457&gt;VLOOKUP(C1457,$C$3:$L$6,8,0)),-D1457*VLOOKUP(C1457,$C$3:$L$6,6,0)/12,0),"")</f>
        <v/>
      </c>
      <c r="G1457" s="29" t="str">
        <f ca="1">IF(I1457&lt;&gt;Variables!$B$1,IF(C1457&lt;&gt;"",$I$9-E1457-F1457,""),-D1457)</f>
        <v/>
      </c>
      <c r="H1457" s="29" t="str">
        <f t="shared" ca="1" si="126"/>
        <v/>
      </c>
      <c r="I1457" s="31" t="str">
        <f ca="1">IF(C1457&lt;&gt;"",IF(D1457+$I$9-E1457-F1457&gt;=0,IF(ISERROR(INDEX($C$3:$C$6,MATCH(C1457,$C$3:$C$6,0)+1,0)),Variables!$B$1,INDEX($C$3:$C$6,MATCH(C1457,$C$3:$C$6,0)+1,0)),""),"")</f>
        <v/>
      </c>
      <c r="J1457" s="29" t="str">
        <f ca="1">IF(ISERROR(VLOOKUP(I1457,$C$3:$L$6,5,0)),"",IF(OR(VLOOKUP(I1457,$C$3:$L$6,5,0)=Variables!$B$5,B1457&gt;VLOOKUP(I1457,$C$3:$L$6,8,0)),IF(VLOOKUP(I1457,$C$3:$L$6,5,0)=Variables!$B$5,((YEAR(B1457)-YEAR($B$12))*12+MONTH(B1457)-MONTH($B$12)),((YEAR(B1457)-YEAR(VLOOKUP(I1457,$C$3:$L$6,8,0)))*12+MONTH(B1457)-MONTH(VLOOKUP(I1457,$C$3:$L$6,8,0))))*(VLOOKUP(I1457,$C$3:$L$6,10,0)*VLOOKUP(I1457,$C$3:$L$6,6,0)/12),0))</f>
        <v/>
      </c>
      <c r="K1457" s="29" t="str">
        <f ca="1">IF(C1457&lt;&gt;"",IF(I1457&lt;&gt;"",IF(ISERROR(VLOOKUP(I1457,$C$3:$L$6,10,0)),"",VLOOKUP(I1457,$C$3:$L$6,10,0)+J1457+IF(OR(VLOOKUP(I1457,$C$3:$L$6,5,0)=Variables!$B$5,B1457&gt;VLOOKUP(I1457,$C$3:$L$6,8,0)),IF(VLOOKUP(I1457,$C$3:$L$6,5,0)=Variables!$B$5,((YEAR(B1457)-YEAR($B$12))*12+MONTH(B1457)-MONTH($B$12)),((YEAR(B1457)-YEAR(VLOOKUP(I1457,$C$3:$L$6,8,0)))*12+MONTH(B1457)-MONTH(VLOOKUP(I1457,$C$3:$L$6,8,0))))*VLOOKUP(I1457,$C$3:$L$6,7,0),0)),""),"")</f>
        <v/>
      </c>
      <c r="L1457" s="29" t="str">
        <f t="shared" ca="1" si="124"/>
        <v/>
      </c>
    </row>
    <row r="1458" spans="2:12" x14ac:dyDescent="0.25">
      <c r="B1458" s="14" t="str">
        <f t="shared" ca="1" si="125"/>
        <v/>
      </c>
      <c r="C1458" s="14" t="str">
        <f ca="1">IF(I1457&lt;&gt;Variables!$B$1,IF(H1457&lt;&gt;0,C1457,I1457),"")</f>
        <v/>
      </c>
      <c r="D1458" s="29" t="str">
        <f t="shared" ca="1" si="122"/>
        <v/>
      </c>
      <c r="E1458" s="29" t="str">
        <f t="shared" ca="1" si="123"/>
        <v/>
      </c>
      <c r="F1458" s="29" t="str">
        <f ca="1">IF(C1458&lt;&gt;"",IF(OR(VLOOKUP(C1458,$C$3:$L$6,5,0)=Variables!$B$5,B1458&gt;VLOOKUP(C1458,$C$3:$L$6,8,0)),-D1458*VLOOKUP(C1458,$C$3:$L$6,6,0)/12,0),"")</f>
        <v/>
      </c>
      <c r="G1458" s="29" t="str">
        <f ca="1">IF(I1458&lt;&gt;Variables!$B$1,IF(C1458&lt;&gt;"",$I$9-E1458-F1458,""),-D1458)</f>
        <v/>
      </c>
      <c r="H1458" s="29" t="str">
        <f t="shared" ca="1" si="126"/>
        <v/>
      </c>
      <c r="I1458" s="31" t="str">
        <f ca="1">IF(C1458&lt;&gt;"",IF(D1458+$I$9-E1458-F1458&gt;=0,IF(ISERROR(INDEX($C$3:$C$6,MATCH(C1458,$C$3:$C$6,0)+1,0)),Variables!$B$1,INDEX($C$3:$C$6,MATCH(C1458,$C$3:$C$6,0)+1,0)),""),"")</f>
        <v/>
      </c>
      <c r="J1458" s="29" t="str">
        <f ca="1">IF(ISERROR(VLOOKUP(I1458,$C$3:$L$6,5,0)),"",IF(OR(VLOOKUP(I1458,$C$3:$L$6,5,0)=Variables!$B$5,B1458&gt;VLOOKUP(I1458,$C$3:$L$6,8,0)),IF(VLOOKUP(I1458,$C$3:$L$6,5,0)=Variables!$B$5,((YEAR(B1458)-YEAR($B$12))*12+MONTH(B1458)-MONTH($B$12)),((YEAR(B1458)-YEAR(VLOOKUP(I1458,$C$3:$L$6,8,0)))*12+MONTH(B1458)-MONTH(VLOOKUP(I1458,$C$3:$L$6,8,0))))*(VLOOKUP(I1458,$C$3:$L$6,10,0)*VLOOKUP(I1458,$C$3:$L$6,6,0)/12),0))</f>
        <v/>
      </c>
      <c r="K1458" s="29" t="str">
        <f ca="1">IF(C1458&lt;&gt;"",IF(I1458&lt;&gt;"",IF(ISERROR(VLOOKUP(I1458,$C$3:$L$6,10,0)),"",VLOOKUP(I1458,$C$3:$L$6,10,0)+J1458+IF(OR(VLOOKUP(I1458,$C$3:$L$6,5,0)=Variables!$B$5,B1458&gt;VLOOKUP(I1458,$C$3:$L$6,8,0)),IF(VLOOKUP(I1458,$C$3:$L$6,5,0)=Variables!$B$5,((YEAR(B1458)-YEAR($B$12))*12+MONTH(B1458)-MONTH($B$12)),((YEAR(B1458)-YEAR(VLOOKUP(I1458,$C$3:$L$6,8,0)))*12+MONTH(B1458)-MONTH(VLOOKUP(I1458,$C$3:$L$6,8,0))))*VLOOKUP(I1458,$C$3:$L$6,7,0),0)),""),"")</f>
        <v/>
      </c>
      <c r="L1458" s="29" t="str">
        <f t="shared" ca="1" si="124"/>
        <v/>
      </c>
    </row>
    <row r="1459" spans="2:12" x14ac:dyDescent="0.25">
      <c r="B1459" s="14" t="str">
        <f t="shared" ca="1" si="125"/>
        <v/>
      </c>
      <c r="C1459" s="14" t="str">
        <f ca="1">IF(I1458&lt;&gt;Variables!$B$1,IF(H1458&lt;&gt;0,C1458,I1458),"")</f>
        <v/>
      </c>
      <c r="D1459" s="29" t="str">
        <f t="shared" ca="1" si="122"/>
        <v/>
      </c>
      <c r="E1459" s="29" t="str">
        <f t="shared" ca="1" si="123"/>
        <v/>
      </c>
      <c r="F1459" s="29" t="str">
        <f ca="1">IF(C1459&lt;&gt;"",IF(OR(VLOOKUP(C1459,$C$3:$L$6,5,0)=Variables!$B$5,B1459&gt;VLOOKUP(C1459,$C$3:$L$6,8,0)),-D1459*VLOOKUP(C1459,$C$3:$L$6,6,0)/12,0),"")</f>
        <v/>
      </c>
      <c r="G1459" s="29" t="str">
        <f ca="1">IF(I1459&lt;&gt;Variables!$B$1,IF(C1459&lt;&gt;"",$I$9-E1459-F1459,""),-D1459)</f>
        <v/>
      </c>
      <c r="H1459" s="29" t="str">
        <f t="shared" ca="1" si="126"/>
        <v/>
      </c>
      <c r="I1459" s="31" t="str">
        <f ca="1">IF(C1459&lt;&gt;"",IF(D1459+$I$9-E1459-F1459&gt;=0,IF(ISERROR(INDEX($C$3:$C$6,MATCH(C1459,$C$3:$C$6,0)+1,0)),Variables!$B$1,INDEX($C$3:$C$6,MATCH(C1459,$C$3:$C$6,0)+1,0)),""),"")</f>
        <v/>
      </c>
      <c r="J1459" s="29" t="str">
        <f ca="1">IF(ISERROR(VLOOKUP(I1459,$C$3:$L$6,5,0)),"",IF(OR(VLOOKUP(I1459,$C$3:$L$6,5,0)=Variables!$B$5,B1459&gt;VLOOKUP(I1459,$C$3:$L$6,8,0)),IF(VLOOKUP(I1459,$C$3:$L$6,5,0)=Variables!$B$5,((YEAR(B1459)-YEAR($B$12))*12+MONTH(B1459)-MONTH($B$12)),((YEAR(B1459)-YEAR(VLOOKUP(I1459,$C$3:$L$6,8,0)))*12+MONTH(B1459)-MONTH(VLOOKUP(I1459,$C$3:$L$6,8,0))))*(VLOOKUP(I1459,$C$3:$L$6,10,0)*VLOOKUP(I1459,$C$3:$L$6,6,0)/12),0))</f>
        <v/>
      </c>
      <c r="K1459" s="29" t="str">
        <f ca="1">IF(C1459&lt;&gt;"",IF(I1459&lt;&gt;"",IF(ISERROR(VLOOKUP(I1459,$C$3:$L$6,10,0)),"",VLOOKUP(I1459,$C$3:$L$6,10,0)+J1459+IF(OR(VLOOKUP(I1459,$C$3:$L$6,5,0)=Variables!$B$5,B1459&gt;VLOOKUP(I1459,$C$3:$L$6,8,0)),IF(VLOOKUP(I1459,$C$3:$L$6,5,0)=Variables!$B$5,((YEAR(B1459)-YEAR($B$12))*12+MONTH(B1459)-MONTH($B$12)),((YEAR(B1459)-YEAR(VLOOKUP(I1459,$C$3:$L$6,8,0)))*12+MONTH(B1459)-MONTH(VLOOKUP(I1459,$C$3:$L$6,8,0))))*VLOOKUP(I1459,$C$3:$L$6,7,0),0)),""),"")</f>
        <v/>
      </c>
      <c r="L1459" s="29" t="str">
        <f t="shared" ca="1" si="124"/>
        <v/>
      </c>
    </row>
    <row r="1460" spans="2:12" x14ac:dyDescent="0.25">
      <c r="B1460" s="14" t="str">
        <f t="shared" ca="1" si="125"/>
        <v/>
      </c>
      <c r="C1460" s="14" t="str">
        <f ca="1">IF(I1459&lt;&gt;Variables!$B$1,IF(H1459&lt;&gt;0,C1459,I1459),"")</f>
        <v/>
      </c>
      <c r="D1460" s="29" t="str">
        <f t="shared" ca="1" si="122"/>
        <v/>
      </c>
      <c r="E1460" s="29" t="str">
        <f t="shared" ca="1" si="123"/>
        <v/>
      </c>
      <c r="F1460" s="29" t="str">
        <f ca="1">IF(C1460&lt;&gt;"",IF(OR(VLOOKUP(C1460,$C$3:$L$6,5,0)=Variables!$B$5,B1460&gt;VLOOKUP(C1460,$C$3:$L$6,8,0)),-D1460*VLOOKUP(C1460,$C$3:$L$6,6,0)/12,0),"")</f>
        <v/>
      </c>
      <c r="G1460" s="29" t="str">
        <f ca="1">IF(I1460&lt;&gt;Variables!$B$1,IF(C1460&lt;&gt;"",$I$9-E1460-F1460,""),-D1460)</f>
        <v/>
      </c>
      <c r="H1460" s="29" t="str">
        <f t="shared" ca="1" si="126"/>
        <v/>
      </c>
      <c r="I1460" s="31" t="str">
        <f ca="1">IF(C1460&lt;&gt;"",IF(D1460+$I$9-E1460-F1460&gt;=0,IF(ISERROR(INDEX($C$3:$C$6,MATCH(C1460,$C$3:$C$6,0)+1,0)),Variables!$B$1,INDEX($C$3:$C$6,MATCH(C1460,$C$3:$C$6,0)+1,0)),""),"")</f>
        <v/>
      </c>
      <c r="J1460" s="29" t="str">
        <f ca="1">IF(ISERROR(VLOOKUP(I1460,$C$3:$L$6,5,0)),"",IF(OR(VLOOKUP(I1460,$C$3:$L$6,5,0)=Variables!$B$5,B1460&gt;VLOOKUP(I1460,$C$3:$L$6,8,0)),IF(VLOOKUP(I1460,$C$3:$L$6,5,0)=Variables!$B$5,((YEAR(B1460)-YEAR($B$12))*12+MONTH(B1460)-MONTH($B$12)),((YEAR(B1460)-YEAR(VLOOKUP(I1460,$C$3:$L$6,8,0)))*12+MONTH(B1460)-MONTH(VLOOKUP(I1460,$C$3:$L$6,8,0))))*(VLOOKUP(I1460,$C$3:$L$6,10,0)*VLOOKUP(I1460,$C$3:$L$6,6,0)/12),0))</f>
        <v/>
      </c>
      <c r="K1460" s="29" t="str">
        <f ca="1">IF(C1460&lt;&gt;"",IF(I1460&lt;&gt;"",IF(ISERROR(VLOOKUP(I1460,$C$3:$L$6,10,0)),"",VLOOKUP(I1460,$C$3:$L$6,10,0)+J1460+IF(OR(VLOOKUP(I1460,$C$3:$L$6,5,0)=Variables!$B$5,B1460&gt;VLOOKUP(I1460,$C$3:$L$6,8,0)),IF(VLOOKUP(I1460,$C$3:$L$6,5,0)=Variables!$B$5,((YEAR(B1460)-YEAR($B$12))*12+MONTH(B1460)-MONTH($B$12)),((YEAR(B1460)-YEAR(VLOOKUP(I1460,$C$3:$L$6,8,0)))*12+MONTH(B1460)-MONTH(VLOOKUP(I1460,$C$3:$L$6,8,0))))*VLOOKUP(I1460,$C$3:$L$6,7,0),0)),""),"")</f>
        <v/>
      </c>
      <c r="L1460" s="29" t="str">
        <f t="shared" ca="1" si="124"/>
        <v/>
      </c>
    </row>
    <row r="1461" spans="2:12" x14ac:dyDescent="0.25">
      <c r="B1461" s="14" t="str">
        <f t="shared" ca="1" si="125"/>
        <v/>
      </c>
      <c r="C1461" s="14" t="str">
        <f ca="1">IF(I1460&lt;&gt;Variables!$B$1,IF(H1460&lt;&gt;0,C1460,I1460),"")</f>
        <v/>
      </c>
      <c r="D1461" s="29" t="str">
        <f t="shared" ca="1" si="122"/>
        <v/>
      </c>
      <c r="E1461" s="29" t="str">
        <f t="shared" ca="1" si="123"/>
        <v/>
      </c>
      <c r="F1461" s="29" t="str">
        <f ca="1">IF(C1461&lt;&gt;"",IF(OR(VLOOKUP(C1461,$C$3:$L$6,5,0)=Variables!$B$5,B1461&gt;VLOOKUP(C1461,$C$3:$L$6,8,0)),-D1461*VLOOKUP(C1461,$C$3:$L$6,6,0)/12,0),"")</f>
        <v/>
      </c>
      <c r="G1461" s="29" t="str">
        <f ca="1">IF(I1461&lt;&gt;Variables!$B$1,IF(C1461&lt;&gt;"",$I$9-E1461-F1461,""),-D1461)</f>
        <v/>
      </c>
      <c r="H1461" s="29" t="str">
        <f t="shared" ca="1" si="126"/>
        <v/>
      </c>
      <c r="I1461" s="31" t="str">
        <f ca="1">IF(C1461&lt;&gt;"",IF(D1461+$I$9-E1461-F1461&gt;=0,IF(ISERROR(INDEX($C$3:$C$6,MATCH(C1461,$C$3:$C$6,0)+1,0)),Variables!$B$1,INDEX($C$3:$C$6,MATCH(C1461,$C$3:$C$6,0)+1,0)),""),"")</f>
        <v/>
      </c>
      <c r="J1461" s="29" t="str">
        <f ca="1">IF(ISERROR(VLOOKUP(I1461,$C$3:$L$6,5,0)),"",IF(OR(VLOOKUP(I1461,$C$3:$L$6,5,0)=Variables!$B$5,B1461&gt;VLOOKUP(I1461,$C$3:$L$6,8,0)),IF(VLOOKUP(I1461,$C$3:$L$6,5,0)=Variables!$B$5,((YEAR(B1461)-YEAR($B$12))*12+MONTH(B1461)-MONTH($B$12)),((YEAR(B1461)-YEAR(VLOOKUP(I1461,$C$3:$L$6,8,0)))*12+MONTH(B1461)-MONTH(VLOOKUP(I1461,$C$3:$L$6,8,0))))*(VLOOKUP(I1461,$C$3:$L$6,10,0)*VLOOKUP(I1461,$C$3:$L$6,6,0)/12),0))</f>
        <v/>
      </c>
      <c r="K1461" s="29" t="str">
        <f ca="1">IF(C1461&lt;&gt;"",IF(I1461&lt;&gt;"",IF(ISERROR(VLOOKUP(I1461,$C$3:$L$6,10,0)),"",VLOOKUP(I1461,$C$3:$L$6,10,0)+J1461+IF(OR(VLOOKUP(I1461,$C$3:$L$6,5,0)=Variables!$B$5,B1461&gt;VLOOKUP(I1461,$C$3:$L$6,8,0)),IF(VLOOKUP(I1461,$C$3:$L$6,5,0)=Variables!$B$5,((YEAR(B1461)-YEAR($B$12))*12+MONTH(B1461)-MONTH($B$12)),((YEAR(B1461)-YEAR(VLOOKUP(I1461,$C$3:$L$6,8,0)))*12+MONTH(B1461)-MONTH(VLOOKUP(I1461,$C$3:$L$6,8,0))))*VLOOKUP(I1461,$C$3:$L$6,7,0),0)),""),"")</f>
        <v/>
      </c>
      <c r="L1461" s="29" t="str">
        <f t="shared" ca="1" si="124"/>
        <v/>
      </c>
    </row>
    <row r="1462" spans="2:12" x14ac:dyDescent="0.25">
      <c r="B1462" s="14" t="str">
        <f t="shared" ca="1" si="125"/>
        <v/>
      </c>
      <c r="C1462" s="14" t="str">
        <f ca="1">IF(I1461&lt;&gt;Variables!$B$1,IF(H1461&lt;&gt;0,C1461,I1461),"")</f>
        <v/>
      </c>
      <c r="D1462" s="29" t="str">
        <f t="shared" ca="1" si="122"/>
        <v/>
      </c>
      <c r="E1462" s="29" t="str">
        <f t="shared" ca="1" si="123"/>
        <v/>
      </c>
      <c r="F1462" s="29" t="str">
        <f ca="1">IF(C1462&lt;&gt;"",IF(OR(VLOOKUP(C1462,$C$3:$L$6,5,0)=Variables!$B$5,B1462&gt;VLOOKUP(C1462,$C$3:$L$6,8,0)),-D1462*VLOOKUP(C1462,$C$3:$L$6,6,0)/12,0),"")</f>
        <v/>
      </c>
      <c r="G1462" s="29" t="str">
        <f ca="1">IF(I1462&lt;&gt;Variables!$B$1,IF(C1462&lt;&gt;"",$I$9-E1462-F1462,""),-D1462)</f>
        <v/>
      </c>
      <c r="H1462" s="29" t="str">
        <f t="shared" ca="1" si="126"/>
        <v/>
      </c>
      <c r="I1462" s="31" t="str">
        <f ca="1">IF(C1462&lt;&gt;"",IF(D1462+$I$9-E1462-F1462&gt;=0,IF(ISERROR(INDEX($C$3:$C$6,MATCH(C1462,$C$3:$C$6,0)+1,0)),Variables!$B$1,INDEX($C$3:$C$6,MATCH(C1462,$C$3:$C$6,0)+1,0)),""),"")</f>
        <v/>
      </c>
      <c r="J1462" s="29" t="str">
        <f ca="1">IF(ISERROR(VLOOKUP(I1462,$C$3:$L$6,5,0)),"",IF(OR(VLOOKUP(I1462,$C$3:$L$6,5,0)=Variables!$B$5,B1462&gt;VLOOKUP(I1462,$C$3:$L$6,8,0)),IF(VLOOKUP(I1462,$C$3:$L$6,5,0)=Variables!$B$5,((YEAR(B1462)-YEAR($B$12))*12+MONTH(B1462)-MONTH($B$12)),((YEAR(B1462)-YEAR(VLOOKUP(I1462,$C$3:$L$6,8,0)))*12+MONTH(B1462)-MONTH(VLOOKUP(I1462,$C$3:$L$6,8,0))))*(VLOOKUP(I1462,$C$3:$L$6,10,0)*VLOOKUP(I1462,$C$3:$L$6,6,0)/12),0))</f>
        <v/>
      </c>
      <c r="K1462" s="29" t="str">
        <f ca="1">IF(C1462&lt;&gt;"",IF(I1462&lt;&gt;"",IF(ISERROR(VLOOKUP(I1462,$C$3:$L$6,10,0)),"",VLOOKUP(I1462,$C$3:$L$6,10,0)+J1462+IF(OR(VLOOKUP(I1462,$C$3:$L$6,5,0)=Variables!$B$5,B1462&gt;VLOOKUP(I1462,$C$3:$L$6,8,0)),IF(VLOOKUP(I1462,$C$3:$L$6,5,0)=Variables!$B$5,((YEAR(B1462)-YEAR($B$12))*12+MONTH(B1462)-MONTH($B$12)),((YEAR(B1462)-YEAR(VLOOKUP(I1462,$C$3:$L$6,8,0)))*12+MONTH(B1462)-MONTH(VLOOKUP(I1462,$C$3:$L$6,8,0))))*VLOOKUP(I1462,$C$3:$L$6,7,0),0)),""),"")</f>
        <v/>
      </c>
      <c r="L1462" s="29" t="str">
        <f t="shared" ca="1" si="124"/>
        <v/>
      </c>
    </row>
    <row r="1463" spans="2:12" x14ac:dyDescent="0.25">
      <c r="B1463" s="14" t="str">
        <f t="shared" ca="1" si="125"/>
        <v/>
      </c>
      <c r="C1463" s="14" t="str">
        <f ca="1">IF(I1462&lt;&gt;Variables!$B$1,IF(H1462&lt;&gt;0,C1462,I1462),"")</f>
        <v/>
      </c>
      <c r="D1463" s="29" t="str">
        <f t="shared" ca="1" si="122"/>
        <v/>
      </c>
      <c r="E1463" s="29" t="str">
        <f t="shared" ca="1" si="123"/>
        <v/>
      </c>
      <c r="F1463" s="29" t="str">
        <f ca="1">IF(C1463&lt;&gt;"",IF(OR(VLOOKUP(C1463,$C$3:$L$6,5,0)=Variables!$B$5,B1463&gt;VLOOKUP(C1463,$C$3:$L$6,8,0)),-D1463*VLOOKUP(C1463,$C$3:$L$6,6,0)/12,0),"")</f>
        <v/>
      </c>
      <c r="G1463" s="29" t="str">
        <f ca="1">IF(I1463&lt;&gt;Variables!$B$1,IF(C1463&lt;&gt;"",$I$9-E1463-F1463,""),-D1463)</f>
        <v/>
      </c>
      <c r="H1463" s="29" t="str">
        <f t="shared" ca="1" si="126"/>
        <v/>
      </c>
      <c r="I1463" s="31" t="str">
        <f ca="1">IF(C1463&lt;&gt;"",IF(D1463+$I$9-E1463-F1463&gt;=0,IF(ISERROR(INDEX($C$3:$C$6,MATCH(C1463,$C$3:$C$6,0)+1,0)),Variables!$B$1,INDEX($C$3:$C$6,MATCH(C1463,$C$3:$C$6,0)+1,0)),""),"")</f>
        <v/>
      </c>
      <c r="J1463" s="29" t="str">
        <f ca="1">IF(ISERROR(VLOOKUP(I1463,$C$3:$L$6,5,0)),"",IF(OR(VLOOKUP(I1463,$C$3:$L$6,5,0)=Variables!$B$5,B1463&gt;VLOOKUP(I1463,$C$3:$L$6,8,0)),IF(VLOOKUP(I1463,$C$3:$L$6,5,0)=Variables!$B$5,((YEAR(B1463)-YEAR($B$12))*12+MONTH(B1463)-MONTH($B$12)),((YEAR(B1463)-YEAR(VLOOKUP(I1463,$C$3:$L$6,8,0)))*12+MONTH(B1463)-MONTH(VLOOKUP(I1463,$C$3:$L$6,8,0))))*(VLOOKUP(I1463,$C$3:$L$6,10,0)*VLOOKUP(I1463,$C$3:$L$6,6,0)/12),0))</f>
        <v/>
      </c>
      <c r="K1463" s="29" t="str">
        <f ca="1">IF(C1463&lt;&gt;"",IF(I1463&lt;&gt;"",IF(ISERROR(VLOOKUP(I1463,$C$3:$L$6,10,0)),"",VLOOKUP(I1463,$C$3:$L$6,10,0)+J1463+IF(OR(VLOOKUP(I1463,$C$3:$L$6,5,0)=Variables!$B$5,B1463&gt;VLOOKUP(I1463,$C$3:$L$6,8,0)),IF(VLOOKUP(I1463,$C$3:$L$6,5,0)=Variables!$B$5,((YEAR(B1463)-YEAR($B$12))*12+MONTH(B1463)-MONTH($B$12)),((YEAR(B1463)-YEAR(VLOOKUP(I1463,$C$3:$L$6,8,0)))*12+MONTH(B1463)-MONTH(VLOOKUP(I1463,$C$3:$L$6,8,0))))*VLOOKUP(I1463,$C$3:$L$6,7,0),0)),""),"")</f>
        <v/>
      </c>
      <c r="L1463" s="29" t="str">
        <f t="shared" ca="1" si="124"/>
        <v/>
      </c>
    </row>
    <row r="1464" spans="2:12" x14ac:dyDescent="0.25">
      <c r="B1464" s="14" t="str">
        <f t="shared" ca="1" si="125"/>
        <v/>
      </c>
      <c r="C1464" s="14" t="str">
        <f ca="1">IF(I1463&lt;&gt;Variables!$B$1,IF(H1463&lt;&gt;0,C1463,I1463),"")</f>
        <v/>
      </c>
      <c r="D1464" s="29" t="str">
        <f t="shared" ca="1" si="122"/>
        <v/>
      </c>
      <c r="E1464" s="29" t="str">
        <f t="shared" ca="1" si="123"/>
        <v/>
      </c>
      <c r="F1464" s="29" t="str">
        <f ca="1">IF(C1464&lt;&gt;"",IF(OR(VLOOKUP(C1464,$C$3:$L$6,5,0)=Variables!$B$5,B1464&gt;VLOOKUP(C1464,$C$3:$L$6,8,0)),-D1464*VLOOKUP(C1464,$C$3:$L$6,6,0)/12,0),"")</f>
        <v/>
      </c>
      <c r="G1464" s="29" t="str">
        <f ca="1">IF(I1464&lt;&gt;Variables!$B$1,IF(C1464&lt;&gt;"",$I$9-E1464-F1464,""),-D1464)</f>
        <v/>
      </c>
      <c r="H1464" s="29" t="str">
        <f t="shared" ca="1" si="126"/>
        <v/>
      </c>
      <c r="I1464" s="31" t="str">
        <f ca="1">IF(C1464&lt;&gt;"",IF(D1464+$I$9-E1464-F1464&gt;=0,IF(ISERROR(INDEX($C$3:$C$6,MATCH(C1464,$C$3:$C$6,0)+1,0)),Variables!$B$1,INDEX($C$3:$C$6,MATCH(C1464,$C$3:$C$6,0)+1,0)),""),"")</f>
        <v/>
      </c>
      <c r="J1464" s="29" t="str">
        <f ca="1">IF(ISERROR(VLOOKUP(I1464,$C$3:$L$6,5,0)),"",IF(OR(VLOOKUP(I1464,$C$3:$L$6,5,0)=Variables!$B$5,B1464&gt;VLOOKUP(I1464,$C$3:$L$6,8,0)),IF(VLOOKUP(I1464,$C$3:$L$6,5,0)=Variables!$B$5,((YEAR(B1464)-YEAR($B$12))*12+MONTH(B1464)-MONTH($B$12)),((YEAR(B1464)-YEAR(VLOOKUP(I1464,$C$3:$L$6,8,0)))*12+MONTH(B1464)-MONTH(VLOOKUP(I1464,$C$3:$L$6,8,0))))*(VLOOKUP(I1464,$C$3:$L$6,10,0)*VLOOKUP(I1464,$C$3:$L$6,6,0)/12),0))</f>
        <v/>
      </c>
      <c r="K1464" s="29" t="str">
        <f ca="1">IF(C1464&lt;&gt;"",IF(I1464&lt;&gt;"",IF(ISERROR(VLOOKUP(I1464,$C$3:$L$6,10,0)),"",VLOOKUP(I1464,$C$3:$L$6,10,0)+J1464+IF(OR(VLOOKUP(I1464,$C$3:$L$6,5,0)=Variables!$B$5,B1464&gt;VLOOKUP(I1464,$C$3:$L$6,8,0)),IF(VLOOKUP(I1464,$C$3:$L$6,5,0)=Variables!$B$5,((YEAR(B1464)-YEAR($B$12))*12+MONTH(B1464)-MONTH($B$12)),((YEAR(B1464)-YEAR(VLOOKUP(I1464,$C$3:$L$6,8,0)))*12+MONTH(B1464)-MONTH(VLOOKUP(I1464,$C$3:$L$6,8,0))))*VLOOKUP(I1464,$C$3:$L$6,7,0),0)),""),"")</f>
        <v/>
      </c>
      <c r="L1464" s="29" t="str">
        <f t="shared" ca="1" si="124"/>
        <v/>
      </c>
    </row>
    <row r="1465" spans="2:12" x14ac:dyDescent="0.25">
      <c r="B1465" s="14" t="str">
        <f t="shared" ca="1" si="125"/>
        <v/>
      </c>
      <c r="C1465" s="14" t="str">
        <f ca="1">IF(I1464&lt;&gt;Variables!$B$1,IF(H1464&lt;&gt;0,C1464,I1464),"")</f>
        <v/>
      </c>
      <c r="D1465" s="29" t="str">
        <f t="shared" ca="1" si="122"/>
        <v/>
      </c>
      <c r="E1465" s="29" t="str">
        <f t="shared" ca="1" si="123"/>
        <v/>
      </c>
      <c r="F1465" s="29" t="str">
        <f ca="1">IF(C1465&lt;&gt;"",IF(OR(VLOOKUP(C1465,$C$3:$L$6,5,0)=Variables!$B$5,B1465&gt;VLOOKUP(C1465,$C$3:$L$6,8,0)),-D1465*VLOOKUP(C1465,$C$3:$L$6,6,0)/12,0),"")</f>
        <v/>
      </c>
      <c r="G1465" s="29" t="str">
        <f ca="1">IF(I1465&lt;&gt;Variables!$B$1,IF(C1465&lt;&gt;"",$I$9-E1465-F1465,""),-D1465)</f>
        <v/>
      </c>
      <c r="H1465" s="29" t="str">
        <f t="shared" ca="1" si="126"/>
        <v/>
      </c>
      <c r="I1465" s="31" t="str">
        <f ca="1">IF(C1465&lt;&gt;"",IF(D1465+$I$9-E1465-F1465&gt;=0,IF(ISERROR(INDEX($C$3:$C$6,MATCH(C1465,$C$3:$C$6,0)+1,0)),Variables!$B$1,INDEX($C$3:$C$6,MATCH(C1465,$C$3:$C$6,0)+1,0)),""),"")</f>
        <v/>
      </c>
      <c r="J1465" s="29" t="str">
        <f ca="1">IF(ISERROR(VLOOKUP(I1465,$C$3:$L$6,5,0)),"",IF(OR(VLOOKUP(I1465,$C$3:$L$6,5,0)=Variables!$B$5,B1465&gt;VLOOKUP(I1465,$C$3:$L$6,8,0)),IF(VLOOKUP(I1465,$C$3:$L$6,5,0)=Variables!$B$5,((YEAR(B1465)-YEAR($B$12))*12+MONTH(B1465)-MONTH($B$12)),((YEAR(B1465)-YEAR(VLOOKUP(I1465,$C$3:$L$6,8,0)))*12+MONTH(B1465)-MONTH(VLOOKUP(I1465,$C$3:$L$6,8,0))))*(VLOOKUP(I1465,$C$3:$L$6,10,0)*VLOOKUP(I1465,$C$3:$L$6,6,0)/12),0))</f>
        <v/>
      </c>
      <c r="K1465" s="29" t="str">
        <f ca="1">IF(C1465&lt;&gt;"",IF(I1465&lt;&gt;"",IF(ISERROR(VLOOKUP(I1465,$C$3:$L$6,10,0)),"",VLOOKUP(I1465,$C$3:$L$6,10,0)+J1465+IF(OR(VLOOKUP(I1465,$C$3:$L$6,5,0)=Variables!$B$5,B1465&gt;VLOOKUP(I1465,$C$3:$L$6,8,0)),IF(VLOOKUP(I1465,$C$3:$L$6,5,0)=Variables!$B$5,((YEAR(B1465)-YEAR($B$12))*12+MONTH(B1465)-MONTH($B$12)),((YEAR(B1465)-YEAR(VLOOKUP(I1465,$C$3:$L$6,8,0)))*12+MONTH(B1465)-MONTH(VLOOKUP(I1465,$C$3:$L$6,8,0))))*VLOOKUP(I1465,$C$3:$L$6,7,0),0)),""),"")</f>
        <v/>
      </c>
      <c r="L1465" s="29" t="str">
        <f t="shared" ca="1" si="124"/>
        <v/>
      </c>
    </row>
    <row r="1466" spans="2:12" x14ac:dyDescent="0.25">
      <c r="B1466" s="14" t="str">
        <f t="shared" ca="1" si="125"/>
        <v/>
      </c>
      <c r="C1466" s="14" t="str">
        <f ca="1">IF(I1465&lt;&gt;Variables!$B$1,IF(H1465&lt;&gt;0,C1465,I1465),"")</f>
        <v/>
      </c>
      <c r="D1466" s="29" t="str">
        <f t="shared" ca="1" si="122"/>
        <v/>
      </c>
      <c r="E1466" s="29" t="str">
        <f t="shared" ca="1" si="123"/>
        <v/>
      </c>
      <c r="F1466" s="29" t="str">
        <f ca="1">IF(C1466&lt;&gt;"",IF(OR(VLOOKUP(C1466,$C$3:$L$6,5,0)=Variables!$B$5,B1466&gt;VLOOKUP(C1466,$C$3:$L$6,8,0)),-D1466*VLOOKUP(C1466,$C$3:$L$6,6,0)/12,0),"")</f>
        <v/>
      </c>
      <c r="G1466" s="29" t="str">
        <f ca="1">IF(I1466&lt;&gt;Variables!$B$1,IF(C1466&lt;&gt;"",$I$9-E1466-F1466,""),-D1466)</f>
        <v/>
      </c>
      <c r="H1466" s="29" t="str">
        <f t="shared" ca="1" si="126"/>
        <v/>
      </c>
      <c r="I1466" s="31" t="str">
        <f ca="1">IF(C1466&lt;&gt;"",IF(D1466+$I$9-E1466-F1466&gt;=0,IF(ISERROR(INDEX($C$3:$C$6,MATCH(C1466,$C$3:$C$6,0)+1,0)),Variables!$B$1,INDEX($C$3:$C$6,MATCH(C1466,$C$3:$C$6,0)+1,0)),""),"")</f>
        <v/>
      </c>
      <c r="J1466" s="29" t="str">
        <f ca="1">IF(ISERROR(VLOOKUP(I1466,$C$3:$L$6,5,0)),"",IF(OR(VLOOKUP(I1466,$C$3:$L$6,5,0)=Variables!$B$5,B1466&gt;VLOOKUP(I1466,$C$3:$L$6,8,0)),IF(VLOOKUP(I1466,$C$3:$L$6,5,0)=Variables!$B$5,((YEAR(B1466)-YEAR($B$12))*12+MONTH(B1466)-MONTH($B$12)),((YEAR(B1466)-YEAR(VLOOKUP(I1466,$C$3:$L$6,8,0)))*12+MONTH(B1466)-MONTH(VLOOKUP(I1466,$C$3:$L$6,8,0))))*(VLOOKUP(I1466,$C$3:$L$6,10,0)*VLOOKUP(I1466,$C$3:$L$6,6,0)/12),0))</f>
        <v/>
      </c>
      <c r="K1466" s="29" t="str">
        <f ca="1">IF(C1466&lt;&gt;"",IF(I1466&lt;&gt;"",IF(ISERROR(VLOOKUP(I1466,$C$3:$L$6,10,0)),"",VLOOKUP(I1466,$C$3:$L$6,10,0)+J1466+IF(OR(VLOOKUP(I1466,$C$3:$L$6,5,0)=Variables!$B$5,B1466&gt;VLOOKUP(I1466,$C$3:$L$6,8,0)),IF(VLOOKUP(I1466,$C$3:$L$6,5,0)=Variables!$B$5,((YEAR(B1466)-YEAR($B$12))*12+MONTH(B1466)-MONTH($B$12)),((YEAR(B1466)-YEAR(VLOOKUP(I1466,$C$3:$L$6,8,0)))*12+MONTH(B1466)-MONTH(VLOOKUP(I1466,$C$3:$L$6,8,0))))*VLOOKUP(I1466,$C$3:$L$6,7,0),0)),""),"")</f>
        <v/>
      </c>
      <c r="L1466" s="29" t="str">
        <f t="shared" ca="1" si="124"/>
        <v/>
      </c>
    </row>
    <row r="1467" spans="2:12" x14ac:dyDescent="0.25">
      <c r="B1467" s="14" t="str">
        <f t="shared" ca="1" si="125"/>
        <v/>
      </c>
      <c r="C1467" s="14" t="str">
        <f ca="1">IF(I1466&lt;&gt;Variables!$B$1,IF(H1466&lt;&gt;0,C1466,I1466),"")</f>
        <v/>
      </c>
      <c r="D1467" s="29" t="str">
        <f t="shared" ca="1" si="122"/>
        <v/>
      </c>
      <c r="E1467" s="29" t="str">
        <f t="shared" ca="1" si="123"/>
        <v/>
      </c>
      <c r="F1467" s="29" t="str">
        <f ca="1">IF(C1467&lt;&gt;"",IF(OR(VLOOKUP(C1467,$C$3:$L$6,5,0)=Variables!$B$5,B1467&gt;VLOOKUP(C1467,$C$3:$L$6,8,0)),-D1467*VLOOKUP(C1467,$C$3:$L$6,6,0)/12,0),"")</f>
        <v/>
      </c>
      <c r="G1467" s="29" t="str">
        <f ca="1">IF(I1467&lt;&gt;Variables!$B$1,IF(C1467&lt;&gt;"",$I$9-E1467-F1467,""),-D1467)</f>
        <v/>
      </c>
      <c r="H1467" s="29" t="str">
        <f t="shared" ca="1" si="126"/>
        <v/>
      </c>
      <c r="I1467" s="31" t="str">
        <f ca="1">IF(C1467&lt;&gt;"",IF(D1467+$I$9-E1467-F1467&gt;=0,IF(ISERROR(INDEX($C$3:$C$6,MATCH(C1467,$C$3:$C$6,0)+1,0)),Variables!$B$1,INDEX($C$3:$C$6,MATCH(C1467,$C$3:$C$6,0)+1,0)),""),"")</f>
        <v/>
      </c>
      <c r="J1467" s="29" t="str">
        <f ca="1">IF(ISERROR(VLOOKUP(I1467,$C$3:$L$6,5,0)),"",IF(OR(VLOOKUP(I1467,$C$3:$L$6,5,0)=Variables!$B$5,B1467&gt;VLOOKUP(I1467,$C$3:$L$6,8,0)),IF(VLOOKUP(I1467,$C$3:$L$6,5,0)=Variables!$B$5,((YEAR(B1467)-YEAR($B$12))*12+MONTH(B1467)-MONTH($B$12)),((YEAR(B1467)-YEAR(VLOOKUP(I1467,$C$3:$L$6,8,0)))*12+MONTH(B1467)-MONTH(VLOOKUP(I1467,$C$3:$L$6,8,0))))*(VLOOKUP(I1467,$C$3:$L$6,10,0)*VLOOKUP(I1467,$C$3:$L$6,6,0)/12),0))</f>
        <v/>
      </c>
      <c r="K1467" s="29" t="str">
        <f ca="1">IF(C1467&lt;&gt;"",IF(I1467&lt;&gt;"",IF(ISERROR(VLOOKUP(I1467,$C$3:$L$6,10,0)),"",VLOOKUP(I1467,$C$3:$L$6,10,0)+J1467+IF(OR(VLOOKUP(I1467,$C$3:$L$6,5,0)=Variables!$B$5,B1467&gt;VLOOKUP(I1467,$C$3:$L$6,8,0)),IF(VLOOKUP(I1467,$C$3:$L$6,5,0)=Variables!$B$5,((YEAR(B1467)-YEAR($B$12))*12+MONTH(B1467)-MONTH($B$12)),((YEAR(B1467)-YEAR(VLOOKUP(I1467,$C$3:$L$6,8,0)))*12+MONTH(B1467)-MONTH(VLOOKUP(I1467,$C$3:$L$6,8,0))))*VLOOKUP(I1467,$C$3:$L$6,7,0),0)),""),"")</f>
        <v/>
      </c>
      <c r="L1467" s="29" t="str">
        <f t="shared" ca="1" si="124"/>
        <v/>
      </c>
    </row>
    <row r="1468" spans="2:12" x14ac:dyDescent="0.25">
      <c r="B1468" s="14" t="str">
        <f t="shared" ca="1" si="125"/>
        <v/>
      </c>
      <c r="C1468" s="14" t="str">
        <f ca="1">IF(I1467&lt;&gt;Variables!$B$1,IF(H1467&lt;&gt;0,C1467,I1467),"")</f>
        <v/>
      </c>
      <c r="D1468" s="29" t="str">
        <f t="shared" ca="1" si="122"/>
        <v/>
      </c>
      <c r="E1468" s="29" t="str">
        <f t="shared" ca="1" si="123"/>
        <v/>
      </c>
      <c r="F1468" s="29" t="str">
        <f ca="1">IF(C1468&lt;&gt;"",IF(OR(VLOOKUP(C1468,$C$3:$L$6,5,0)=Variables!$B$5,B1468&gt;VLOOKUP(C1468,$C$3:$L$6,8,0)),-D1468*VLOOKUP(C1468,$C$3:$L$6,6,0)/12,0),"")</f>
        <v/>
      </c>
      <c r="G1468" s="29" t="str">
        <f ca="1">IF(I1468&lt;&gt;Variables!$B$1,IF(C1468&lt;&gt;"",$I$9-E1468-F1468,""),-D1468)</f>
        <v/>
      </c>
      <c r="H1468" s="29" t="str">
        <f t="shared" ca="1" si="126"/>
        <v/>
      </c>
      <c r="I1468" s="31" t="str">
        <f ca="1">IF(C1468&lt;&gt;"",IF(D1468+$I$9-E1468-F1468&gt;=0,IF(ISERROR(INDEX($C$3:$C$6,MATCH(C1468,$C$3:$C$6,0)+1,0)),Variables!$B$1,INDEX($C$3:$C$6,MATCH(C1468,$C$3:$C$6,0)+1,0)),""),"")</f>
        <v/>
      </c>
      <c r="J1468" s="29" t="str">
        <f ca="1">IF(ISERROR(VLOOKUP(I1468,$C$3:$L$6,5,0)),"",IF(OR(VLOOKUP(I1468,$C$3:$L$6,5,0)=Variables!$B$5,B1468&gt;VLOOKUP(I1468,$C$3:$L$6,8,0)),IF(VLOOKUP(I1468,$C$3:$L$6,5,0)=Variables!$B$5,((YEAR(B1468)-YEAR($B$12))*12+MONTH(B1468)-MONTH($B$12)),((YEAR(B1468)-YEAR(VLOOKUP(I1468,$C$3:$L$6,8,0)))*12+MONTH(B1468)-MONTH(VLOOKUP(I1468,$C$3:$L$6,8,0))))*(VLOOKUP(I1468,$C$3:$L$6,10,0)*VLOOKUP(I1468,$C$3:$L$6,6,0)/12),0))</f>
        <v/>
      </c>
      <c r="K1468" s="29" t="str">
        <f ca="1">IF(C1468&lt;&gt;"",IF(I1468&lt;&gt;"",IF(ISERROR(VLOOKUP(I1468,$C$3:$L$6,10,0)),"",VLOOKUP(I1468,$C$3:$L$6,10,0)+J1468+IF(OR(VLOOKUP(I1468,$C$3:$L$6,5,0)=Variables!$B$5,B1468&gt;VLOOKUP(I1468,$C$3:$L$6,8,0)),IF(VLOOKUP(I1468,$C$3:$L$6,5,0)=Variables!$B$5,((YEAR(B1468)-YEAR($B$12))*12+MONTH(B1468)-MONTH($B$12)),((YEAR(B1468)-YEAR(VLOOKUP(I1468,$C$3:$L$6,8,0)))*12+MONTH(B1468)-MONTH(VLOOKUP(I1468,$C$3:$L$6,8,0))))*VLOOKUP(I1468,$C$3:$L$6,7,0),0)),""),"")</f>
        <v/>
      </c>
      <c r="L1468" s="29" t="str">
        <f t="shared" ca="1" si="124"/>
        <v/>
      </c>
    </row>
    <row r="1469" spans="2:12" x14ac:dyDescent="0.25">
      <c r="B1469" s="14" t="str">
        <f t="shared" ca="1" si="125"/>
        <v/>
      </c>
      <c r="C1469" s="14" t="str">
        <f ca="1">IF(I1468&lt;&gt;Variables!$B$1,IF(H1468&lt;&gt;0,C1468,I1468),"")</f>
        <v/>
      </c>
      <c r="D1469" s="29" t="str">
        <f t="shared" ca="1" si="122"/>
        <v/>
      </c>
      <c r="E1469" s="29" t="str">
        <f t="shared" ca="1" si="123"/>
        <v/>
      </c>
      <c r="F1469" s="29" t="str">
        <f ca="1">IF(C1469&lt;&gt;"",IF(OR(VLOOKUP(C1469,$C$3:$L$6,5,0)=Variables!$B$5,B1469&gt;VLOOKUP(C1469,$C$3:$L$6,8,0)),-D1469*VLOOKUP(C1469,$C$3:$L$6,6,0)/12,0),"")</f>
        <v/>
      </c>
      <c r="G1469" s="29" t="str">
        <f ca="1">IF(I1469&lt;&gt;Variables!$B$1,IF(C1469&lt;&gt;"",$I$9-E1469-F1469,""),-D1469)</f>
        <v/>
      </c>
      <c r="H1469" s="29" t="str">
        <f t="shared" ca="1" si="126"/>
        <v/>
      </c>
      <c r="I1469" s="31" t="str">
        <f ca="1">IF(C1469&lt;&gt;"",IF(D1469+$I$9-E1469-F1469&gt;=0,IF(ISERROR(INDEX($C$3:$C$6,MATCH(C1469,$C$3:$C$6,0)+1,0)),Variables!$B$1,INDEX($C$3:$C$6,MATCH(C1469,$C$3:$C$6,0)+1,0)),""),"")</f>
        <v/>
      </c>
      <c r="J1469" s="29" t="str">
        <f ca="1">IF(ISERROR(VLOOKUP(I1469,$C$3:$L$6,5,0)),"",IF(OR(VLOOKUP(I1469,$C$3:$L$6,5,0)=Variables!$B$5,B1469&gt;VLOOKUP(I1469,$C$3:$L$6,8,0)),IF(VLOOKUP(I1469,$C$3:$L$6,5,0)=Variables!$B$5,((YEAR(B1469)-YEAR($B$12))*12+MONTH(B1469)-MONTH($B$12)),((YEAR(B1469)-YEAR(VLOOKUP(I1469,$C$3:$L$6,8,0)))*12+MONTH(B1469)-MONTH(VLOOKUP(I1469,$C$3:$L$6,8,0))))*(VLOOKUP(I1469,$C$3:$L$6,10,0)*VLOOKUP(I1469,$C$3:$L$6,6,0)/12),0))</f>
        <v/>
      </c>
      <c r="K1469" s="29" t="str">
        <f ca="1">IF(C1469&lt;&gt;"",IF(I1469&lt;&gt;"",IF(ISERROR(VLOOKUP(I1469,$C$3:$L$6,10,0)),"",VLOOKUP(I1469,$C$3:$L$6,10,0)+J1469+IF(OR(VLOOKUP(I1469,$C$3:$L$6,5,0)=Variables!$B$5,B1469&gt;VLOOKUP(I1469,$C$3:$L$6,8,0)),IF(VLOOKUP(I1469,$C$3:$L$6,5,0)=Variables!$B$5,((YEAR(B1469)-YEAR($B$12))*12+MONTH(B1469)-MONTH($B$12)),((YEAR(B1469)-YEAR(VLOOKUP(I1469,$C$3:$L$6,8,0)))*12+MONTH(B1469)-MONTH(VLOOKUP(I1469,$C$3:$L$6,8,0))))*VLOOKUP(I1469,$C$3:$L$6,7,0),0)),""),"")</f>
        <v/>
      </c>
      <c r="L1469" s="29" t="str">
        <f t="shared" ca="1" si="124"/>
        <v/>
      </c>
    </row>
    <row r="1470" spans="2:12" x14ac:dyDescent="0.25">
      <c r="B1470" s="14" t="str">
        <f t="shared" ca="1" si="125"/>
        <v/>
      </c>
      <c r="C1470" s="14" t="str">
        <f ca="1">IF(I1469&lt;&gt;Variables!$B$1,IF(H1469&lt;&gt;0,C1469,I1469),"")</f>
        <v/>
      </c>
      <c r="D1470" s="29" t="str">
        <f t="shared" ca="1" si="122"/>
        <v/>
      </c>
      <c r="E1470" s="29" t="str">
        <f t="shared" ca="1" si="123"/>
        <v/>
      </c>
      <c r="F1470" s="29" t="str">
        <f ca="1">IF(C1470&lt;&gt;"",IF(OR(VLOOKUP(C1470,$C$3:$L$6,5,0)=Variables!$B$5,B1470&gt;VLOOKUP(C1470,$C$3:$L$6,8,0)),-D1470*VLOOKUP(C1470,$C$3:$L$6,6,0)/12,0),"")</f>
        <v/>
      </c>
      <c r="G1470" s="29" t="str">
        <f ca="1">IF(I1470&lt;&gt;Variables!$B$1,IF(C1470&lt;&gt;"",$I$9-E1470-F1470,""),-D1470)</f>
        <v/>
      </c>
      <c r="H1470" s="29" t="str">
        <f t="shared" ca="1" si="126"/>
        <v/>
      </c>
      <c r="I1470" s="31" t="str">
        <f ca="1">IF(C1470&lt;&gt;"",IF(D1470+$I$9-E1470-F1470&gt;=0,IF(ISERROR(INDEX($C$3:$C$6,MATCH(C1470,$C$3:$C$6,0)+1,0)),Variables!$B$1,INDEX($C$3:$C$6,MATCH(C1470,$C$3:$C$6,0)+1,0)),""),"")</f>
        <v/>
      </c>
      <c r="J1470" s="29" t="str">
        <f ca="1">IF(ISERROR(VLOOKUP(I1470,$C$3:$L$6,5,0)),"",IF(OR(VLOOKUP(I1470,$C$3:$L$6,5,0)=Variables!$B$5,B1470&gt;VLOOKUP(I1470,$C$3:$L$6,8,0)),IF(VLOOKUP(I1470,$C$3:$L$6,5,0)=Variables!$B$5,((YEAR(B1470)-YEAR($B$12))*12+MONTH(B1470)-MONTH($B$12)),((YEAR(B1470)-YEAR(VLOOKUP(I1470,$C$3:$L$6,8,0)))*12+MONTH(B1470)-MONTH(VLOOKUP(I1470,$C$3:$L$6,8,0))))*(VLOOKUP(I1470,$C$3:$L$6,10,0)*VLOOKUP(I1470,$C$3:$L$6,6,0)/12),0))</f>
        <v/>
      </c>
      <c r="K1470" s="29" t="str">
        <f ca="1">IF(C1470&lt;&gt;"",IF(I1470&lt;&gt;"",IF(ISERROR(VLOOKUP(I1470,$C$3:$L$6,10,0)),"",VLOOKUP(I1470,$C$3:$L$6,10,0)+J1470+IF(OR(VLOOKUP(I1470,$C$3:$L$6,5,0)=Variables!$B$5,B1470&gt;VLOOKUP(I1470,$C$3:$L$6,8,0)),IF(VLOOKUP(I1470,$C$3:$L$6,5,0)=Variables!$B$5,((YEAR(B1470)-YEAR($B$12))*12+MONTH(B1470)-MONTH($B$12)),((YEAR(B1470)-YEAR(VLOOKUP(I1470,$C$3:$L$6,8,0)))*12+MONTH(B1470)-MONTH(VLOOKUP(I1470,$C$3:$L$6,8,0))))*VLOOKUP(I1470,$C$3:$L$6,7,0),0)),""),"")</f>
        <v/>
      </c>
      <c r="L1470" s="29" t="str">
        <f t="shared" ca="1" si="124"/>
        <v/>
      </c>
    </row>
    <row r="1471" spans="2:12" x14ac:dyDescent="0.25">
      <c r="B1471" s="14" t="str">
        <f t="shared" ca="1" si="125"/>
        <v/>
      </c>
      <c r="C1471" s="14" t="str">
        <f ca="1">IF(I1470&lt;&gt;Variables!$B$1,IF(H1470&lt;&gt;0,C1470,I1470),"")</f>
        <v/>
      </c>
      <c r="D1471" s="29" t="str">
        <f t="shared" ca="1" si="122"/>
        <v/>
      </c>
      <c r="E1471" s="29" t="str">
        <f t="shared" ca="1" si="123"/>
        <v/>
      </c>
      <c r="F1471" s="29" t="str">
        <f ca="1">IF(C1471&lt;&gt;"",IF(OR(VLOOKUP(C1471,$C$3:$L$6,5,0)=Variables!$B$5,B1471&gt;VLOOKUP(C1471,$C$3:$L$6,8,0)),-D1471*VLOOKUP(C1471,$C$3:$L$6,6,0)/12,0),"")</f>
        <v/>
      </c>
      <c r="G1471" s="29" t="str">
        <f ca="1">IF(I1471&lt;&gt;Variables!$B$1,IF(C1471&lt;&gt;"",$I$9-E1471-F1471,""),-D1471)</f>
        <v/>
      </c>
      <c r="H1471" s="29" t="str">
        <f t="shared" ca="1" si="126"/>
        <v/>
      </c>
      <c r="I1471" s="31" t="str">
        <f ca="1">IF(C1471&lt;&gt;"",IF(D1471+$I$9-E1471-F1471&gt;=0,IF(ISERROR(INDEX($C$3:$C$6,MATCH(C1471,$C$3:$C$6,0)+1,0)),Variables!$B$1,INDEX($C$3:$C$6,MATCH(C1471,$C$3:$C$6,0)+1,0)),""),"")</f>
        <v/>
      </c>
      <c r="J1471" s="29" t="str">
        <f ca="1">IF(ISERROR(VLOOKUP(I1471,$C$3:$L$6,5,0)),"",IF(OR(VLOOKUP(I1471,$C$3:$L$6,5,0)=Variables!$B$5,B1471&gt;VLOOKUP(I1471,$C$3:$L$6,8,0)),IF(VLOOKUP(I1471,$C$3:$L$6,5,0)=Variables!$B$5,((YEAR(B1471)-YEAR($B$12))*12+MONTH(B1471)-MONTH($B$12)),((YEAR(B1471)-YEAR(VLOOKUP(I1471,$C$3:$L$6,8,0)))*12+MONTH(B1471)-MONTH(VLOOKUP(I1471,$C$3:$L$6,8,0))))*(VLOOKUP(I1471,$C$3:$L$6,10,0)*VLOOKUP(I1471,$C$3:$L$6,6,0)/12),0))</f>
        <v/>
      </c>
      <c r="K1471" s="29" t="str">
        <f ca="1">IF(C1471&lt;&gt;"",IF(I1471&lt;&gt;"",IF(ISERROR(VLOOKUP(I1471,$C$3:$L$6,10,0)),"",VLOOKUP(I1471,$C$3:$L$6,10,0)+J1471+IF(OR(VLOOKUP(I1471,$C$3:$L$6,5,0)=Variables!$B$5,B1471&gt;VLOOKUP(I1471,$C$3:$L$6,8,0)),IF(VLOOKUP(I1471,$C$3:$L$6,5,0)=Variables!$B$5,((YEAR(B1471)-YEAR($B$12))*12+MONTH(B1471)-MONTH($B$12)),((YEAR(B1471)-YEAR(VLOOKUP(I1471,$C$3:$L$6,8,0)))*12+MONTH(B1471)-MONTH(VLOOKUP(I1471,$C$3:$L$6,8,0))))*VLOOKUP(I1471,$C$3:$L$6,7,0),0)),""),"")</f>
        <v/>
      </c>
      <c r="L1471" s="29" t="str">
        <f t="shared" ca="1" si="124"/>
        <v/>
      </c>
    </row>
    <row r="1472" spans="2:12" x14ac:dyDescent="0.25">
      <c r="B1472" s="14" t="str">
        <f t="shared" ca="1" si="125"/>
        <v/>
      </c>
      <c r="C1472" s="14" t="str">
        <f ca="1">IF(I1471&lt;&gt;Variables!$B$1,IF(H1471&lt;&gt;0,C1471,I1471),"")</f>
        <v/>
      </c>
      <c r="D1472" s="29" t="str">
        <f t="shared" ca="1" si="122"/>
        <v/>
      </c>
      <c r="E1472" s="29" t="str">
        <f t="shared" ca="1" si="123"/>
        <v/>
      </c>
      <c r="F1472" s="29" t="str">
        <f ca="1">IF(C1472&lt;&gt;"",IF(OR(VLOOKUP(C1472,$C$3:$L$6,5,0)=Variables!$B$5,B1472&gt;VLOOKUP(C1472,$C$3:$L$6,8,0)),-D1472*VLOOKUP(C1472,$C$3:$L$6,6,0)/12,0),"")</f>
        <v/>
      </c>
      <c r="G1472" s="29" t="str">
        <f ca="1">IF(I1472&lt;&gt;Variables!$B$1,IF(C1472&lt;&gt;"",$I$9-E1472-F1472,""),-D1472)</f>
        <v/>
      </c>
      <c r="H1472" s="29" t="str">
        <f t="shared" ca="1" si="126"/>
        <v/>
      </c>
      <c r="I1472" s="31" t="str">
        <f ca="1">IF(C1472&lt;&gt;"",IF(D1472+$I$9-E1472-F1472&gt;=0,IF(ISERROR(INDEX($C$3:$C$6,MATCH(C1472,$C$3:$C$6,0)+1,0)),Variables!$B$1,INDEX($C$3:$C$6,MATCH(C1472,$C$3:$C$6,0)+1,0)),""),"")</f>
        <v/>
      </c>
      <c r="J1472" s="29" t="str">
        <f ca="1">IF(ISERROR(VLOOKUP(I1472,$C$3:$L$6,5,0)),"",IF(OR(VLOOKUP(I1472,$C$3:$L$6,5,0)=Variables!$B$5,B1472&gt;VLOOKUP(I1472,$C$3:$L$6,8,0)),IF(VLOOKUP(I1472,$C$3:$L$6,5,0)=Variables!$B$5,((YEAR(B1472)-YEAR($B$12))*12+MONTH(B1472)-MONTH($B$12)),((YEAR(B1472)-YEAR(VLOOKUP(I1472,$C$3:$L$6,8,0)))*12+MONTH(B1472)-MONTH(VLOOKUP(I1472,$C$3:$L$6,8,0))))*(VLOOKUP(I1472,$C$3:$L$6,10,0)*VLOOKUP(I1472,$C$3:$L$6,6,0)/12),0))</f>
        <v/>
      </c>
      <c r="K1472" s="29" t="str">
        <f ca="1">IF(C1472&lt;&gt;"",IF(I1472&lt;&gt;"",IF(ISERROR(VLOOKUP(I1472,$C$3:$L$6,10,0)),"",VLOOKUP(I1472,$C$3:$L$6,10,0)+J1472+IF(OR(VLOOKUP(I1472,$C$3:$L$6,5,0)=Variables!$B$5,B1472&gt;VLOOKUP(I1472,$C$3:$L$6,8,0)),IF(VLOOKUP(I1472,$C$3:$L$6,5,0)=Variables!$B$5,((YEAR(B1472)-YEAR($B$12))*12+MONTH(B1472)-MONTH($B$12)),((YEAR(B1472)-YEAR(VLOOKUP(I1472,$C$3:$L$6,8,0)))*12+MONTH(B1472)-MONTH(VLOOKUP(I1472,$C$3:$L$6,8,0))))*VLOOKUP(I1472,$C$3:$L$6,7,0),0)),""),"")</f>
        <v/>
      </c>
      <c r="L1472" s="29" t="str">
        <f t="shared" ca="1" si="124"/>
        <v/>
      </c>
    </row>
    <row r="1473" spans="2:12" x14ac:dyDescent="0.25">
      <c r="B1473" s="14" t="str">
        <f t="shared" ca="1" si="125"/>
        <v/>
      </c>
      <c r="C1473" s="14" t="str">
        <f ca="1">IF(I1472&lt;&gt;Variables!$B$1,IF(H1472&lt;&gt;0,C1472,I1472),"")</f>
        <v/>
      </c>
      <c r="D1473" s="29" t="str">
        <f t="shared" ca="1" si="122"/>
        <v/>
      </c>
      <c r="E1473" s="29" t="str">
        <f t="shared" ca="1" si="123"/>
        <v/>
      </c>
      <c r="F1473" s="29" t="str">
        <f ca="1">IF(C1473&lt;&gt;"",IF(OR(VLOOKUP(C1473,$C$3:$L$6,5,0)=Variables!$B$5,B1473&gt;VLOOKUP(C1473,$C$3:$L$6,8,0)),-D1473*VLOOKUP(C1473,$C$3:$L$6,6,0)/12,0),"")</f>
        <v/>
      </c>
      <c r="G1473" s="29" t="str">
        <f ca="1">IF(I1473&lt;&gt;Variables!$B$1,IF(C1473&lt;&gt;"",$I$9-E1473-F1473,""),-D1473)</f>
        <v/>
      </c>
      <c r="H1473" s="29" t="str">
        <f t="shared" ca="1" si="126"/>
        <v/>
      </c>
      <c r="I1473" s="31" t="str">
        <f ca="1">IF(C1473&lt;&gt;"",IF(D1473+$I$9-E1473-F1473&gt;=0,IF(ISERROR(INDEX($C$3:$C$6,MATCH(C1473,$C$3:$C$6,0)+1,0)),Variables!$B$1,INDEX($C$3:$C$6,MATCH(C1473,$C$3:$C$6,0)+1,0)),""),"")</f>
        <v/>
      </c>
      <c r="J1473" s="29" t="str">
        <f ca="1">IF(ISERROR(VLOOKUP(I1473,$C$3:$L$6,5,0)),"",IF(OR(VLOOKUP(I1473,$C$3:$L$6,5,0)=Variables!$B$5,B1473&gt;VLOOKUP(I1473,$C$3:$L$6,8,0)),IF(VLOOKUP(I1473,$C$3:$L$6,5,0)=Variables!$B$5,((YEAR(B1473)-YEAR($B$12))*12+MONTH(B1473)-MONTH($B$12)),((YEAR(B1473)-YEAR(VLOOKUP(I1473,$C$3:$L$6,8,0)))*12+MONTH(B1473)-MONTH(VLOOKUP(I1473,$C$3:$L$6,8,0))))*(VLOOKUP(I1473,$C$3:$L$6,10,0)*VLOOKUP(I1473,$C$3:$L$6,6,0)/12),0))</f>
        <v/>
      </c>
      <c r="K1473" s="29" t="str">
        <f ca="1">IF(C1473&lt;&gt;"",IF(I1473&lt;&gt;"",IF(ISERROR(VLOOKUP(I1473,$C$3:$L$6,10,0)),"",VLOOKUP(I1473,$C$3:$L$6,10,0)+J1473+IF(OR(VLOOKUP(I1473,$C$3:$L$6,5,0)=Variables!$B$5,B1473&gt;VLOOKUP(I1473,$C$3:$L$6,8,0)),IF(VLOOKUP(I1473,$C$3:$L$6,5,0)=Variables!$B$5,((YEAR(B1473)-YEAR($B$12))*12+MONTH(B1473)-MONTH($B$12)),((YEAR(B1473)-YEAR(VLOOKUP(I1473,$C$3:$L$6,8,0)))*12+MONTH(B1473)-MONTH(VLOOKUP(I1473,$C$3:$L$6,8,0))))*VLOOKUP(I1473,$C$3:$L$6,7,0),0)),""),"")</f>
        <v/>
      </c>
      <c r="L1473" s="29" t="str">
        <f t="shared" ca="1" si="124"/>
        <v/>
      </c>
    </row>
    <row r="1474" spans="2:12" x14ac:dyDescent="0.25">
      <c r="B1474" s="14" t="str">
        <f t="shared" ca="1" si="125"/>
        <v/>
      </c>
      <c r="C1474" s="14" t="str">
        <f ca="1">IF(I1473&lt;&gt;Variables!$B$1,IF(H1473&lt;&gt;0,C1473,I1473),"")</f>
        <v/>
      </c>
      <c r="D1474" s="29" t="str">
        <f t="shared" ca="1" si="122"/>
        <v/>
      </c>
      <c r="E1474" s="29" t="str">
        <f t="shared" ca="1" si="123"/>
        <v/>
      </c>
      <c r="F1474" s="29" t="str">
        <f ca="1">IF(C1474&lt;&gt;"",IF(OR(VLOOKUP(C1474,$C$3:$L$6,5,0)=Variables!$B$5,B1474&gt;VLOOKUP(C1474,$C$3:$L$6,8,0)),-D1474*VLOOKUP(C1474,$C$3:$L$6,6,0)/12,0),"")</f>
        <v/>
      </c>
      <c r="G1474" s="29" t="str">
        <f ca="1">IF(I1474&lt;&gt;Variables!$B$1,IF(C1474&lt;&gt;"",$I$9-E1474-F1474,""),-D1474)</f>
        <v/>
      </c>
      <c r="H1474" s="29" t="str">
        <f t="shared" ca="1" si="126"/>
        <v/>
      </c>
      <c r="I1474" s="31" t="str">
        <f ca="1">IF(C1474&lt;&gt;"",IF(D1474+$I$9-E1474-F1474&gt;=0,IF(ISERROR(INDEX($C$3:$C$6,MATCH(C1474,$C$3:$C$6,0)+1,0)),Variables!$B$1,INDEX($C$3:$C$6,MATCH(C1474,$C$3:$C$6,0)+1,0)),""),"")</f>
        <v/>
      </c>
      <c r="J1474" s="29" t="str">
        <f ca="1">IF(ISERROR(VLOOKUP(I1474,$C$3:$L$6,5,0)),"",IF(OR(VLOOKUP(I1474,$C$3:$L$6,5,0)=Variables!$B$5,B1474&gt;VLOOKUP(I1474,$C$3:$L$6,8,0)),IF(VLOOKUP(I1474,$C$3:$L$6,5,0)=Variables!$B$5,((YEAR(B1474)-YEAR($B$12))*12+MONTH(B1474)-MONTH($B$12)),((YEAR(B1474)-YEAR(VLOOKUP(I1474,$C$3:$L$6,8,0)))*12+MONTH(B1474)-MONTH(VLOOKUP(I1474,$C$3:$L$6,8,0))))*(VLOOKUP(I1474,$C$3:$L$6,10,0)*VLOOKUP(I1474,$C$3:$L$6,6,0)/12),0))</f>
        <v/>
      </c>
      <c r="K1474" s="29" t="str">
        <f ca="1">IF(C1474&lt;&gt;"",IF(I1474&lt;&gt;"",IF(ISERROR(VLOOKUP(I1474,$C$3:$L$6,10,0)),"",VLOOKUP(I1474,$C$3:$L$6,10,0)+J1474+IF(OR(VLOOKUP(I1474,$C$3:$L$6,5,0)=Variables!$B$5,B1474&gt;VLOOKUP(I1474,$C$3:$L$6,8,0)),IF(VLOOKUP(I1474,$C$3:$L$6,5,0)=Variables!$B$5,((YEAR(B1474)-YEAR($B$12))*12+MONTH(B1474)-MONTH($B$12)),((YEAR(B1474)-YEAR(VLOOKUP(I1474,$C$3:$L$6,8,0)))*12+MONTH(B1474)-MONTH(VLOOKUP(I1474,$C$3:$L$6,8,0))))*VLOOKUP(I1474,$C$3:$L$6,7,0),0)),""),"")</f>
        <v/>
      </c>
      <c r="L1474" s="29" t="str">
        <f t="shared" ca="1" si="124"/>
        <v/>
      </c>
    </row>
    <row r="1475" spans="2:12" x14ac:dyDescent="0.25">
      <c r="B1475" s="14" t="str">
        <f t="shared" ca="1" si="125"/>
        <v/>
      </c>
      <c r="C1475" s="14" t="str">
        <f ca="1">IF(I1474&lt;&gt;Variables!$B$1,IF(H1474&lt;&gt;0,C1474,I1474),"")</f>
        <v/>
      </c>
      <c r="D1475" s="29" t="str">
        <f t="shared" ca="1" si="122"/>
        <v/>
      </c>
      <c r="E1475" s="29" t="str">
        <f t="shared" ca="1" si="123"/>
        <v/>
      </c>
      <c r="F1475" s="29" t="str">
        <f ca="1">IF(C1475&lt;&gt;"",IF(OR(VLOOKUP(C1475,$C$3:$L$6,5,0)=Variables!$B$5,B1475&gt;VLOOKUP(C1475,$C$3:$L$6,8,0)),-D1475*VLOOKUP(C1475,$C$3:$L$6,6,0)/12,0),"")</f>
        <v/>
      </c>
      <c r="G1475" s="29" t="str">
        <f ca="1">IF(I1475&lt;&gt;Variables!$B$1,IF(C1475&lt;&gt;"",$I$9-E1475-F1475,""),-D1475)</f>
        <v/>
      </c>
      <c r="H1475" s="29" t="str">
        <f t="shared" ca="1" si="126"/>
        <v/>
      </c>
      <c r="I1475" s="31" t="str">
        <f ca="1">IF(C1475&lt;&gt;"",IF(D1475+$I$9-E1475-F1475&gt;=0,IF(ISERROR(INDEX($C$3:$C$6,MATCH(C1475,$C$3:$C$6,0)+1,0)),Variables!$B$1,INDEX($C$3:$C$6,MATCH(C1475,$C$3:$C$6,0)+1,0)),""),"")</f>
        <v/>
      </c>
      <c r="J1475" s="29" t="str">
        <f ca="1">IF(ISERROR(VLOOKUP(I1475,$C$3:$L$6,5,0)),"",IF(OR(VLOOKUP(I1475,$C$3:$L$6,5,0)=Variables!$B$5,B1475&gt;VLOOKUP(I1475,$C$3:$L$6,8,0)),IF(VLOOKUP(I1475,$C$3:$L$6,5,0)=Variables!$B$5,((YEAR(B1475)-YEAR($B$12))*12+MONTH(B1475)-MONTH($B$12)),((YEAR(B1475)-YEAR(VLOOKUP(I1475,$C$3:$L$6,8,0)))*12+MONTH(B1475)-MONTH(VLOOKUP(I1475,$C$3:$L$6,8,0))))*(VLOOKUP(I1475,$C$3:$L$6,10,0)*VLOOKUP(I1475,$C$3:$L$6,6,0)/12),0))</f>
        <v/>
      </c>
      <c r="K1475" s="29" t="str">
        <f ca="1">IF(C1475&lt;&gt;"",IF(I1475&lt;&gt;"",IF(ISERROR(VLOOKUP(I1475,$C$3:$L$6,10,0)),"",VLOOKUP(I1475,$C$3:$L$6,10,0)+J1475+IF(OR(VLOOKUP(I1475,$C$3:$L$6,5,0)=Variables!$B$5,B1475&gt;VLOOKUP(I1475,$C$3:$L$6,8,0)),IF(VLOOKUP(I1475,$C$3:$L$6,5,0)=Variables!$B$5,((YEAR(B1475)-YEAR($B$12))*12+MONTH(B1475)-MONTH($B$12)),((YEAR(B1475)-YEAR(VLOOKUP(I1475,$C$3:$L$6,8,0)))*12+MONTH(B1475)-MONTH(VLOOKUP(I1475,$C$3:$L$6,8,0))))*VLOOKUP(I1475,$C$3:$L$6,7,0),0)),""),"")</f>
        <v/>
      </c>
      <c r="L1475" s="29" t="str">
        <f t="shared" ca="1" si="124"/>
        <v/>
      </c>
    </row>
    <row r="1476" spans="2:12" x14ac:dyDescent="0.25">
      <c r="B1476" s="14" t="str">
        <f t="shared" ca="1" si="125"/>
        <v/>
      </c>
      <c r="C1476" s="14" t="str">
        <f ca="1">IF(I1475&lt;&gt;Variables!$B$1,IF(H1475&lt;&gt;0,C1475,I1475),"")</f>
        <v/>
      </c>
      <c r="D1476" s="29" t="str">
        <f t="shared" ca="1" si="122"/>
        <v/>
      </c>
      <c r="E1476" s="29" t="str">
        <f t="shared" ca="1" si="123"/>
        <v/>
      </c>
      <c r="F1476" s="29" t="str">
        <f ca="1">IF(C1476&lt;&gt;"",IF(OR(VLOOKUP(C1476,$C$3:$L$6,5,0)=Variables!$B$5,B1476&gt;VLOOKUP(C1476,$C$3:$L$6,8,0)),-D1476*VLOOKUP(C1476,$C$3:$L$6,6,0)/12,0),"")</f>
        <v/>
      </c>
      <c r="G1476" s="29" t="str">
        <f ca="1">IF(I1476&lt;&gt;Variables!$B$1,IF(C1476&lt;&gt;"",$I$9-E1476-F1476,""),-D1476)</f>
        <v/>
      </c>
      <c r="H1476" s="29" t="str">
        <f t="shared" ca="1" si="126"/>
        <v/>
      </c>
      <c r="I1476" s="31" t="str">
        <f ca="1">IF(C1476&lt;&gt;"",IF(D1476+$I$9-E1476-F1476&gt;=0,IF(ISERROR(INDEX($C$3:$C$6,MATCH(C1476,$C$3:$C$6,0)+1,0)),Variables!$B$1,INDEX($C$3:$C$6,MATCH(C1476,$C$3:$C$6,0)+1,0)),""),"")</f>
        <v/>
      </c>
      <c r="J1476" s="29" t="str">
        <f ca="1">IF(ISERROR(VLOOKUP(I1476,$C$3:$L$6,5,0)),"",IF(OR(VLOOKUP(I1476,$C$3:$L$6,5,0)=Variables!$B$5,B1476&gt;VLOOKUP(I1476,$C$3:$L$6,8,0)),IF(VLOOKUP(I1476,$C$3:$L$6,5,0)=Variables!$B$5,((YEAR(B1476)-YEAR($B$12))*12+MONTH(B1476)-MONTH($B$12)),((YEAR(B1476)-YEAR(VLOOKUP(I1476,$C$3:$L$6,8,0)))*12+MONTH(B1476)-MONTH(VLOOKUP(I1476,$C$3:$L$6,8,0))))*(VLOOKUP(I1476,$C$3:$L$6,10,0)*VLOOKUP(I1476,$C$3:$L$6,6,0)/12),0))</f>
        <v/>
      </c>
      <c r="K1476" s="29" t="str">
        <f ca="1">IF(C1476&lt;&gt;"",IF(I1476&lt;&gt;"",IF(ISERROR(VLOOKUP(I1476,$C$3:$L$6,10,0)),"",VLOOKUP(I1476,$C$3:$L$6,10,0)+J1476+IF(OR(VLOOKUP(I1476,$C$3:$L$6,5,0)=Variables!$B$5,B1476&gt;VLOOKUP(I1476,$C$3:$L$6,8,0)),IF(VLOOKUP(I1476,$C$3:$L$6,5,0)=Variables!$B$5,((YEAR(B1476)-YEAR($B$12))*12+MONTH(B1476)-MONTH($B$12)),((YEAR(B1476)-YEAR(VLOOKUP(I1476,$C$3:$L$6,8,0)))*12+MONTH(B1476)-MONTH(VLOOKUP(I1476,$C$3:$L$6,8,0))))*VLOOKUP(I1476,$C$3:$L$6,7,0),0)),""),"")</f>
        <v/>
      </c>
      <c r="L1476" s="29" t="str">
        <f t="shared" ca="1" si="124"/>
        <v/>
      </c>
    </row>
    <row r="1477" spans="2:12" x14ac:dyDescent="0.25">
      <c r="B1477" s="14" t="str">
        <f t="shared" ca="1" si="125"/>
        <v/>
      </c>
      <c r="C1477" s="14" t="str">
        <f ca="1">IF(I1476&lt;&gt;Variables!$B$1,IF(H1476&lt;&gt;0,C1476,I1476),"")</f>
        <v/>
      </c>
      <c r="D1477" s="29" t="str">
        <f t="shared" ca="1" si="122"/>
        <v/>
      </c>
      <c r="E1477" s="29" t="str">
        <f t="shared" ca="1" si="123"/>
        <v/>
      </c>
      <c r="F1477" s="29" t="str">
        <f ca="1">IF(C1477&lt;&gt;"",IF(OR(VLOOKUP(C1477,$C$3:$L$6,5,0)=Variables!$B$5,B1477&gt;VLOOKUP(C1477,$C$3:$L$6,8,0)),-D1477*VLOOKUP(C1477,$C$3:$L$6,6,0)/12,0),"")</f>
        <v/>
      </c>
      <c r="G1477" s="29" t="str">
        <f ca="1">IF(I1477&lt;&gt;Variables!$B$1,IF(C1477&lt;&gt;"",$I$9-E1477-F1477,""),-D1477)</f>
        <v/>
      </c>
      <c r="H1477" s="29" t="str">
        <f t="shared" ca="1" si="126"/>
        <v/>
      </c>
      <c r="I1477" s="31" t="str">
        <f ca="1">IF(C1477&lt;&gt;"",IF(D1477+$I$9-E1477-F1477&gt;=0,IF(ISERROR(INDEX($C$3:$C$6,MATCH(C1477,$C$3:$C$6,0)+1,0)),Variables!$B$1,INDEX($C$3:$C$6,MATCH(C1477,$C$3:$C$6,0)+1,0)),""),"")</f>
        <v/>
      </c>
      <c r="J1477" s="29" t="str">
        <f ca="1">IF(ISERROR(VLOOKUP(I1477,$C$3:$L$6,5,0)),"",IF(OR(VLOOKUP(I1477,$C$3:$L$6,5,0)=Variables!$B$5,B1477&gt;VLOOKUP(I1477,$C$3:$L$6,8,0)),IF(VLOOKUP(I1477,$C$3:$L$6,5,0)=Variables!$B$5,((YEAR(B1477)-YEAR($B$12))*12+MONTH(B1477)-MONTH($B$12)),((YEAR(B1477)-YEAR(VLOOKUP(I1477,$C$3:$L$6,8,0)))*12+MONTH(B1477)-MONTH(VLOOKUP(I1477,$C$3:$L$6,8,0))))*(VLOOKUP(I1477,$C$3:$L$6,10,0)*VLOOKUP(I1477,$C$3:$L$6,6,0)/12),0))</f>
        <v/>
      </c>
      <c r="K1477" s="29" t="str">
        <f ca="1">IF(C1477&lt;&gt;"",IF(I1477&lt;&gt;"",IF(ISERROR(VLOOKUP(I1477,$C$3:$L$6,10,0)),"",VLOOKUP(I1477,$C$3:$L$6,10,0)+J1477+IF(OR(VLOOKUP(I1477,$C$3:$L$6,5,0)=Variables!$B$5,B1477&gt;VLOOKUP(I1477,$C$3:$L$6,8,0)),IF(VLOOKUP(I1477,$C$3:$L$6,5,0)=Variables!$B$5,((YEAR(B1477)-YEAR($B$12))*12+MONTH(B1477)-MONTH($B$12)),((YEAR(B1477)-YEAR(VLOOKUP(I1477,$C$3:$L$6,8,0)))*12+MONTH(B1477)-MONTH(VLOOKUP(I1477,$C$3:$L$6,8,0))))*VLOOKUP(I1477,$C$3:$L$6,7,0),0)),""),"")</f>
        <v/>
      </c>
      <c r="L1477" s="29" t="str">
        <f t="shared" ca="1" si="124"/>
        <v/>
      </c>
    </row>
    <row r="1478" spans="2:12" x14ac:dyDescent="0.25">
      <c r="B1478" s="14" t="str">
        <f t="shared" ca="1" si="125"/>
        <v/>
      </c>
      <c r="C1478" s="14" t="str">
        <f ca="1">IF(I1477&lt;&gt;Variables!$B$1,IF(H1477&lt;&gt;0,C1477,I1477),"")</f>
        <v/>
      </c>
      <c r="D1478" s="29" t="str">
        <f t="shared" ca="1" si="122"/>
        <v/>
      </c>
      <c r="E1478" s="29" t="str">
        <f t="shared" ca="1" si="123"/>
        <v/>
      </c>
      <c r="F1478" s="29" t="str">
        <f ca="1">IF(C1478&lt;&gt;"",IF(OR(VLOOKUP(C1478,$C$3:$L$6,5,0)=Variables!$B$5,B1478&gt;VLOOKUP(C1478,$C$3:$L$6,8,0)),-D1478*VLOOKUP(C1478,$C$3:$L$6,6,0)/12,0),"")</f>
        <v/>
      </c>
      <c r="G1478" s="29" t="str">
        <f ca="1">IF(I1478&lt;&gt;Variables!$B$1,IF(C1478&lt;&gt;"",$I$9-E1478-F1478,""),-D1478)</f>
        <v/>
      </c>
      <c r="H1478" s="29" t="str">
        <f t="shared" ca="1" si="126"/>
        <v/>
      </c>
      <c r="I1478" s="31" t="str">
        <f ca="1">IF(C1478&lt;&gt;"",IF(D1478+$I$9-E1478-F1478&gt;=0,IF(ISERROR(INDEX($C$3:$C$6,MATCH(C1478,$C$3:$C$6,0)+1,0)),Variables!$B$1,INDEX($C$3:$C$6,MATCH(C1478,$C$3:$C$6,0)+1,0)),""),"")</f>
        <v/>
      </c>
      <c r="J1478" s="29" t="str">
        <f ca="1">IF(ISERROR(VLOOKUP(I1478,$C$3:$L$6,5,0)),"",IF(OR(VLOOKUP(I1478,$C$3:$L$6,5,0)=Variables!$B$5,B1478&gt;VLOOKUP(I1478,$C$3:$L$6,8,0)),IF(VLOOKUP(I1478,$C$3:$L$6,5,0)=Variables!$B$5,((YEAR(B1478)-YEAR($B$12))*12+MONTH(B1478)-MONTH($B$12)),((YEAR(B1478)-YEAR(VLOOKUP(I1478,$C$3:$L$6,8,0)))*12+MONTH(B1478)-MONTH(VLOOKUP(I1478,$C$3:$L$6,8,0))))*(VLOOKUP(I1478,$C$3:$L$6,10,0)*VLOOKUP(I1478,$C$3:$L$6,6,0)/12),0))</f>
        <v/>
      </c>
      <c r="K1478" s="29" t="str">
        <f ca="1">IF(C1478&lt;&gt;"",IF(I1478&lt;&gt;"",IF(ISERROR(VLOOKUP(I1478,$C$3:$L$6,10,0)),"",VLOOKUP(I1478,$C$3:$L$6,10,0)+J1478+IF(OR(VLOOKUP(I1478,$C$3:$L$6,5,0)=Variables!$B$5,B1478&gt;VLOOKUP(I1478,$C$3:$L$6,8,0)),IF(VLOOKUP(I1478,$C$3:$L$6,5,0)=Variables!$B$5,((YEAR(B1478)-YEAR($B$12))*12+MONTH(B1478)-MONTH($B$12)),((YEAR(B1478)-YEAR(VLOOKUP(I1478,$C$3:$L$6,8,0)))*12+MONTH(B1478)-MONTH(VLOOKUP(I1478,$C$3:$L$6,8,0))))*VLOOKUP(I1478,$C$3:$L$6,7,0),0)),""),"")</f>
        <v/>
      </c>
      <c r="L1478" s="29" t="str">
        <f t="shared" ca="1" si="124"/>
        <v/>
      </c>
    </row>
    <row r="1479" spans="2:12" x14ac:dyDescent="0.25">
      <c r="B1479" s="14" t="str">
        <f t="shared" ca="1" si="125"/>
        <v/>
      </c>
      <c r="C1479" s="14" t="str">
        <f ca="1">IF(I1478&lt;&gt;Variables!$B$1,IF(H1478&lt;&gt;0,C1478,I1478),"")</f>
        <v/>
      </c>
      <c r="D1479" s="29" t="str">
        <f t="shared" ca="1" si="122"/>
        <v/>
      </c>
      <c r="E1479" s="29" t="str">
        <f t="shared" ca="1" si="123"/>
        <v/>
      </c>
      <c r="F1479" s="29" t="str">
        <f ca="1">IF(C1479&lt;&gt;"",IF(OR(VLOOKUP(C1479,$C$3:$L$6,5,0)=Variables!$B$5,B1479&gt;VLOOKUP(C1479,$C$3:$L$6,8,0)),-D1479*VLOOKUP(C1479,$C$3:$L$6,6,0)/12,0),"")</f>
        <v/>
      </c>
      <c r="G1479" s="29" t="str">
        <f ca="1">IF(I1479&lt;&gt;Variables!$B$1,IF(C1479&lt;&gt;"",$I$9-E1479-F1479,""),-D1479)</f>
        <v/>
      </c>
      <c r="H1479" s="29" t="str">
        <f t="shared" ca="1" si="126"/>
        <v/>
      </c>
      <c r="I1479" s="31" t="str">
        <f ca="1">IF(C1479&lt;&gt;"",IF(D1479+$I$9-E1479-F1479&gt;=0,IF(ISERROR(INDEX($C$3:$C$6,MATCH(C1479,$C$3:$C$6,0)+1,0)),Variables!$B$1,INDEX($C$3:$C$6,MATCH(C1479,$C$3:$C$6,0)+1,0)),""),"")</f>
        <v/>
      </c>
      <c r="J1479" s="29" t="str">
        <f ca="1">IF(ISERROR(VLOOKUP(I1479,$C$3:$L$6,5,0)),"",IF(OR(VLOOKUP(I1479,$C$3:$L$6,5,0)=Variables!$B$5,B1479&gt;VLOOKUP(I1479,$C$3:$L$6,8,0)),IF(VLOOKUP(I1479,$C$3:$L$6,5,0)=Variables!$B$5,((YEAR(B1479)-YEAR($B$12))*12+MONTH(B1479)-MONTH($B$12)),((YEAR(B1479)-YEAR(VLOOKUP(I1479,$C$3:$L$6,8,0)))*12+MONTH(B1479)-MONTH(VLOOKUP(I1479,$C$3:$L$6,8,0))))*(VLOOKUP(I1479,$C$3:$L$6,10,0)*VLOOKUP(I1479,$C$3:$L$6,6,0)/12),0))</f>
        <v/>
      </c>
      <c r="K1479" s="29" t="str">
        <f ca="1">IF(C1479&lt;&gt;"",IF(I1479&lt;&gt;"",IF(ISERROR(VLOOKUP(I1479,$C$3:$L$6,10,0)),"",VLOOKUP(I1479,$C$3:$L$6,10,0)+J1479+IF(OR(VLOOKUP(I1479,$C$3:$L$6,5,0)=Variables!$B$5,B1479&gt;VLOOKUP(I1479,$C$3:$L$6,8,0)),IF(VLOOKUP(I1479,$C$3:$L$6,5,0)=Variables!$B$5,((YEAR(B1479)-YEAR($B$12))*12+MONTH(B1479)-MONTH($B$12)),((YEAR(B1479)-YEAR(VLOOKUP(I1479,$C$3:$L$6,8,0)))*12+MONTH(B1479)-MONTH(VLOOKUP(I1479,$C$3:$L$6,8,0))))*VLOOKUP(I1479,$C$3:$L$6,7,0),0)),""),"")</f>
        <v/>
      </c>
      <c r="L1479" s="29" t="str">
        <f t="shared" ca="1" si="124"/>
        <v/>
      </c>
    </row>
    <row r="1480" spans="2:12" x14ac:dyDescent="0.25">
      <c r="B1480" s="14" t="str">
        <f t="shared" ca="1" si="125"/>
        <v/>
      </c>
      <c r="C1480" s="14" t="str">
        <f ca="1">IF(I1479&lt;&gt;Variables!$B$1,IF(H1479&lt;&gt;0,C1479,I1479),"")</f>
        <v/>
      </c>
      <c r="D1480" s="29" t="str">
        <f t="shared" ca="1" si="122"/>
        <v/>
      </c>
      <c r="E1480" s="29" t="str">
        <f t="shared" ca="1" si="123"/>
        <v/>
      </c>
      <c r="F1480" s="29" t="str">
        <f ca="1">IF(C1480&lt;&gt;"",IF(OR(VLOOKUP(C1480,$C$3:$L$6,5,0)=Variables!$B$5,B1480&gt;VLOOKUP(C1480,$C$3:$L$6,8,0)),-D1480*VLOOKUP(C1480,$C$3:$L$6,6,0)/12,0),"")</f>
        <v/>
      </c>
      <c r="G1480" s="29" t="str">
        <f ca="1">IF(I1480&lt;&gt;Variables!$B$1,IF(C1480&lt;&gt;"",$I$9-E1480-F1480,""),-D1480)</f>
        <v/>
      </c>
      <c r="H1480" s="29" t="str">
        <f t="shared" ca="1" si="126"/>
        <v/>
      </c>
      <c r="I1480" s="31" t="str">
        <f ca="1">IF(C1480&lt;&gt;"",IF(D1480+$I$9-E1480-F1480&gt;=0,IF(ISERROR(INDEX($C$3:$C$6,MATCH(C1480,$C$3:$C$6,0)+1,0)),Variables!$B$1,INDEX($C$3:$C$6,MATCH(C1480,$C$3:$C$6,0)+1,0)),""),"")</f>
        <v/>
      </c>
      <c r="J1480" s="29" t="str">
        <f ca="1">IF(ISERROR(VLOOKUP(I1480,$C$3:$L$6,5,0)),"",IF(OR(VLOOKUP(I1480,$C$3:$L$6,5,0)=Variables!$B$5,B1480&gt;VLOOKUP(I1480,$C$3:$L$6,8,0)),IF(VLOOKUP(I1480,$C$3:$L$6,5,0)=Variables!$B$5,((YEAR(B1480)-YEAR($B$12))*12+MONTH(B1480)-MONTH($B$12)),((YEAR(B1480)-YEAR(VLOOKUP(I1480,$C$3:$L$6,8,0)))*12+MONTH(B1480)-MONTH(VLOOKUP(I1480,$C$3:$L$6,8,0))))*(VLOOKUP(I1480,$C$3:$L$6,10,0)*VLOOKUP(I1480,$C$3:$L$6,6,0)/12),0))</f>
        <v/>
      </c>
      <c r="K1480" s="29" t="str">
        <f ca="1">IF(C1480&lt;&gt;"",IF(I1480&lt;&gt;"",IF(ISERROR(VLOOKUP(I1480,$C$3:$L$6,10,0)),"",VLOOKUP(I1480,$C$3:$L$6,10,0)+J1480+IF(OR(VLOOKUP(I1480,$C$3:$L$6,5,0)=Variables!$B$5,B1480&gt;VLOOKUP(I1480,$C$3:$L$6,8,0)),IF(VLOOKUP(I1480,$C$3:$L$6,5,0)=Variables!$B$5,((YEAR(B1480)-YEAR($B$12))*12+MONTH(B1480)-MONTH($B$12)),((YEAR(B1480)-YEAR(VLOOKUP(I1480,$C$3:$L$6,8,0)))*12+MONTH(B1480)-MONTH(VLOOKUP(I1480,$C$3:$L$6,8,0))))*VLOOKUP(I1480,$C$3:$L$6,7,0),0)),""),"")</f>
        <v/>
      </c>
      <c r="L1480" s="29" t="str">
        <f t="shared" ca="1" si="124"/>
        <v/>
      </c>
    </row>
    <row r="1481" spans="2:12" x14ac:dyDescent="0.25">
      <c r="B1481" s="14" t="str">
        <f t="shared" ca="1" si="125"/>
        <v/>
      </c>
      <c r="C1481" s="14" t="str">
        <f ca="1">IF(I1480&lt;&gt;Variables!$B$1,IF(H1480&lt;&gt;0,C1480,I1480),"")</f>
        <v/>
      </c>
      <c r="D1481" s="29" t="str">
        <f t="shared" ca="1" si="122"/>
        <v/>
      </c>
      <c r="E1481" s="29" t="str">
        <f t="shared" ca="1" si="123"/>
        <v/>
      </c>
      <c r="F1481" s="29" t="str">
        <f ca="1">IF(C1481&lt;&gt;"",IF(OR(VLOOKUP(C1481,$C$3:$L$6,5,0)=Variables!$B$5,B1481&gt;VLOOKUP(C1481,$C$3:$L$6,8,0)),-D1481*VLOOKUP(C1481,$C$3:$L$6,6,0)/12,0),"")</f>
        <v/>
      </c>
      <c r="G1481" s="29" t="str">
        <f ca="1">IF(I1481&lt;&gt;Variables!$B$1,IF(C1481&lt;&gt;"",$I$9-E1481-F1481,""),-D1481)</f>
        <v/>
      </c>
      <c r="H1481" s="29" t="str">
        <f t="shared" ca="1" si="126"/>
        <v/>
      </c>
      <c r="I1481" s="31" t="str">
        <f ca="1">IF(C1481&lt;&gt;"",IF(D1481+$I$9-E1481-F1481&gt;=0,IF(ISERROR(INDEX($C$3:$C$6,MATCH(C1481,$C$3:$C$6,0)+1,0)),Variables!$B$1,INDEX($C$3:$C$6,MATCH(C1481,$C$3:$C$6,0)+1,0)),""),"")</f>
        <v/>
      </c>
      <c r="J1481" s="29" t="str">
        <f ca="1">IF(ISERROR(VLOOKUP(I1481,$C$3:$L$6,5,0)),"",IF(OR(VLOOKUP(I1481,$C$3:$L$6,5,0)=Variables!$B$5,B1481&gt;VLOOKUP(I1481,$C$3:$L$6,8,0)),IF(VLOOKUP(I1481,$C$3:$L$6,5,0)=Variables!$B$5,((YEAR(B1481)-YEAR($B$12))*12+MONTH(B1481)-MONTH($B$12)),((YEAR(B1481)-YEAR(VLOOKUP(I1481,$C$3:$L$6,8,0)))*12+MONTH(B1481)-MONTH(VLOOKUP(I1481,$C$3:$L$6,8,0))))*(VLOOKUP(I1481,$C$3:$L$6,10,0)*VLOOKUP(I1481,$C$3:$L$6,6,0)/12),0))</f>
        <v/>
      </c>
      <c r="K1481" s="29" t="str">
        <f ca="1">IF(C1481&lt;&gt;"",IF(I1481&lt;&gt;"",IF(ISERROR(VLOOKUP(I1481,$C$3:$L$6,10,0)),"",VLOOKUP(I1481,$C$3:$L$6,10,0)+J1481+IF(OR(VLOOKUP(I1481,$C$3:$L$6,5,0)=Variables!$B$5,B1481&gt;VLOOKUP(I1481,$C$3:$L$6,8,0)),IF(VLOOKUP(I1481,$C$3:$L$6,5,0)=Variables!$B$5,((YEAR(B1481)-YEAR($B$12))*12+MONTH(B1481)-MONTH($B$12)),((YEAR(B1481)-YEAR(VLOOKUP(I1481,$C$3:$L$6,8,0)))*12+MONTH(B1481)-MONTH(VLOOKUP(I1481,$C$3:$L$6,8,0))))*VLOOKUP(I1481,$C$3:$L$6,7,0),0)),""),"")</f>
        <v/>
      </c>
      <c r="L1481" s="29" t="str">
        <f t="shared" ca="1" si="124"/>
        <v/>
      </c>
    </row>
    <row r="1482" spans="2:12" x14ac:dyDescent="0.25">
      <c r="B1482" s="14" t="str">
        <f t="shared" ca="1" si="125"/>
        <v/>
      </c>
      <c r="C1482" s="14" t="str">
        <f ca="1">IF(I1481&lt;&gt;Variables!$B$1,IF(H1481&lt;&gt;0,C1481,I1481),"")</f>
        <v/>
      </c>
      <c r="D1482" s="29" t="str">
        <f t="shared" ca="1" si="122"/>
        <v/>
      </c>
      <c r="E1482" s="29" t="str">
        <f t="shared" ca="1" si="123"/>
        <v/>
      </c>
      <c r="F1482" s="29" t="str">
        <f ca="1">IF(C1482&lt;&gt;"",IF(OR(VLOOKUP(C1482,$C$3:$L$6,5,0)=Variables!$B$5,B1482&gt;VLOOKUP(C1482,$C$3:$L$6,8,0)),-D1482*VLOOKUP(C1482,$C$3:$L$6,6,0)/12,0),"")</f>
        <v/>
      </c>
      <c r="G1482" s="29" t="str">
        <f ca="1">IF(I1482&lt;&gt;Variables!$B$1,IF(C1482&lt;&gt;"",$I$9-E1482-F1482,""),-D1482)</f>
        <v/>
      </c>
      <c r="H1482" s="29" t="str">
        <f t="shared" ca="1" si="126"/>
        <v/>
      </c>
      <c r="I1482" s="31" t="str">
        <f ca="1">IF(C1482&lt;&gt;"",IF(D1482+$I$9-E1482-F1482&gt;=0,IF(ISERROR(INDEX($C$3:$C$6,MATCH(C1482,$C$3:$C$6,0)+1,0)),Variables!$B$1,INDEX($C$3:$C$6,MATCH(C1482,$C$3:$C$6,0)+1,0)),""),"")</f>
        <v/>
      </c>
      <c r="J1482" s="29" t="str">
        <f ca="1">IF(ISERROR(VLOOKUP(I1482,$C$3:$L$6,5,0)),"",IF(OR(VLOOKUP(I1482,$C$3:$L$6,5,0)=Variables!$B$5,B1482&gt;VLOOKUP(I1482,$C$3:$L$6,8,0)),IF(VLOOKUP(I1482,$C$3:$L$6,5,0)=Variables!$B$5,((YEAR(B1482)-YEAR($B$12))*12+MONTH(B1482)-MONTH($B$12)),((YEAR(B1482)-YEAR(VLOOKUP(I1482,$C$3:$L$6,8,0)))*12+MONTH(B1482)-MONTH(VLOOKUP(I1482,$C$3:$L$6,8,0))))*(VLOOKUP(I1482,$C$3:$L$6,10,0)*VLOOKUP(I1482,$C$3:$L$6,6,0)/12),0))</f>
        <v/>
      </c>
      <c r="K1482" s="29" t="str">
        <f ca="1">IF(C1482&lt;&gt;"",IF(I1482&lt;&gt;"",IF(ISERROR(VLOOKUP(I1482,$C$3:$L$6,10,0)),"",VLOOKUP(I1482,$C$3:$L$6,10,0)+J1482+IF(OR(VLOOKUP(I1482,$C$3:$L$6,5,0)=Variables!$B$5,B1482&gt;VLOOKUP(I1482,$C$3:$L$6,8,0)),IF(VLOOKUP(I1482,$C$3:$L$6,5,0)=Variables!$B$5,((YEAR(B1482)-YEAR($B$12))*12+MONTH(B1482)-MONTH($B$12)),((YEAR(B1482)-YEAR(VLOOKUP(I1482,$C$3:$L$6,8,0)))*12+MONTH(B1482)-MONTH(VLOOKUP(I1482,$C$3:$L$6,8,0))))*VLOOKUP(I1482,$C$3:$L$6,7,0),0)),""),"")</f>
        <v/>
      </c>
      <c r="L1482" s="29" t="str">
        <f t="shared" ca="1" si="124"/>
        <v/>
      </c>
    </row>
    <row r="1483" spans="2:12" x14ac:dyDescent="0.25">
      <c r="B1483" s="14" t="str">
        <f t="shared" ca="1" si="125"/>
        <v/>
      </c>
      <c r="C1483" s="14" t="str">
        <f ca="1">IF(I1482&lt;&gt;Variables!$B$1,IF(H1482&lt;&gt;0,C1482,I1482),"")</f>
        <v/>
      </c>
      <c r="D1483" s="29" t="str">
        <f t="shared" ca="1" si="122"/>
        <v/>
      </c>
      <c r="E1483" s="29" t="str">
        <f t="shared" ca="1" si="123"/>
        <v/>
      </c>
      <c r="F1483" s="29" t="str">
        <f ca="1">IF(C1483&lt;&gt;"",IF(OR(VLOOKUP(C1483,$C$3:$L$6,5,0)=Variables!$B$5,B1483&gt;VLOOKUP(C1483,$C$3:$L$6,8,0)),-D1483*VLOOKUP(C1483,$C$3:$L$6,6,0)/12,0),"")</f>
        <v/>
      </c>
      <c r="G1483" s="29" t="str">
        <f ca="1">IF(I1483&lt;&gt;Variables!$B$1,IF(C1483&lt;&gt;"",$I$9-E1483-F1483,""),-D1483)</f>
        <v/>
      </c>
      <c r="H1483" s="29" t="str">
        <f t="shared" ca="1" si="126"/>
        <v/>
      </c>
      <c r="I1483" s="31" t="str">
        <f ca="1">IF(C1483&lt;&gt;"",IF(D1483+$I$9-E1483-F1483&gt;=0,IF(ISERROR(INDEX($C$3:$C$6,MATCH(C1483,$C$3:$C$6,0)+1,0)),Variables!$B$1,INDEX($C$3:$C$6,MATCH(C1483,$C$3:$C$6,0)+1,0)),""),"")</f>
        <v/>
      </c>
      <c r="J1483" s="29" t="str">
        <f ca="1">IF(ISERROR(VLOOKUP(I1483,$C$3:$L$6,5,0)),"",IF(OR(VLOOKUP(I1483,$C$3:$L$6,5,0)=Variables!$B$5,B1483&gt;VLOOKUP(I1483,$C$3:$L$6,8,0)),IF(VLOOKUP(I1483,$C$3:$L$6,5,0)=Variables!$B$5,((YEAR(B1483)-YEAR($B$12))*12+MONTH(B1483)-MONTH($B$12)),((YEAR(B1483)-YEAR(VLOOKUP(I1483,$C$3:$L$6,8,0)))*12+MONTH(B1483)-MONTH(VLOOKUP(I1483,$C$3:$L$6,8,0))))*(VLOOKUP(I1483,$C$3:$L$6,10,0)*VLOOKUP(I1483,$C$3:$L$6,6,0)/12),0))</f>
        <v/>
      </c>
      <c r="K1483" s="29" t="str">
        <f ca="1">IF(C1483&lt;&gt;"",IF(I1483&lt;&gt;"",IF(ISERROR(VLOOKUP(I1483,$C$3:$L$6,10,0)),"",VLOOKUP(I1483,$C$3:$L$6,10,0)+J1483+IF(OR(VLOOKUP(I1483,$C$3:$L$6,5,0)=Variables!$B$5,B1483&gt;VLOOKUP(I1483,$C$3:$L$6,8,0)),IF(VLOOKUP(I1483,$C$3:$L$6,5,0)=Variables!$B$5,((YEAR(B1483)-YEAR($B$12))*12+MONTH(B1483)-MONTH($B$12)),((YEAR(B1483)-YEAR(VLOOKUP(I1483,$C$3:$L$6,8,0)))*12+MONTH(B1483)-MONTH(VLOOKUP(I1483,$C$3:$L$6,8,0))))*VLOOKUP(I1483,$C$3:$L$6,7,0),0)),""),"")</f>
        <v/>
      </c>
      <c r="L1483" s="29" t="str">
        <f t="shared" ca="1" si="124"/>
        <v/>
      </c>
    </row>
    <row r="1484" spans="2:12" x14ac:dyDescent="0.25">
      <c r="B1484" s="14" t="str">
        <f t="shared" ca="1" si="125"/>
        <v/>
      </c>
      <c r="C1484" s="14" t="str">
        <f ca="1">IF(I1483&lt;&gt;Variables!$B$1,IF(H1483&lt;&gt;0,C1483,I1483),"")</f>
        <v/>
      </c>
      <c r="D1484" s="29" t="str">
        <f t="shared" ca="1" si="122"/>
        <v/>
      </c>
      <c r="E1484" s="29" t="str">
        <f t="shared" ca="1" si="123"/>
        <v/>
      </c>
      <c r="F1484" s="29" t="str">
        <f ca="1">IF(C1484&lt;&gt;"",IF(OR(VLOOKUP(C1484,$C$3:$L$6,5,0)=Variables!$B$5,B1484&gt;VLOOKUP(C1484,$C$3:$L$6,8,0)),-D1484*VLOOKUP(C1484,$C$3:$L$6,6,0)/12,0),"")</f>
        <v/>
      </c>
      <c r="G1484" s="29" t="str">
        <f ca="1">IF(I1484&lt;&gt;Variables!$B$1,IF(C1484&lt;&gt;"",$I$9-E1484-F1484,""),-D1484)</f>
        <v/>
      </c>
      <c r="H1484" s="29" t="str">
        <f t="shared" ca="1" si="126"/>
        <v/>
      </c>
      <c r="I1484" s="31" t="str">
        <f ca="1">IF(C1484&lt;&gt;"",IF(D1484+$I$9-E1484-F1484&gt;=0,IF(ISERROR(INDEX($C$3:$C$6,MATCH(C1484,$C$3:$C$6,0)+1,0)),Variables!$B$1,INDEX($C$3:$C$6,MATCH(C1484,$C$3:$C$6,0)+1,0)),""),"")</f>
        <v/>
      </c>
      <c r="J1484" s="29" t="str">
        <f ca="1">IF(ISERROR(VLOOKUP(I1484,$C$3:$L$6,5,0)),"",IF(OR(VLOOKUP(I1484,$C$3:$L$6,5,0)=Variables!$B$5,B1484&gt;VLOOKUP(I1484,$C$3:$L$6,8,0)),IF(VLOOKUP(I1484,$C$3:$L$6,5,0)=Variables!$B$5,((YEAR(B1484)-YEAR($B$12))*12+MONTH(B1484)-MONTH($B$12)),((YEAR(B1484)-YEAR(VLOOKUP(I1484,$C$3:$L$6,8,0)))*12+MONTH(B1484)-MONTH(VLOOKUP(I1484,$C$3:$L$6,8,0))))*(VLOOKUP(I1484,$C$3:$L$6,10,0)*VLOOKUP(I1484,$C$3:$L$6,6,0)/12),0))</f>
        <v/>
      </c>
      <c r="K1484" s="29" t="str">
        <f ca="1">IF(C1484&lt;&gt;"",IF(I1484&lt;&gt;"",IF(ISERROR(VLOOKUP(I1484,$C$3:$L$6,10,0)),"",VLOOKUP(I1484,$C$3:$L$6,10,0)+J1484+IF(OR(VLOOKUP(I1484,$C$3:$L$6,5,0)=Variables!$B$5,B1484&gt;VLOOKUP(I1484,$C$3:$L$6,8,0)),IF(VLOOKUP(I1484,$C$3:$L$6,5,0)=Variables!$B$5,((YEAR(B1484)-YEAR($B$12))*12+MONTH(B1484)-MONTH($B$12)),((YEAR(B1484)-YEAR(VLOOKUP(I1484,$C$3:$L$6,8,0)))*12+MONTH(B1484)-MONTH(VLOOKUP(I1484,$C$3:$L$6,8,0))))*VLOOKUP(I1484,$C$3:$L$6,7,0),0)),""),"")</f>
        <v/>
      </c>
      <c r="L1484" s="29" t="str">
        <f t="shared" ca="1" si="124"/>
        <v/>
      </c>
    </row>
    <row r="1485" spans="2:12" x14ac:dyDescent="0.25">
      <c r="B1485" s="14" t="str">
        <f t="shared" ca="1" si="125"/>
        <v/>
      </c>
      <c r="C1485" s="14" t="str">
        <f ca="1">IF(I1484&lt;&gt;Variables!$B$1,IF(H1484&lt;&gt;0,C1484,I1484),"")</f>
        <v/>
      </c>
      <c r="D1485" s="29" t="str">
        <f t="shared" ca="1" si="122"/>
        <v/>
      </c>
      <c r="E1485" s="29" t="str">
        <f t="shared" ca="1" si="123"/>
        <v/>
      </c>
      <c r="F1485" s="29" t="str">
        <f ca="1">IF(C1485&lt;&gt;"",IF(OR(VLOOKUP(C1485,$C$3:$L$6,5,0)=Variables!$B$5,B1485&gt;VLOOKUP(C1485,$C$3:$L$6,8,0)),-D1485*VLOOKUP(C1485,$C$3:$L$6,6,0)/12,0),"")</f>
        <v/>
      </c>
      <c r="G1485" s="29" t="str">
        <f ca="1">IF(I1485&lt;&gt;Variables!$B$1,IF(C1485&lt;&gt;"",$I$9-E1485-F1485,""),-D1485)</f>
        <v/>
      </c>
      <c r="H1485" s="29" t="str">
        <f t="shared" ca="1" si="126"/>
        <v/>
      </c>
      <c r="I1485" s="31" t="str">
        <f ca="1">IF(C1485&lt;&gt;"",IF(D1485+$I$9-E1485-F1485&gt;=0,IF(ISERROR(INDEX($C$3:$C$6,MATCH(C1485,$C$3:$C$6,0)+1,0)),Variables!$B$1,INDEX($C$3:$C$6,MATCH(C1485,$C$3:$C$6,0)+1,0)),""),"")</f>
        <v/>
      </c>
      <c r="J1485" s="29" t="str">
        <f ca="1">IF(ISERROR(VLOOKUP(I1485,$C$3:$L$6,5,0)),"",IF(OR(VLOOKUP(I1485,$C$3:$L$6,5,0)=Variables!$B$5,B1485&gt;VLOOKUP(I1485,$C$3:$L$6,8,0)),IF(VLOOKUP(I1485,$C$3:$L$6,5,0)=Variables!$B$5,((YEAR(B1485)-YEAR($B$12))*12+MONTH(B1485)-MONTH($B$12)),((YEAR(B1485)-YEAR(VLOOKUP(I1485,$C$3:$L$6,8,0)))*12+MONTH(B1485)-MONTH(VLOOKUP(I1485,$C$3:$L$6,8,0))))*(VLOOKUP(I1485,$C$3:$L$6,10,0)*VLOOKUP(I1485,$C$3:$L$6,6,0)/12),0))</f>
        <v/>
      </c>
      <c r="K1485" s="29" t="str">
        <f ca="1">IF(C1485&lt;&gt;"",IF(I1485&lt;&gt;"",IF(ISERROR(VLOOKUP(I1485,$C$3:$L$6,10,0)),"",VLOOKUP(I1485,$C$3:$L$6,10,0)+J1485+IF(OR(VLOOKUP(I1485,$C$3:$L$6,5,0)=Variables!$B$5,B1485&gt;VLOOKUP(I1485,$C$3:$L$6,8,0)),IF(VLOOKUP(I1485,$C$3:$L$6,5,0)=Variables!$B$5,((YEAR(B1485)-YEAR($B$12))*12+MONTH(B1485)-MONTH($B$12)),((YEAR(B1485)-YEAR(VLOOKUP(I1485,$C$3:$L$6,8,0)))*12+MONTH(B1485)-MONTH(VLOOKUP(I1485,$C$3:$L$6,8,0))))*VLOOKUP(I1485,$C$3:$L$6,7,0),0)),""),"")</f>
        <v/>
      </c>
      <c r="L1485" s="29" t="str">
        <f t="shared" ca="1" si="124"/>
        <v/>
      </c>
    </row>
    <row r="1486" spans="2:12" x14ac:dyDescent="0.25">
      <c r="B1486" s="14" t="str">
        <f t="shared" ca="1" si="125"/>
        <v/>
      </c>
      <c r="C1486" s="14" t="str">
        <f ca="1">IF(I1485&lt;&gt;Variables!$B$1,IF(H1485&lt;&gt;0,C1485,I1485),"")</f>
        <v/>
      </c>
      <c r="D1486" s="29" t="str">
        <f t="shared" ca="1" si="122"/>
        <v/>
      </c>
      <c r="E1486" s="29" t="str">
        <f t="shared" ca="1" si="123"/>
        <v/>
      </c>
      <c r="F1486" s="29" t="str">
        <f ca="1">IF(C1486&lt;&gt;"",IF(OR(VLOOKUP(C1486,$C$3:$L$6,5,0)=Variables!$B$5,B1486&gt;VLOOKUP(C1486,$C$3:$L$6,8,0)),-D1486*VLOOKUP(C1486,$C$3:$L$6,6,0)/12,0),"")</f>
        <v/>
      </c>
      <c r="G1486" s="29" t="str">
        <f ca="1">IF(I1486&lt;&gt;Variables!$B$1,IF(C1486&lt;&gt;"",$I$9-E1486-F1486,""),-D1486)</f>
        <v/>
      </c>
      <c r="H1486" s="29" t="str">
        <f t="shared" ca="1" si="126"/>
        <v/>
      </c>
      <c r="I1486" s="31" t="str">
        <f ca="1">IF(C1486&lt;&gt;"",IF(D1486+$I$9-E1486-F1486&gt;=0,IF(ISERROR(INDEX($C$3:$C$6,MATCH(C1486,$C$3:$C$6,0)+1,0)),Variables!$B$1,INDEX($C$3:$C$6,MATCH(C1486,$C$3:$C$6,0)+1,0)),""),"")</f>
        <v/>
      </c>
      <c r="J1486" s="29" t="str">
        <f ca="1">IF(ISERROR(VLOOKUP(I1486,$C$3:$L$6,5,0)),"",IF(OR(VLOOKUP(I1486,$C$3:$L$6,5,0)=Variables!$B$5,B1486&gt;VLOOKUP(I1486,$C$3:$L$6,8,0)),IF(VLOOKUP(I1486,$C$3:$L$6,5,0)=Variables!$B$5,((YEAR(B1486)-YEAR($B$12))*12+MONTH(B1486)-MONTH($B$12)),((YEAR(B1486)-YEAR(VLOOKUP(I1486,$C$3:$L$6,8,0)))*12+MONTH(B1486)-MONTH(VLOOKUP(I1486,$C$3:$L$6,8,0))))*(VLOOKUP(I1486,$C$3:$L$6,10,0)*VLOOKUP(I1486,$C$3:$L$6,6,0)/12),0))</f>
        <v/>
      </c>
      <c r="K1486" s="29" t="str">
        <f ca="1">IF(C1486&lt;&gt;"",IF(I1486&lt;&gt;"",IF(ISERROR(VLOOKUP(I1486,$C$3:$L$6,10,0)),"",VLOOKUP(I1486,$C$3:$L$6,10,0)+J1486+IF(OR(VLOOKUP(I1486,$C$3:$L$6,5,0)=Variables!$B$5,B1486&gt;VLOOKUP(I1486,$C$3:$L$6,8,0)),IF(VLOOKUP(I1486,$C$3:$L$6,5,0)=Variables!$B$5,((YEAR(B1486)-YEAR($B$12))*12+MONTH(B1486)-MONTH($B$12)),((YEAR(B1486)-YEAR(VLOOKUP(I1486,$C$3:$L$6,8,0)))*12+MONTH(B1486)-MONTH(VLOOKUP(I1486,$C$3:$L$6,8,0))))*VLOOKUP(I1486,$C$3:$L$6,7,0),0)),""),"")</f>
        <v/>
      </c>
      <c r="L1486" s="29" t="str">
        <f t="shared" ca="1" si="124"/>
        <v/>
      </c>
    </row>
    <row r="1487" spans="2:12" x14ac:dyDescent="0.25">
      <c r="B1487" s="14" t="str">
        <f t="shared" ca="1" si="125"/>
        <v/>
      </c>
      <c r="C1487" s="14" t="str">
        <f ca="1">IF(I1486&lt;&gt;Variables!$B$1,IF(H1486&lt;&gt;0,C1486,I1486),"")</f>
        <v/>
      </c>
      <c r="D1487" s="29" t="str">
        <f t="shared" ca="1" si="122"/>
        <v/>
      </c>
      <c r="E1487" s="29" t="str">
        <f t="shared" ca="1" si="123"/>
        <v/>
      </c>
      <c r="F1487" s="29" t="str">
        <f ca="1">IF(C1487&lt;&gt;"",IF(OR(VLOOKUP(C1487,$C$3:$L$6,5,0)=Variables!$B$5,B1487&gt;VLOOKUP(C1487,$C$3:$L$6,8,0)),-D1487*VLOOKUP(C1487,$C$3:$L$6,6,0)/12,0),"")</f>
        <v/>
      </c>
      <c r="G1487" s="29" t="str">
        <f ca="1">IF(I1487&lt;&gt;Variables!$B$1,IF(C1487&lt;&gt;"",$I$9-E1487-F1487,""),-D1487)</f>
        <v/>
      </c>
      <c r="H1487" s="29" t="str">
        <f t="shared" ca="1" si="126"/>
        <v/>
      </c>
      <c r="I1487" s="31" t="str">
        <f ca="1">IF(C1487&lt;&gt;"",IF(D1487+$I$9-E1487-F1487&gt;=0,IF(ISERROR(INDEX($C$3:$C$6,MATCH(C1487,$C$3:$C$6,0)+1,0)),Variables!$B$1,INDEX($C$3:$C$6,MATCH(C1487,$C$3:$C$6,0)+1,0)),""),"")</f>
        <v/>
      </c>
      <c r="J1487" s="29" t="str">
        <f ca="1">IF(ISERROR(VLOOKUP(I1487,$C$3:$L$6,5,0)),"",IF(OR(VLOOKUP(I1487,$C$3:$L$6,5,0)=Variables!$B$5,B1487&gt;VLOOKUP(I1487,$C$3:$L$6,8,0)),IF(VLOOKUP(I1487,$C$3:$L$6,5,0)=Variables!$B$5,((YEAR(B1487)-YEAR($B$12))*12+MONTH(B1487)-MONTH($B$12)),((YEAR(B1487)-YEAR(VLOOKUP(I1487,$C$3:$L$6,8,0)))*12+MONTH(B1487)-MONTH(VLOOKUP(I1487,$C$3:$L$6,8,0))))*(VLOOKUP(I1487,$C$3:$L$6,10,0)*VLOOKUP(I1487,$C$3:$L$6,6,0)/12),0))</f>
        <v/>
      </c>
      <c r="K1487" s="29" t="str">
        <f ca="1">IF(C1487&lt;&gt;"",IF(I1487&lt;&gt;"",IF(ISERROR(VLOOKUP(I1487,$C$3:$L$6,10,0)),"",VLOOKUP(I1487,$C$3:$L$6,10,0)+J1487+IF(OR(VLOOKUP(I1487,$C$3:$L$6,5,0)=Variables!$B$5,B1487&gt;VLOOKUP(I1487,$C$3:$L$6,8,0)),IF(VLOOKUP(I1487,$C$3:$L$6,5,0)=Variables!$B$5,((YEAR(B1487)-YEAR($B$12))*12+MONTH(B1487)-MONTH($B$12)),((YEAR(B1487)-YEAR(VLOOKUP(I1487,$C$3:$L$6,8,0)))*12+MONTH(B1487)-MONTH(VLOOKUP(I1487,$C$3:$L$6,8,0))))*VLOOKUP(I1487,$C$3:$L$6,7,0),0)),""),"")</f>
        <v/>
      </c>
      <c r="L1487" s="29" t="str">
        <f t="shared" ca="1" si="124"/>
        <v/>
      </c>
    </row>
    <row r="1488" spans="2:12" x14ac:dyDescent="0.25">
      <c r="B1488" s="14" t="str">
        <f t="shared" ca="1" si="125"/>
        <v/>
      </c>
      <c r="C1488" s="14" t="str">
        <f ca="1">IF(I1487&lt;&gt;Variables!$B$1,IF(H1487&lt;&gt;0,C1487,I1487),"")</f>
        <v/>
      </c>
      <c r="D1488" s="29" t="str">
        <f t="shared" ca="1" si="122"/>
        <v/>
      </c>
      <c r="E1488" s="29" t="str">
        <f t="shared" ca="1" si="123"/>
        <v/>
      </c>
      <c r="F1488" s="29" t="str">
        <f ca="1">IF(C1488&lt;&gt;"",IF(OR(VLOOKUP(C1488,$C$3:$L$6,5,0)=Variables!$B$5,B1488&gt;VLOOKUP(C1488,$C$3:$L$6,8,0)),-D1488*VLOOKUP(C1488,$C$3:$L$6,6,0)/12,0),"")</f>
        <v/>
      </c>
      <c r="G1488" s="29" t="str">
        <f ca="1">IF(I1488&lt;&gt;Variables!$B$1,IF(C1488&lt;&gt;"",$I$9-E1488-F1488,""),-D1488)</f>
        <v/>
      </c>
      <c r="H1488" s="29" t="str">
        <f t="shared" ca="1" si="126"/>
        <v/>
      </c>
      <c r="I1488" s="31" t="str">
        <f ca="1">IF(C1488&lt;&gt;"",IF(D1488+$I$9-E1488-F1488&gt;=0,IF(ISERROR(INDEX($C$3:$C$6,MATCH(C1488,$C$3:$C$6,0)+1,0)),Variables!$B$1,INDEX($C$3:$C$6,MATCH(C1488,$C$3:$C$6,0)+1,0)),""),"")</f>
        <v/>
      </c>
      <c r="J1488" s="29" t="str">
        <f ca="1">IF(ISERROR(VLOOKUP(I1488,$C$3:$L$6,5,0)),"",IF(OR(VLOOKUP(I1488,$C$3:$L$6,5,0)=Variables!$B$5,B1488&gt;VLOOKUP(I1488,$C$3:$L$6,8,0)),IF(VLOOKUP(I1488,$C$3:$L$6,5,0)=Variables!$B$5,((YEAR(B1488)-YEAR($B$12))*12+MONTH(B1488)-MONTH($B$12)),((YEAR(B1488)-YEAR(VLOOKUP(I1488,$C$3:$L$6,8,0)))*12+MONTH(B1488)-MONTH(VLOOKUP(I1488,$C$3:$L$6,8,0))))*(VLOOKUP(I1488,$C$3:$L$6,10,0)*VLOOKUP(I1488,$C$3:$L$6,6,0)/12),0))</f>
        <v/>
      </c>
      <c r="K1488" s="29" t="str">
        <f ca="1">IF(C1488&lt;&gt;"",IF(I1488&lt;&gt;"",IF(ISERROR(VLOOKUP(I1488,$C$3:$L$6,10,0)),"",VLOOKUP(I1488,$C$3:$L$6,10,0)+J1488+IF(OR(VLOOKUP(I1488,$C$3:$L$6,5,0)=Variables!$B$5,B1488&gt;VLOOKUP(I1488,$C$3:$L$6,8,0)),IF(VLOOKUP(I1488,$C$3:$L$6,5,0)=Variables!$B$5,((YEAR(B1488)-YEAR($B$12))*12+MONTH(B1488)-MONTH($B$12)),((YEAR(B1488)-YEAR(VLOOKUP(I1488,$C$3:$L$6,8,0)))*12+MONTH(B1488)-MONTH(VLOOKUP(I1488,$C$3:$L$6,8,0))))*VLOOKUP(I1488,$C$3:$L$6,7,0),0)),""),"")</f>
        <v/>
      </c>
      <c r="L1488" s="29" t="str">
        <f t="shared" ca="1" si="124"/>
        <v/>
      </c>
    </row>
    <row r="1489" spans="2:12" x14ac:dyDescent="0.25">
      <c r="B1489" s="14" t="str">
        <f t="shared" ca="1" si="125"/>
        <v/>
      </c>
      <c r="C1489" s="14" t="str">
        <f ca="1">IF(I1488&lt;&gt;Variables!$B$1,IF(H1488&lt;&gt;0,C1488,I1488),"")</f>
        <v/>
      </c>
      <c r="D1489" s="29" t="str">
        <f t="shared" ca="1" si="122"/>
        <v/>
      </c>
      <c r="E1489" s="29" t="str">
        <f t="shared" ca="1" si="123"/>
        <v/>
      </c>
      <c r="F1489" s="29" t="str">
        <f ca="1">IF(C1489&lt;&gt;"",IF(OR(VLOOKUP(C1489,$C$3:$L$6,5,0)=Variables!$B$5,B1489&gt;VLOOKUP(C1489,$C$3:$L$6,8,0)),-D1489*VLOOKUP(C1489,$C$3:$L$6,6,0)/12,0),"")</f>
        <v/>
      </c>
      <c r="G1489" s="29" t="str">
        <f ca="1">IF(I1489&lt;&gt;Variables!$B$1,IF(C1489&lt;&gt;"",$I$9-E1489-F1489,""),-D1489)</f>
        <v/>
      </c>
      <c r="H1489" s="29" t="str">
        <f t="shared" ca="1" si="126"/>
        <v/>
      </c>
      <c r="I1489" s="31" t="str">
        <f ca="1">IF(C1489&lt;&gt;"",IF(D1489+$I$9-E1489-F1489&gt;=0,IF(ISERROR(INDEX($C$3:$C$6,MATCH(C1489,$C$3:$C$6,0)+1,0)),Variables!$B$1,INDEX($C$3:$C$6,MATCH(C1489,$C$3:$C$6,0)+1,0)),""),"")</f>
        <v/>
      </c>
      <c r="J1489" s="29" t="str">
        <f ca="1">IF(ISERROR(VLOOKUP(I1489,$C$3:$L$6,5,0)),"",IF(OR(VLOOKUP(I1489,$C$3:$L$6,5,0)=Variables!$B$5,B1489&gt;VLOOKUP(I1489,$C$3:$L$6,8,0)),IF(VLOOKUP(I1489,$C$3:$L$6,5,0)=Variables!$B$5,((YEAR(B1489)-YEAR($B$12))*12+MONTH(B1489)-MONTH($B$12)),((YEAR(B1489)-YEAR(VLOOKUP(I1489,$C$3:$L$6,8,0)))*12+MONTH(B1489)-MONTH(VLOOKUP(I1489,$C$3:$L$6,8,0))))*(VLOOKUP(I1489,$C$3:$L$6,10,0)*VLOOKUP(I1489,$C$3:$L$6,6,0)/12),0))</f>
        <v/>
      </c>
      <c r="K1489" s="29" t="str">
        <f ca="1">IF(C1489&lt;&gt;"",IF(I1489&lt;&gt;"",IF(ISERROR(VLOOKUP(I1489,$C$3:$L$6,10,0)),"",VLOOKUP(I1489,$C$3:$L$6,10,0)+J1489+IF(OR(VLOOKUP(I1489,$C$3:$L$6,5,0)=Variables!$B$5,B1489&gt;VLOOKUP(I1489,$C$3:$L$6,8,0)),IF(VLOOKUP(I1489,$C$3:$L$6,5,0)=Variables!$B$5,((YEAR(B1489)-YEAR($B$12))*12+MONTH(B1489)-MONTH($B$12)),((YEAR(B1489)-YEAR(VLOOKUP(I1489,$C$3:$L$6,8,0)))*12+MONTH(B1489)-MONTH(VLOOKUP(I1489,$C$3:$L$6,8,0))))*VLOOKUP(I1489,$C$3:$L$6,7,0),0)),""),"")</f>
        <v/>
      </c>
      <c r="L1489" s="29" t="str">
        <f t="shared" ca="1" si="124"/>
        <v/>
      </c>
    </row>
    <row r="1490" spans="2:12" x14ac:dyDescent="0.25">
      <c r="B1490" s="14" t="str">
        <f t="shared" ca="1" si="125"/>
        <v/>
      </c>
      <c r="C1490" s="14" t="str">
        <f ca="1">IF(I1489&lt;&gt;Variables!$B$1,IF(H1489&lt;&gt;0,C1489,I1489),"")</f>
        <v/>
      </c>
      <c r="D1490" s="29" t="str">
        <f t="shared" ca="1" si="122"/>
        <v/>
      </c>
      <c r="E1490" s="29" t="str">
        <f t="shared" ca="1" si="123"/>
        <v/>
      </c>
      <c r="F1490" s="29" t="str">
        <f ca="1">IF(C1490&lt;&gt;"",IF(OR(VLOOKUP(C1490,$C$3:$L$6,5,0)=Variables!$B$5,B1490&gt;VLOOKUP(C1490,$C$3:$L$6,8,0)),-D1490*VLOOKUP(C1490,$C$3:$L$6,6,0)/12,0),"")</f>
        <v/>
      </c>
      <c r="G1490" s="29" t="str">
        <f ca="1">IF(I1490&lt;&gt;Variables!$B$1,IF(C1490&lt;&gt;"",$I$9-E1490-F1490,""),-D1490)</f>
        <v/>
      </c>
      <c r="H1490" s="29" t="str">
        <f t="shared" ca="1" si="126"/>
        <v/>
      </c>
      <c r="I1490" s="31" t="str">
        <f ca="1">IF(C1490&lt;&gt;"",IF(D1490+$I$9-E1490-F1490&gt;=0,IF(ISERROR(INDEX($C$3:$C$6,MATCH(C1490,$C$3:$C$6,0)+1,0)),Variables!$B$1,INDEX($C$3:$C$6,MATCH(C1490,$C$3:$C$6,0)+1,0)),""),"")</f>
        <v/>
      </c>
      <c r="J1490" s="29" t="str">
        <f ca="1">IF(ISERROR(VLOOKUP(I1490,$C$3:$L$6,5,0)),"",IF(OR(VLOOKUP(I1490,$C$3:$L$6,5,0)=Variables!$B$5,B1490&gt;VLOOKUP(I1490,$C$3:$L$6,8,0)),IF(VLOOKUP(I1490,$C$3:$L$6,5,0)=Variables!$B$5,((YEAR(B1490)-YEAR($B$12))*12+MONTH(B1490)-MONTH($B$12)),((YEAR(B1490)-YEAR(VLOOKUP(I1490,$C$3:$L$6,8,0)))*12+MONTH(B1490)-MONTH(VLOOKUP(I1490,$C$3:$L$6,8,0))))*(VLOOKUP(I1490,$C$3:$L$6,10,0)*VLOOKUP(I1490,$C$3:$L$6,6,0)/12),0))</f>
        <v/>
      </c>
      <c r="K1490" s="29" t="str">
        <f ca="1">IF(C1490&lt;&gt;"",IF(I1490&lt;&gt;"",IF(ISERROR(VLOOKUP(I1490,$C$3:$L$6,10,0)),"",VLOOKUP(I1490,$C$3:$L$6,10,0)+J1490+IF(OR(VLOOKUP(I1490,$C$3:$L$6,5,0)=Variables!$B$5,B1490&gt;VLOOKUP(I1490,$C$3:$L$6,8,0)),IF(VLOOKUP(I1490,$C$3:$L$6,5,0)=Variables!$B$5,((YEAR(B1490)-YEAR($B$12))*12+MONTH(B1490)-MONTH($B$12)),((YEAR(B1490)-YEAR(VLOOKUP(I1490,$C$3:$L$6,8,0)))*12+MONTH(B1490)-MONTH(VLOOKUP(I1490,$C$3:$L$6,8,0))))*VLOOKUP(I1490,$C$3:$L$6,7,0),0)),""),"")</f>
        <v/>
      </c>
      <c r="L1490" s="29" t="str">
        <f t="shared" ca="1" si="124"/>
        <v/>
      </c>
    </row>
    <row r="1491" spans="2:12" x14ac:dyDescent="0.25">
      <c r="B1491" s="14" t="str">
        <f t="shared" ca="1" si="125"/>
        <v/>
      </c>
      <c r="C1491" s="14" t="str">
        <f ca="1">IF(I1490&lt;&gt;Variables!$B$1,IF(H1490&lt;&gt;0,C1490,I1490),"")</f>
        <v/>
      </c>
      <c r="D1491" s="29" t="str">
        <f t="shared" ca="1" si="122"/>
        <v/>
      </c>
      <c r="E1491" s="29" t="str">
        <f t="shared" ca="1" si="123"/>
        <v/>
      </c>
      <c r="F1491" s="29" t="str">
        <f ca="1">IF(C1491&lt;&gt;"",IF(OR(VLOOKUP(C1491,$C$3:$L$6,5,0)=Variables!$B$5,B1491&gt;VLOOKUP(C1491,$C$3:$L$6,8,0)),-D1491*VLOOKUP(C1491,$C$3:$L$6,6,0)/12,0),"")</f>
        <v/>
      </c>
      <c r="G1491" s="29" t="str">
        <f ca="1">IF(I1491&lt;&gt;Variables!$B$1,IF(C1491&lt;&gt;"",$I$9-E1491-F1491,""),-D1491)</f>
        <v/>
      </c>
      <c r="H1491" s="29" t="str">
        <f t="shared" ca="1" si="126"/>
        <v/>
      </c>
      <c r="I1491" s="31" t="str">
        <f ca="1">IF(C1491&lt;&gt;"",IF(D1491+$I$9-E1491-F1491&gt;=0,IF(ISERROR(INDEX($C$3:$C$6,MATCH(C1491,$C$3:$C$6,0)+1,0)),Variables!$B$1,INDEX($C$3:$C$6,MATCH(C1491,$C$3:$C$6,0)+1,0)),""),"")</f>
        <v/>
      </c>
      <c r="J1491" s="29" t="str">
        <f ca="1">IF(ISERROR(VLOOKUP(I1491,$C$3:$L$6,5,0)),"",IF(OR(VLOOKUP(I1491,$C$3:$L$6,5,0)=Variables!$B$5,B1491&gt;VLOOKUP(I1491,$C$3:$L$6,8,0)),IF(VLOOKUP(I1491,$C$3:$L$6,5,0)=Variables!$B$5,((YEAR(B1491)-YEAR($B$12))*12+MONTH(B1491)-MONTH($B$12)),((YEAR(B1491)-YEAR(VLOOKUP(I1491,$C$3:$L$6,8,0)))*12+MONTH(B1491)-MONTH(VLOOKUP(I1491,$C$3:$L$6,8,0))))*(VLOOKUP(I1491,$C$3:$L$6,10,0)*VLOOKUP(I1491,$C$3:$L$6,6,0)/12),0))</f>
        <v/>
      </c>
      <c r="K1491" s="29" t="str">
        <f ca="1">IF(C1491&lt;&gt;"",IF(I1491&lt;&gt;"",IF(ISERROR(VLOOKUP(I1491,$C$3:$L$6,10,0)),"",VLOOKUP(I1491,$C$3:$L$6,10,0)+J1491+IF(OR(VLOOKUP(I1491,$C$3:$L$6,5,0)=Variables!$B$5,B1491&gt;VLOOKUP(I1491,$C$3:$L$6,8,0)),IF(VLOOKUP(I1491,$C$3:$L$6,5,0)=Variables!$B$5,((YEAR(B1491)-YEAR($B$12))*12+MONTH(B1491)-MONTH($B$12)),((YEAR(B1491)-YEAR(VLOOKUP(I1491,$C$3:$L$6,8,0)))*12+MONTH(B1491)-MONTH(VLOOKUP(I1491,$C$3:$L$6,8,0))))*VLOOKUP(I1491,$C$3:$L$6,7,0),0)),""),"")</f>
        <v/>
      </c>
      <c r="L1491" s="29" t="str">
        <f t="shared" ca="1" si="124"/>
        <v/>
      </c>
    </row>
    <row r="1492" spans="2:12" x14ac:dyDescent="0.25">
      <c r="B1492" s="14" t="str">
        <f t="shared" ca="1" si="125"/>
        <v/>
      </c>
      <c r="C1492" s="14" t="str">
        <f ca="1">IF(I1491&lt;&gt;Variables!$B$1,IF(H1491&lt;&gt;0,C1491,I1491),"")</f>
        <v/>
      </c>
      <c r="D1492" s="29" t="str">
        <f t="shared" ca="1" si="122"/>
        <v/>
      </c>
      <c r="E1492" s="29" t="str">
        <f t="shared" ca="1" si="123"/>
        <v/>
      </c>
      <c r="F1492" s="29" t="str">
        <f ca="1">IF(C1492&lt;&gt;"",IF(OR(VLOOKUP(C1492,$C$3:$L$6,5,0)=Variables!$B$5,B1492&gt;VLOOKUP(C1492,$C$3:$L$6,8,0)),-D1492*VLOOKUP(C1492,$C$3:$L$6,6,0)/12,0),"")</f>
        <v/>
      </c>
      <c r="G1492" s="29" t="str">
        <f ca="1">IF(I1492&lt;&gt;Variables!$B$1,IF(C1492&lt;&gt;"",$I$9-E1492-F1492,""),-D1492)</f>
        <v/>
      </c>
      <c r="H1492" s="29" t="str">
        <f t="shared" ca="1" si="126"/>
        <v/>
      </c>
      <c r="I1492" s="31" t="str">
        <f ca="1">IF(C1492&lt;&gt;"",IF(D1492+$I$9-E1492-F1492&gt;=0,IF(ISERROR(INDEX($C$3:$C$6,MATCH(C1492,$C$3:$C$6,0)+1,0)),Variables!$B$1,INDEX($C$3:$C$6,MATCH(C1492,$C$3:$C$6,0)+1,0)),""),"")</f>
        <v/>
      </c>
      <c r="J1492" s="29" t="str">
        <f ca="1">IF(ISERROR(VLOOKUP(I1492,$C$3:$L$6,5,0)),"",IF(OR(VLOOKUP(I1492,$C$3:$L$6,5,0)=Variables!$B$5,B1492&gt;VLOOKUP(I1492,$C$3:$L$6,8,0)),IF(VLOOKUP(I1492,$C$3:$L$6,5,0)=Variables!$B$5,((YEAR(B1492)-YEAR($B$12))*12+MONTH(B1492)-MONTH($B$12)),((YEAR(B1492)-YEAR(VLOOKUP(I1492,$C$3:$L$6,8,0)))*12+MONTH(B1492)-MONTH(VLOOKUP(I1492,$C$3:$L$6,8,0))))*(VLOOKUP(I1492,$C$3:$L$6,10,0)*VLOOKUP(I1492,$C$3:$L$6,6,0)/12),0))</f>
        <v/>
      </c>
      <c r="K1492" s="29" t="str">
        <f ca="1">IF(C1492&lt;&gt;"",IF(I1492&lt;&gt;"",IF(ISERROR(VLOOKUP(I1492,$C$3:$L$6,10,0)),"",VLOOKUP(I1492,$C$3:$L$6,10,0)+J1492+IF(OR(VLOOKUP(I1492,$C$3:$L$6,5,0)=Variables!$B$5,B1492&gt;VLOOKUP(I1492,$C$3:$L$6,8,0)),IF(VLOOKUP(I1492,$C$3:$L$6,5,0)=Variables!$B$5,((YEAR(B1492)-YEAR($B$12))*12+MONTH(B1492)-MONTH($B$12)),((YEAR(B1492)-YEAR(VLOOKUP(I1492,$C$3:$L$6,8,0)))*12+MONTH(B1492)-MONTH(VLOOKUP(I1492,$C$3:$L$6,8,0))))*VLOOKUP(I1492,$C$3:$L$6,7,0),0)),""),"")</f>
        <v/>
      </c>
      <c r="L1492" s="29" t="str">
        <f t="shared" ca="1" si="124"/>
        <v/>
      </c>
    </row>
    <row r="1493" spans="2:12" x14ac:dyDescent="0.25">
      <c r="B1493" s="14" t="str">
        <f t="shared" ca="1" si="125"/>
        <v/>
      </c>
      <c r="C1493" s="14" t="str">
        <f ca="1">IF(I1492&lt;&gt;Variables!$B$1,IF(H1492&lt;&gt;0,C1492,I1492),"")</f>
        <v/>
      </c>
      <c r="D1493" s="29" t="str">
        <f t="shared" ca="1" si="122"/>
        <v/>
      </c>
      <c r="E1493" s="29" t="str">
        <f t="shared" ca="1" si="123"/>
        <v/>
      </c>
      <c r="F1493" s="29" t="str">
        <f ca="1">IF(C1493&lt;&gt;"",IF(OR(VLOOKUP(C1493,$C$3:$L$6,5,0)=Variables!$B$5,B1493&gt;VLOOKUP(C1493,$C$3:$L$6,8,0)),-D1493*VLOOKUP(C1493,$C$3:$L$6,6,0)/12,0),"")</f>
        <v/>
      </c>
      <c r="G1493" s="29" t="str">
        <f ca="1">IF(I1493&lt;&gt;Variables!$B$1,IF(C1493&lt;&gt;"",$I$9-E1493-F1493,""),-D1493)</f>
        <v/>
      </c>
      <c r="H1493" s="29" t="str">
        <f t="shared" ca="1" si="126"/>
        <v/>
      </c>
      <c r="I1493" s="31" t="str">
        <f ca="1">IF(C1493&lt;&gt;"",IF(D1493+$I$9-E1493-F1493&gt;=0,IF(ISERROR(INDEX($C$3:$C$6,MATCH(C1493,$C$3:$C$6,0)+1,0)),Variables!$B$1,INDEX($C$3:$C$6,MATCH(C1493,$C$3:$C$6,0)+1,0)),""),"")</f>
        <v/>
      </c>
      <c r="J1493" s="29" t="str">
        <f ca="1">IF(ISERROR(VLOOKUP(I1493,$C$3:$L$6,5,0)),"",IF(OR(VLOOKUP(I1493,$C$3:$L$6,5,0)=Variables!$B$5,B1493&gt;VLOOKUP(I1493,$C$3:$L$6,8,0)),IF(VLOOKUP(I1493,$C$3:$L$6,5,0)=Variables!$B$5,((YEAR(B1493)-YEAR($B$12))*12+MONTH(B1493)-MONTH($B$12)),((YEAR(B1493)-YEAR(VLOOKUP(I1493,$C$3:$L$6,8,0)))*12+MONTH(B1493)-MONTH(VLOOKUP(I1493,$C$3:$L$6,8,0))))*(VLOOKUP(I1493,$C$3:$L$6,10,0)*VLOOKUP(I1493,$C$3:$L$6,6,0)/12),0))</f>
        <v/>
      </c>
      <c r="K1493" s="29" t="str">
        <f ca="1">IF(C1493&lt;&gt;"",IF(I1493&lt;&gt;"",IF(ISERROR(VLOOKUP(I1493,$C$3:$L$6,10,0)),"",VLOOKUP(I1493,$C$3:$L$6,10,0)+J1493+IF(OR(VLOOKUP(I1493,$C$3:$L$6,5,0)=Variables!$B$5,B1493&gt;VLOOKUP(I1493,$C$3:$L$6,8,0)),IF(VLOOKUP(I1493,$C$3:$L$6,5,0)=Variables!$B$5,((YEAR(B1493)-YEAR($B$12))*12+MONTH(B1493)-MONTH($B$12)),((YEAR(B1493)-YEAR(VLOOKUP(I1493,$C$3:$L$6,8,0)))*12+MONTH(B1493)-MONTH(VLOOKUP(I1493,$C$3:$L$6,8,0))))*VLOOKUP(I1493,$C$3:$L$6,7,0),0)),""),"")</f>
        <v/>
      </c>
      <c r="L1493" s="29" t="str">
        <f t="shared" ca="1" si="124"/>
        <v/>
      </c>
    </row>
    <row r="1494" spans="2:12" x14ac:dyDescent="0.25">
      <c r="B1494" s="14" t="str">
        <f t="shared" ca="1" si="125"/>
        <v/>
      </c>
      <c r="C1494" s="14" t="str">
        <f ca="1">IF(I1493&lt;&gt;Variables!$B$1,IF(H1493&lt;&gt;0,C1493,I1493),"")</f>
        <v/>
      </c>
      <c r="D1494" s="29" t="str">
        <f t="shared" ca="1" si="122"/>
        <v/>
      </c>
      <c r="E1494" s="29" t="str">
        <f t="shared" ca="1" si="123"/>
        <v/>
      </c>
      <c r="F1494" s="29" t="str">
        <f ca="1">IF(C1494&lt;&gt;"",IF(OR(VLOOKUP(C1494,$C$3:$L$6,5,0)=Variables!$B$5,B1494&gt;VLOOKUP(C1494,$C$3:$L$6,8,0)),-D1494*VLOOKUP(C1494,$C$3:$L$6,6,0)/12,0),"")</f>
        <v/>
      </c>
      <c r="G1494" s="29" t="str">
        <f ca="1">IF(I1494&lt;&gt;Variables!$B$1,IF(C1494&lt;&gt;"",$I$9-E1494-F1494,""),-D1494)</f>
        <v/>
      </c>
      <c r="H1494" s="29" t="str">
        <f t="shared" ca="1" si="126"/>
        <v/>
      </c>
      <c r="I1494" s="31" t="str">
        <f ca="1">IF(C1494&lt;&gt;"",IF(D1494+$I$9-E1494-F1494&gt;=0,IF(ISERROR(INDEX($C$3:$C$6,MATCH(C1494,$C$3:$C$6,0)+1,0)),Variables!$B$1,INDEX($C$3:$C$6,MATCH(C1494,$C$3:$C$6,0)+1,0)),""),"")</f>
        <v/>
      </c>
      <c r="J1494" s="29" t="str">
        <f ca="1">IF(ISERROR(VLOOKUP(I1494,$C$3:$L$6,5,0)),"",IF(OR(VLOOKUP(I1494,$C$3:$L$6,5,0)=Variables!$B$5,B1494&gt;VLOOKUP(I1494,$C$3:$L$6,8,0)),IF(VLOOKUP(I1494,$C$3:$L$6,5,0)=Variables!$B$5,((YEAR(B1494)-YEAR($B$12))*12+MONTH(B1494)-MONTH($B$12)),((YEAR(B1494)-YEAR(VLOOKUP(I1494,$C$3:$L$6,8,0)))*12+MONTH(B1494)-MONTH(VLOOKUP(I1494,$C$3:$L$6,8,0))))*(VLOOKUP(I1494,$C$3:$L$6,10,0)*VLOOKUP(I1494,$C$3:$L$6,6,0)/12),0))</f>
        <v/>
      </c>
      <c r="K1494" s="29" t="str">
        <f ca="1">IF(C1494&lt;&gt;"",IF(I1494&lt;&gt;"",IF(ISERROR(VLOOKUP(I1494,$C$3:$L$6,10,0)),"",VLOOKUP(I1494,$C$3:$L$6,10,0)+J1494+IF(OR(VLOOKUP(I1494,$C$3:$L$6,5,0)=Variables!$B$5,B1494&gt;VLOOKUP(I1494,$C$3:$L$6,8,0)),IF(VLOOKUP(I1494,$C$3:$L$6,5,0)=Variables!$B$5,((YEAR(B1494)-YEAR($B$12))*12+MONTH(B1494)-MONTH($B$12)),((YEAR(B1494)-YEAR(VLOOKUP(I1494,$C$3:$L$6,8,0)))*12+MONTH(B1494)-MONTH(VLOOKUP(I1494,$C$3:$L$6,8,0))))*VLOOKUP(I1494,$C$3:$L$6,7,0),0)),""),"")</f>
        <v/>
      </c>
      <c r="L1494" s="29" t="str">
        <f t="shared" ca="1" si="124"/>
        <v/>
      </c>
    </row>
    <row r="1495" spans="2:12" x14ac:dyDescent="0.25">
      <c r="B1495" s="14" t="str">
        <f t="shared" ca="1" si="125"/>
        <v/>
      </c>
      <c r="C1495" s="14" t="str">
        <f ca="1">IF(I1494&lt;&gt;Variables!$B$1,IF(H1494&lt;&gt;0,C1494,I1494),"")</f>
        <v/>
      </c>
      <c r="D1495" s="29" t="str">
        <f t="shared" ca="1" si="122"/>
        <v/>
      </c>
      <c r="E1495" s="29" t="str">
        <f t="shared" ca="1" si="123"/>
        <v/>
      </c>
      <c r="F1495" s="29" t="str">
        <f ca="1">IF(C1495&lt;&gt;"",IF(OR(VLOOKUP(C1495,$C$3:$L$6,5,0)=Variables!$B$5,B1495&gt;VLOOKUP(C1495,$C$3:$L$6,8,0)),-D1495*VLOOKUP(C1495,$C$3:$L$6,6,0)/12,0),"")</f>
        <v/>
      </c>
      <c r="G1495" s="29" t="str">
        <f ca="1">IF(I1495&lt;&gt;Variables!$B$1,IF(C1495&lt;&gt;"",$I$9-E1495-F1495,""),-D1495)</f>
        <v/>
      </c>
      <c r="H1495" s="29" t="str">
        <f t="shared" ca="1" si="126"/>
        <v/>
      </c>
      <c r="I1495" s="31" t="str">
        <f ca="1">IF(C1495&lt;&gt;"",IF(D1495+$I$9-E1495-F1495&gt;=0,IF(ISERROR(INDEX($C$3:$C$6,MATCH(C1495,$C$3:$C$6,0)+1,0)),Variables!$B$1,INDEX($C$3:$C$6,MATCH(C1495,$C$3:$C$6,0)+1,0)),""),"")</f>
        <v/>
      </c>
      <c r="J1495" s="29" t="str">
        <f ca="1">IF(ISERROR(VLOOKUP(I1495,$C$3:$L$6,5,0)),"",IF(OR(VLOOKUP(I1495,$C$3:$L$6,5,0)=Variables!$B$5,B1495&gt;VLOOKUP(I1495,$C$3:$L$6,8,0)),IF(VLOOKUP(I1495,$C$3:$L$6,5,0)=Variables!$B$5,((YEAR(B1495)-YEAR($B$12))*12+MONTH(B1495)-MONTH($B$12)),((YEAR(B1495)-YEAR(VLOOKUP(I1495,$C$3:$L$6,8,0)))*12+MONTH(B1495)-MONTH(VLOOKUP(I1495,$C$3:$L$6,8,0))))*(VLOOKUP(I1495,$C$3:$L$6,10,0)*VLOOKUP(I1495,$C$3:$L$6,6,0)/12),0))</f>
        <v/>
      </c>
      <c r="K1495" s="29" t="str">
        <f ca="1">IF(C1495&lt;&gt;"",IF(I1495&lt;&gt;"",IF(ISERROR(VLOOKUP(I1495,$C$3:$L$6,10,0)),"",VLOOKUP(I1495,$C$3:$L$6,10,0)+J1495+IF(OR(VLOOKUP(I1495,$C$3:$L$6,5,0)=Variables!$B$5,B1495&gt;VLOOKUP(I1495,$C$3:$L$6,8,0)),IF(VLOOKUP(I1495,$C$3:$L$6,5,0)=Variables!$B$5,((YEAR(B1495)-YEAR($B$12))*12+MONTH(B1495)-MONTH($B$12)),((YEAR(B1495)-YEAR(VLOOKUP(I1495,$C$3:$L$6,8,0)))*12+MONTH(B1495)-MONTH(VLOOKUP(I1495,$C$3:$L$6,8,0))))*VLOOKUP(I1495,$C$3:$L$6,7,0),0)),""),"")</f>
        <v/>
      </c>
      <c r="L1495" s="29" t="str">
        <f t="shared" ca="1" si="124"/>
        <v/>
      </c>
    </row>
    <row r="1496" spans="2:12" x14ac:dyDescent="0.25">
      <c r="B1496" s="14" t="str">
        <f t="shared" ca="1" si="125"/>
        <v/>
      </c>
      <c r="C1496" s="14" t="str">
        <f ca="1">IF(I1495&lt;&gt;Variables!$B$1,IF(H1495&lt;&gt;0,C1495,I1495),"")</f>
        <v/>
      </c>
      <c r="D1496" s="29" t="str">
        <f t="shared" ca="1" si="122"/>
        <v/>
      </c>
      <c r="E1496" s="29" t="str">
        <f t="shared" ca="1" si="123"/>
        <v/>
      </c>
      <c r="F1496" s="29" t="str">
        <f ca="1">IF(C1496&lt;&gt;"",IF(OR(VLOOKUP(C1496,$C$3:$L$6,5,0)=Variables!$B$5,B1496&gt;VLOOKUP(C1496,$C$3:$L$6,8,0)),-D1496*VLOOKUP(C1496,$C$3:$L$6,6,0)/12,0),"")</f>
        <v/>
      </c>
      <c r="G1496" s="29" t="str">
        <f ca="1">IF(I1496&lt;&gt;Variables!$B$1,IF(C1496&lt;&gt;"",$I$9-E1496-F1496,""),-D1496)</f>
        <v/>
      </c>
      <c r="H1496" s="29" t="str">
        <f t="shared" ca="1" si="126"/>
        <v/>
      </c>
      <c r="I1496" s="31" t="str">
        <f ca="1">IF(C1496&lt;&gt;"",IF(D1496+$I$9-E1496-F1496&gt;=0,IF(ISERROR(INDEX($C$3:$C$6,MATCH(C1496,$C$3:$C$6,0)+1,0)),Variables!$B$1,INDEX($C$3:$C$6,MATCH(C1496,$C$3:$C$6,0)+1,0)),""),"")</f>
        <v/>
      </c>
      <c r="J1496" s="29" t="str">
        <f ca="1">IF(ISERROR(VLOOKUP(I1496,$C$3:$L$6,5,0)),"",IF(OR(VLOOKUP(I1496,$C$3:$L$6,5,0)=Variables!$B$5,B1496&gt;VLOOKUP(I1496,$C$3:$L$6,8,0)),IF(VLOOKUP(I1496,$C$3:$L$6,5,0)=Variables!$B$5,((YEAR(B1496)-YEAR($B$12))*12+MONTH(B1496)-MONTH($B$12)),((YEAR(B1496)-YEAR(VLOOKUP(I1496,$C$3:$L$6,8,0)))*12+MONTH(B1496)-MONTH(VLOOKUP(I1496,$C$3:$L$6,8,0))))*(VLOOKUP(I1496,$C$3:$L$6,10,0)*VLOOKUP(I1496,$C$3:$L$6,6,0)/12),0))</f>
        <v/>
      </c>
      <c r="K1496" s="29" t="str">
        <f ca="1">IF(C1496&lt;&gt;"",IF(I1496&lt;&gt;"",IF(ISERROR(VLOOKUP(I1496,$C$3:$L$6,10,0)),"",VLOOKUP(I1496,$C$3:$L$6,10,0)+J1496+IF(OR(VLOOKUP(I1496,$C$3:$L$6,5,0)=Variables!$B$5,B1496&gt;VLOOKUP(I1496,$C$3:$L$6,8,0)),IF(VLOOKUP(I1496,$C$3:$L$6,5,0)=Variables!$B$5,((YEAR(B1496)-YEAR($B$12))*12+MONTH(B1496)-MONTH($B$12)),((YEAR(B1496)-YEAR(VLOOKUP(I1496,$C$3:$L$6,8,0)))*12+MONTH(B1496)-MONTH(VLOOKUP(I1496,$C$3:$L$6,8,0))))*VLOOKUP(I1496,$C$3:$L$6,7,0),0)),""),"")</f>
        <v/>
      </c>
      <c r="L1496" s="29" t="str">
        <f t="shared" ca="1" si="124"/>
        <v/>
      </c>
    </row>
    <row r="1497" spans="2:12" x14ac:dyDescent="0.25">
      <c r="B1497" s="14" t="str">
        <f t="shared" ca="1" si="125"/>
        <v/>
      </c>
      <c r="C1497" s="14" t="str">
        <f ca="1">IF(I1496&lt;&gt;Variables!$B$1,IF(H1496&lt;&gt;0,C1496,I1496),"")</f>
        <v/>
      </c>
      <c r="D1497" s="29" t="str">
        <f t="shared" ca="1" si="122"/>
        <v/>
      </c>
      <c r="E1497" s="29" t="str">
        <f t="shared" ca="1" si="123"/>
        <v/>
      </c>
      <c r="F1497" s="29" t="str">
        <f ca="1">IF(C1497&lt;&gt;"",IF(OR(VLOOKUP(C1497,$C$3:$L$6,5,0)=Variables!$B$5,B1497&gt;VLOOKUP(C1497,$C$3:$L$6,8,0)),-D1497*VLOOKUP(C1497,$C$3:$L$6,6,0)/12,0),"")</f>
        <v/>
      </c>
      <c r="G1497" s="29" t="str">
        <f ca="1">IF(I1497&lt;&gt;Variables!$B$1,IF(C1497&lt;&gt;"",$I$9-E1497-F1497,""),-D1497)</f>
        <v/>
      </c>
      <c r="H1497" s="29" t="str">
        <f t="shared" ca="1" si="126"/>
        <v/>
      </c>
      <c r="I1497" s="31" t="str">
        <f ca="1">IF(C1497&lt;&gt;"",IF(D1497+$I$9-E1497-F1497&gt;=0,IF(ISERROR(INDEX($C$3:$C$6,MATCH(C1497,$C$3:$C$6,0)+1,0)),Variables!$B$1,INDEX($C$3:$C$6,MATCH(C1497,$C$3:$C$6,0)+1,0)),""),"")</f>
        <v/>
      </c>
      <c r="J1497" s="29" t="str">
        <f ca="1">IF(ISERROR(VLOOKUP(I1497,$C$3:$L$6,5,0)),"",IF(OR(VLOOKUP(I1497,$C$3:$L$6,5,0)=Variables!$B$5,B1497&gt;VLOOKUP(I1497,$C$3:$L$6,8,0)),IF(VLOOKUP(I1497,$C$3:$L$6,5,0)=Variables!$B$5,((YEAR(B1497)-YEAR($B$12))*12+MONTH(B1497)-MONTH($B$12)),((YEAR(B1497)-YEAR(VLOOKUP(I1497,$C$3:$L$6,8,0)))*12+MONTH(B1497)-MONTH(VLOOKUP(I1497,$C$3:$L$6,8,0))))*(VLOOKUP(I1497,$C$3:$L$6,10,0)*VLOOKUP(I1497,$C$3:$L$6,6,0)/12),0))</f>
        <v/>
      </c>
      <c r="K1497" s="29" t="str">
        <f ca="1">IF(C1497&lt;&gt;"",IF(I1497&lt;&gt;"",IF(ISERROR(VLOOKUP(I1497,$C$3:$L$6,10,0)),"",VLOOKUP(I1497,$C$3:$L$6,10,0)+J1497+IF(OR(VLOOKUP(I1497,$C$3:$L$6,5,0)=Variables!$B$5,B1497&gt;VLOOKUP(I1497,$C$3:$L$6,8,0)),IF(VLOOKUP(I1497,$C$3:$L$6,5,0)=Variables!$B$5,((YEAR(B1497)-YEAR($B$12))*12+MONTH(B1497)-MONTH($B$12)),((YEAR(B1497)-YEAR(VLOOKUP(I1497,$C$3:$L$6,8,0)))*12+MONTH(B1497)-MONTH(VLOOKUP(I1497,$C$3:$L$6,8,0))))*VLOOKUP(I1497,$C$3:$L$6,7,0),0)),""),"")</f>
        <v/>
      </c>
      <c r="L1497" s="29" t="str">
        <f t="shared" ca="1" si="124"/>
        <v/>
      </c>
    </row>
    <row r="1498" spans="2:12" x14ac:dyDescent="0.25">
      <c r="B1498" s="14" t="str">
        <f t="shared" ca="1" si="125"/>
        <v/>
      </c>
      <c r="C1498" s="14" t="str">
        <f ca="1">IF(I1497&lt;&gt;Variables!$B$1,IF(H1497&lt;&gt;0,C1497,I1497),"")</f>
        <v/>
      </c>
      <c r="D1498" s="29" t="str">
        <f t="shared" ca="1" si="122"/>
        <v/>
      </c>
      <c r="E1498" s="29" t="str">
        <f t="shared" ca="1" si="123"/>
        <v/>
      </c>
      <c r="F1498" s="29" t="str">
        <f ca="1">IF(C1498&lt;&gt;"",IF(OR(VLOOKUP(C1498,$C$3:$L$6,5,0)=Variables!$B$5,B1498&gt;VLOOKUP(C1498,$C$3:$L$6,8,0)),-D1498*VLOOKUP(C1498,$C$3:$L$6,6,0)/12,0),"")</f>
        <v/>
      </c>
      <c r="G1498" s="29" t="str">
        <f ca="1">IF(I1498&lt;&gt;Variables!$B$1,IF(C1498&lt;&gt;"",$I$9-E1498-F1498,""),-D1498)</f>
        <v/>
      </c>
      <c r="H1498" s="29" t="str">
        <f t="shared" ca="1" si="126"/>
        <v/>
      </c>
      <c r="I1498" s="31" t="str">
        <f ca="1">IF(C1498&lt;&gt;"",IF(D1498+$I$9-E1498-F1498&gt;=0,IF(ISERROR(INDEX($C$3:$C$6,MATCH(C1498,$C$3:$C$6,0)+1,0)),Variables!$B$1,INDEX($C$3:$C$6,MATCH(C1498,$C$3:$C$6,0)+1,0)),""),"")</f>
        <v/>
      </c>
      <c r="J1498" s="29" t="str">
        <f ca="1">IF(ISERROR(VLOOKUP(I1498,$C$3:$L$6,5,0)),"",IF(OR(VLOOKUP(I1498,$C$3:$L$6,5,0)=Variables!$B$5,B1498&gt;VLOOKUP(I1498,$C$3:$L$6,8,0)),IF(VLOOKUP(I1498,$C$3:$L$6,5,0)=Variables!$B$5,((YEAR(B1498)-YEAR($B$12))*12+MONTH(B1498)-MONTH($B$12)),((YEAR(B1498)-YEAR(VLOOKUP(I1498,$C$3:$L$6,8,0)))*12+MONTH(B1498)-MONTH(VLOOKUP(I1498,$C$3:$L$6,8,0))))*(VLOOKUP(I1498,$C$3:$L$6,10,0)*VLOOKUP(I1498,$C$3:$L$6,6,0)/12),0))</f>
        <v/>
      </c>
      <c r="K1498" s="29" t="str">
        <f ca="1">IF(C1498&lt;&gt;"",IF(I1498&lt;&gt;"",IF(ISERROR(VLOOKUP(I1498,$C$3:$L$6,10,0)),"",VLOOKUP(I1498,$C$3:$L$6,10,0)+J1498+IF(OR(VLOOKUP(I1498,$C$3:$L$6,5,0)=Variables!$B$5,B1498&gt;VLOOKUP(I1498,$C$3:$L$6,8,0)),IF(VLOOKUP(I1498,$C$3:$L$6,5,0)=Variables!$B$5,((YEAR(B1498)-YEAR($B$12))*12+MONTH(B1498)-MONTH($B$12)),((YEAR(B1498)-YEAR(VLOOKUP(I1498,$C$3:$L$6,8,0)))*12+MONTH(B1498)-MONTH(VLOOKUP(I1498,$C$3:$L$6,8,0))))*VLOOKUP(I1498,$C$3:$L$6,7,0),0)),""),"")</f>
        <v/>
      </c>
      <c r="L1498" s="29" t="str">
        <f t="shared" ca="1" si="124"/>
        <v/>
      </c>
    </row>
    <row r="1499" spans="2:12" x14ac:dyDescent="0.25">
      <c r="B1499" s="14" t="str">
        <f t="shared" ca="1" si="125"/>
        <v/>
      </c>
      <c r="C1499" s="14" t="str">
        <f ca="1">IF(I1498&lt;&gt;Variables!$B$1,IF(H1498&lt;&gt;0,C1498,I1498),"")</f>
        <v/>
      </c>
      <c r="D1499" s="29" t="str">
        <f t="shared" ca="1" si="122"/>
        <v/>
      </c>
      <c r="E1499" s="29" t="str">
        <f t="shared" ca="1" si="123"/>
        <v/>
      </c>
      <c r="F1499" s="29" t="str">
        <f ca="1">IF(C1499&lt;&gt;"",IF(OR(VLOOKUP(C1499,$C$3:$L$6,5,0)=Variables!$B$5,B1499&gt;VLOOKUP(C1499,$C$3:$L$6,8,0)),-D1499*VLOOKUP(C1499,$C$3:$L$6,6,0)/12,0),"")</f>
        <v/>
      </c>
      <c r="G1499" s="29" t="str">
        <f ca="1">IF(I1499&lt;&gt;Variables!$B$1,IF(C1499&lt;&gt;"",$I$9-E1499-F1499,""),-D1499)</f>
        <v/>
      </c>
      <c r="H1499" s="29" t="str">
        <f t="shared" ca="1" si="126"/>
        <v/>
      </c>
      <c r="I1499" s="31" t="str">
        <f ca="1">IF(C1499&lt;&gt;"",IF(D1499+$I$9-E1499-F1499&gt;=0,IF(ISERROR(INDEX($C$3:$C$6,MATCH(C1499,$C$3:$C$6,0)+1,0)),Variables!$B$1,INDEX($C$3:$C$6,MATCH(C1499,$C$3:$C$6,0)+1,0)),""),"")</f>
        <v/>
      </c>
      <c r="J1499" s="29" t="str">
        <f ca="1">IF(ISERROR(VLOOKUP(I1499,$C$3:$L$6,5,0)),"",IF(OR(VLOOKUP(I1499,$C$3:$L$6,5,0)=Variables!$B$5,B1499&gt;VLOOKUP(I1499,$C$3:$L$6,8,0)),IF(VLOOKUP(I1499,$C$3:$L$6,5,0)=Variables!$B$5,((YEAR(B1499)-YEAR($B$12))*12+MONTH(B1499)-MONTH($B$12)),((YEAR(B1499)-YEAR(VLOOKUP(I1499,$C$3:$L$6,8,0)))*12+MONTH(B1499)-MONTH(VLOOKUP(I1499,$C$3:$L$6,8,0))))*(VLOOKUP(I1499,$C$3:$L$6,10,0)*VLOOKUP(I1499,$C$3:$L$6,6,0)/12),0))</f>
        <v/>
      </c>
      <c r="K1499" s="29" t="str">
        <f ca="1">IF(C1499&lt;&gt;"",IF(I1499&lt;&gt;"",IF(ISERROR(VLOOKUP(I1499,$C$3:$L$6,10,0)),"",VLOOKUP(I1499,$C$3:$L$6,10,0)+J1499+IF(OR(VLOOKUP(I1499,$C$3:$L$6,5,0)=Variables!$B$5,B1499&gt;VLOOKUP(I1499,$C$3:$L$6,8,0)),IF(VLOOKUP(I1499,$C$3:$L$6,5,0)=Variables!$B$5,((YEAR(B1499)-YEAR($B$12))*12+MONTH(B1499)-MONTH($B$12)),((YEAR(B1499)-YEAR(VLOOKUP(I1499,$C$3:$L$6,8,0)))*12+MONTH(B1499)-MONTH(VLOOKUP(I1499,$C$3:$L$6,8,0))))*VLOOKUP(I1499,$C$3:$L$6,7,0),0)),""),"")</f>
        <v/>
      </c>
      <c r="L1499" s="29" t="str">
        <f t="shared" ca="1" si="124"/>
        <v/>
      </c>
    </row>
    <row r="1500" spans="2:12" x14ac:dyDescent="0.25">
      <c r="B1500" s="14" t="str">
        <f t="shared" ca="1" si="125"/>
        <v/>
      </c>
      <c r="C1500" s="14" t="str">
        <f ca="1">IF(I1499&lt;&gt;Variables!$B$1,IF(H1499&lt;&gt;0,C1499,I1499),"")</f>
        <v/>
      </c>
      <c r="D1500" s="29" t="str">
        <f t="shared" ref="D1500:D1502" ca="1" si="127">IF(C1500&lt;&gt;"",IF(H1499&lt;&gt;0,H1499,L1499),"")</f>
        <v/>
      </c>
      <c r="E1500" s="29" t="str">
        <f t="shared" ref="E1500:E1502" ca="1" si="128">IF(C1500&lt;&gt;"",MINPAYMENT(C1500,ROW(B1500),COLUMN(B1500)),"")</f>
        <v/>
      </c>
      <c r="F1500" s="29" t="str">
        <f ca="1">IF(C1500&lt;&gt;"",IF(OR(VLOOKUP(C1500,$C$3:$L$6,5,0)=Variables!$B$5,B1500&gt;VLOOKUP(C1500,$C$3:$L$6,8,0)),-D1500*VLOOKUP(C1500,$C$3:$L$6,6,0)/12,0),"")</f>
        <v/>
      </c>
      <c r="G1500" s="29" t="str">
        <f ca="1">IF(I1500&lt;&gt;Variables!$B$1,IF(C1500&lt;&gt;"",$I$9-E1500-F1500,""),-D1500)</f>
        <v/>
      </c>
      <c r="H1500" s="29" t="str">
        <f t="shared" ca="1" si="126"/>
        <v/>
      </c>
      <c r="I1500" s="31" t="str">
        <f ca="1">IF(C1500&lt;&gt;"",IF(D1500+$I$9-E1500-F1500&gt;=0,IF(ISERROR(INDEX($C$3:$C$6,MATCH(C1500,$C$3:$C$6,0)+1,0)),Variables!$B$1,INDEX($C$3:$C$6,MATCH(C1500,$C$3:$C$6,0)+1,0)),""),"")</f>
        <v/>
      </c>
      <c r="J1500" s="29" t="str">
        <f ca="1">IF(ISERROR(VLOOKUP(I1500,$C$3:$L$6,5,0)),"",IF(OR(VLOOKUP(I1500,$C$3:$L$6,5,0)=Variables!$B$5,B1500&gt;VLOOKUP(I1500,$C$3:$L$6,8,0)),IF(VLOOKUP(I1500,$C$3:$L$6,5,0)=Variables!$B$5,((YEAR(B1500)-YEAR($B$12))*12+MONTH(B1500)-MONTH($B$12)),((YEAR(B1500)-YEAR(VLOOKUP(I1500,$C$3:$L$6,8,0)))*12+MONTH(B1500)-MONTH(VLOOKUP(I1500,$C$3:$L$6,8,0))))*(VLOOKUP(I1500,$C$3:$L$6,10,0)*VLOOKUP(I1500,$C$3:$L$6,6,0)/12),0))</f>
        <v/>
      </c>
      <c r="K1500" s="29" t="str">
        <f ca="1">IF(C1500&lt;&gt;"",IF(I1500&lt;&gt;"",IF(ISERROR(VLOOKUP(I1500,$C$3:$L$6,10,0)),"",VLOOKUP(I1500,$C$3:$L$6,10,0)+J1500+IF(OR(VLOOKUP(I1500,$C$3:$L$6,5,0)=Variables!$B$5,B1500&gt;VLOOKUP(I1500,$C$3:$L$6,8,0)),IF(VLOOKUP(I1500,$C$3:$L$6,5,0)=Variables!$B$5,((YEAR(B1500)-YEAR($B$12))*12+MONTH(B1500)-MONTH($B$12)),((YEAR(B1500)-YEAR(VLOOKUP(I1500,$C$3:$L$6,8,0)))*12+MONTH(B1500)-MONTH(VLOOKUP(I1500,$C$3:$L$6,8,0))))*VLOOKUP(I1500,$C$3:$L$6,7,0),0)),""),"")</f>
        <v/>
      </c>
      <c r="L1500" s="29" t="str">
        <f t="shared" ref="L1500:L1502" ca="1" si="129">IF(C1500&lt;&gt;"",IF(ISERROR(IF(D1500+G1500&gt;=0,K1500+D1500+G1500,"")),"",IF(D1500+G1500&gt;=0,K1500+D1500+G1500,"")),"")</f>
        <v/>
      </c>
    </row>
    <row r="1501" spans="2:12" x14ac:dyDescent="0.25">
      <c r="B1501" s="14" t="str">
        <f t="shared" ref="B1501:B1502" ca="1" si="130">IF(C1501&lt;&gt;"",DATE(YEAR(B1500),MONTH(B1500)+1,DAY(B1500)),"")</f>
        <v/>
      </c>
      <c r="C1501" s="14" t="str">
        <f ca="1">IF(I1500&lt;&gt;Variables!$B$1,IF(H1500&lt;&gt;0,C1500,I1500),"")</f>
        <v/>
      </c>
      <c r="D1501" s="29" t="str">
        <f t="shared" ca="1" si="127"/>
        <v/>
      </c>
      <c r="E1501" s="29" t="str">
        <f t="shared" ca="1" si="128"/>
        <v/>
      </c>
      <c r="F1501" s="29" t="str">
        <f ca="1">IF(C1501&lt;&gt;"",IF(OR(VLOOKUP(C1501,$C$3:$L$6,5,0)=Variables!$B$5,B1501&gt;VLOOKUP(C1501,$C$3:$L$6,8,0)),-D1501*VLOOKUP(C1501,$C$3:$L$6,6,0)/12,0),"")</f>
        <v/>
      </c>
      <c r="G1501" s="29" t="str">
        <f ca="1">IF(I1501&lt;&gt;Variables!$B$1,IF(C1501&lt;&gt;"",$I$9-E1501-F1501,""),-D1501)</f>
        <v/>
      </c>
      <c r="H1501" s="29" t="str">
        <f t="shared" ref="H1501:H1502" ca="1" si="131">IF(C1501&lt;&gt;"",IF(D1501+G1501&lt;0,D1501+G1501,0),"")</f>
        <v/>
      </c>
      <c r="I1501" s="31" t="str">
        <f ca="1">IF(C1501&lt;&gt;"",IF(D1501+$I$9-E1501-F1501&gt;=0,IF(ISERROR(INDEX($C$3:$C$6,MATCH(C1501,$C$3:$C$6,0)+1,0)),Variables!$B$1,INDEX($C$3:$C$6,MATCH(C1501,$C$3:$C$6,0)+1,0)),""),"")</f>
        <v/>
      </c>
      <c r="J1501" s="29" t="str">
        <f ca="1">IF(ISERROR(VLOOKUP(I1501,$C$3:$L$6,5,0)),"",IF(OR(VLOOKUP(I1501,$C$3:$L$6,5,0)=Variables!$B$5,B1501&gt;VLOOKUP(I1501,$C$3:$L$6,8,0)),IF(VLOOKUP(I1501,$C$3:$L$6,5,0)=Variables!$B$5,((YEAR(B1501)-YEAR($B$12))*12+MONTH(B1501)-MONTH($B$12)),((YEAR(B1501)-YEAR(VLOOKUP(I1501,$C$3:$L$6,8,0)))*12+MONTH(B1501)-MONTH(VLOOKUP(I1501,$C$3:$L$6,8,0))))*(VLOOKUP(I1501,$C$3:$L$6,10,0)*VLOOKUP(I1501,$C$3:$L$6,6,0)/12),0))</f>
        <v/>
      </c>
      <c r="K1501" s="29" t="str">
        <f ca="1">IF(C1501&lt;&gt;"",IF(I1501&lt;&gt;"",IF(ISERROR(VLOOKUP(I1501,$C$3:$L$6,10,0)),"",VLOOKUP(I1501,$C$3:$L$6,10,0)+J1501+IF(OR(VLOOKUP(I1501,$C$3:$L$6,5,0)=Variables!$B$5,B1501&gt;VLOOKUP(I1501,$C$3:$L$6,8,0)),IF(VLOOKUP(I1501,$C$3:$L$6,5,0)=Variables!$B$5,((YEAR(B1501)-YEAR($B$12))*12+MONTH(B1501)-MONTH($B$12)),((YEAR(B1501)-YEAR(VLOOKUP(I1501,$C$3:$L$6,8,0)))*12+MONTH(B1501)-MONTH(VLOOKUP(I1501,$C$3:$L$6,8,0))))*VLOOKUP(I1501,$C$3:$L$6,7,0),0)),""),"")</f>
        <v/>
      </c>
      <c r="L1501" s="29" t="str">
        <f t="shared" ca="1" si="129"/>
        <v/>
      </c>
    </row>
    <row r="1502" spans="2:12" x14ac:dyDescent="0.25">
      <c r="B1502" s="14" t="str">
        <f t="shared" ca="1" si="130"/>
        <v/>
      </c>
      <c r="C1502" s="14" t="str">
        <f ca="1">IF(I1501&lt;&gt;Variables!$B$1,IF(H1501&lt;&gt;0,C1501,I1501),"")</f>
        <v/>
      </c>
      <c r="D1502" s="29" t="str">
        <f t="shared" ca="1" si="127"/>
        <v/>
      </c>
      <c r="E1502" s="29" t="str">
        <f t="shared" ca="1" si="128"/>
        <v/>
      </c>
      <c r="F1502" s="29" t="str">
        <f ca="1">IF(C1502&lt;&gt;"",IF(OR(VLOOKUP(C1502,$C$3:$L$6,5,0)=Variables!$B$5,B1502&gt;VLOOKUP(C1502,$C$3:$L$6,8,0)),-D1502*VLOOKUP(C1502,$C$3:$L$6,6,0)/12,0),"")</f>
        <v/>
      </c>
      <c r="G1502" s="29" t="str">
        <f ca="1">IF(I1502&lt;&gt;Variables!$B$1,IF(C1502&lt;&gt;"",$I$9-E1502-F1502,""),-D1502)</f>
        <v/>
      </c>
      <c r="H1502" s="29" t="str">
        <f t="shared" ca="1" si="131"/>
        <v/>
      </c>
      <c r="I1502" s="31" t="str">
        <f ca="1">IF(C1502&lt;&gt;"",IF(D1502+$I$9-E1502-F1502&gt;=0,IF(ISERROR(INDEX($C$3:$C$6,MATCH(C1502,$C$3:$C$6,0)+1,0)),Variables!$B$1,INDEX($C$3:$C$6,MATCH(C1502,$C$3:$C$6,0)+1,0)),""),"")</f>
        <v/>
      </c>
      <c r="J1502" s="29" t="str">
        <f ca="1">IF(ISERROR(VLOOKUP(I1502,$C$3:$L$6,5,0)),"",IF(OR(VLOOKUP(I1502,$C$3:$L$6,5,0)=Variables!$B$5,B1502&gt;VLOOKUP(I1502,$C$3:$L$6,8,0)),IF(VLOOKUP(I1502,$C$3:$L$6,5,0)=Variables!$B$5,((YEAR(B1502)-YEAR($B$12))*12+MONTH(B1502)-MONTH($B$12)),((YEAR(B1502)-YEAR(VLOOKUP(I1502,$C$3:$L$6,8,0)))*12+MONTH(B1502)-MONTH(VLOOKUP(I1502,$C$3:$L$6,8,0))))*(VLOOKUP(I1502,$C$3:$L$6,10,0)*VLOOKUP(I1502,$C$3:$L$6,6,0)/12),0))</f>
        <v/>
      </c>
      <c r="K1502" s="29" t="str">
        <f ca="1">IF(C1502&lt;&gt;"",IF(I1502&lt;&gt;"",IF(ISERROR(VLOOKUP(I1502,$C$3:$L$6,10,0)),"",VLOOKUP(I1502,$C$3:$L$6,10,0)+J1502+IF(OR(VLOOKUP(I1502,$C$3:$L$6,5,0)=Variables!$B$5,B1502&gt;VLOOKUP(I1502,$C$3:$L$6,8,0)),IF(VLOOKUP(I1502,$C$3:$L$6,5,0)=Variables!$B$5,((YEAR(B1502)-YEAR($B$12))*12+MONTH(B1502)-MONTH($B$12)),((YEAR(B1502)-YEAR(VLOOKUP(I1502,$C$3:$L$6,8,0)))*12+MONTH(B1502)-MONTH(VLOOKUP(I1502,$C$3:$L$6,8,0))))*VLOOKUP(I1502,$C$3:$L$6,7,0),0)),""),"")</f>
        <v/>
      </c>
      <c r="L1502" s="29" t="str">
        <f t="shared" ca="1" si="129"/>
        <v/>
      </c>
    </row>
    <row r="1503" spans="2:12" x14ac:dyDescent="0.25">
      <c r="E1503" s="29" t="str">
        <f t="shared" ref="E1503:E1514" si="132">IF(C1503&lt;&gt;"",MINPAYMENT(C1503,ROW(B1503),COLUMN(B1503)),"")</f>
        <v/>
      </c>
      <c r="J1503" s="2"/>
    </row>
    <row r="1504" spans="2:12" x14ac:dyDescent="0.25">
      <c r="E1504" s="29" t="str">
        <f t="shared" si="132"/>
        <v/>
      </c>
      <c r="J1504" s="2"/>
    </row>
    <row r="1505" spans="5:10" x14ac:dyDescent="0.25">
      <c r="E1505" s="29" t="str">
        <f t="shared" si="132"/>
        <v/>
      </c>
      <c r="J1505" s="2"/>
    </row>
    <row r="1506" spans="5:10" x14ac:dyDescent="0.25">
      <c r="E1506" s="29" t="str">
        <f t="shared" si="132"/>
        <v/>
      </c>
      <c r="J1506" s="2"/>
    </row>
    <row r="1507" spans="5:10" x14ac:dyDescent="0.25">
      <c r="E1507" s="29" t="str">
        <f t="shared" si="132"/>
        <v/>
      </c>
      <c r="J1507" s="2"/>
    </row>
    <row r="1508" spans="5:10" x14ac:dyDescent="0.25">
      <c r="E1508" s="29" t="str">
        <f t="shared" si="132"/>
        <v/>
      </c>
      <c r="J1508" s="2"/>
    </row>
    <row r="1509" spans="5:10" x14ac:dyDescent="0.25">
      <c r="E1509" s="29" t="str">
        <f t="shared" si="132"/>
        <v/>
      </c>
      <c r="J1509" s="2"/>
    </row>
    <row r="1510" spans="5:10" x14ac:dyDescent="0.25">
      <c r="E1510" s="29" t="str">
        <f t="shared" si="132"/>
        <v/>
      </c>
      <c r="J1510" s="2"/>
    </row>
    <row r="1511" spans="5:10" x14ac:dyDescent="0.25">
      <c r="E1511" s="29" t="str">
        <f t="shared" si="132"/>
        <v/>
      </c>
      <c r="J1511" s="2"/>
    </row>
    <row r="1512" spans="5:10" x14ac:dyDescent="0.25">
      <c r="E1512" s="29" t="str">
        <f t="shared" si="132"/>
        <v/>
      </c>
      <c r="J1512" s="2"/>
    </row>
    <row r="1513" spans="5:10" x14ac:dyDescent="0.25">
      <c r="E1513" s="29" t="str">
        <f t="shared" si="132"/>
        <v/>
      </c>
      <c r="J1513" s="2"/>
    </row>
    <row r="1514" spans="5:10" x14ac:dyDescent="0.25">
      <c r="E1514" s="29" t="str">
        <f t="shared" si="132"/>
        <v/>
      </c>
      <c r="J1514" s="2"/>
    </row>
    <row r="1515" spans="5:10" x14ac:dyDescent="0.25">
      <c r="J1515" s="2"/>
    </row>
    <row r="1516" spans="5:10" x14ac:dyDescent="0.25">
      <c r="J1516" s="2"/>
    </row>
    <row r="1517" spans="5:10" x14ac:dyDescent="0.25">
      <c r="J1517" s="2"/>
    </row>
    <row r="1518" spans="5:10" x14ac:dyDescent="0.25">
      <c r="J1518" s="2"/>
    </row>
    <row r="1519" spans="5:10" x14ac:dyDescent="0.25">
      <c r="J1519" s="2"/>
    </row>
    <row r="1520" spans="5:10" x14ac:dyDescent="0.25">
      <c r="J1520" s="2"/>
    </row>
    <row r="1521" spans="10:10" x14ac:dyDescent="0.25">
      <c r="J1521" s="2"/>
    </row>
    <row r="1522" spans="10:10" x14ac:dyDescent="0.25">
      <c r="J1522" s="2"/>
    </row>
  </sheetData>
  <sheetProtection sheet="1" objects="1" scenarios="1" formatColumns="0" deleteRows="0"/>
  <sortState ref="B3:L6">
    <sortCondition descending="1" ref="G1"/>
  </sortState>
  <mergeCells count="4">
    <mergeCell ref="M10:N10"/>
    <mergeCell ref="B1:C1"/>
    <mergeCell ref="M2:N2"/>
    <mergeCell ref="J1:L1"/>
  </mergeCells>
  <dataValidations count="8">
    <dataValidation type="custom" showErrorMessage="1" errorTitle="Invalid Interest Rate" error="You must enter a valid interest rate between 0-100%." sqref="H3:H6">
      <formula1>AND(H3&gt;=0,H3&lt;=1,H3&lt;&gt;"")</formula1>
    </dataValidation>
    <dataValidation type="custom" showInputMessage="1" showErrorMessage="1" errorTitle="Due Date Required" error="You must enter a Due Date; the Payment Plan uses this date to determine when interest starts accruing for subsidized loans." sqref="J3:J6">
      <formula1>AND(J3&lt;&gt;"",NOT(ISERROR(DATE(YEAR(J3),MONTH(J3),DAY(J3)))))</formula1>
    </dataValidation>
    <dataValidation type="list" showErrorMessage="1" errorTitle="Invalid Column" error="You must specify a valid column to sort by." sqref="E1">
      <formula1>$B$2:$L$2</formula1>
    </dataValidation>
    <dataValidation type="custom" errorStyle="warning" allowBlank="1" showErrorMessage="1" errorTitle="Monthly Payment" error="Just a heads up: if your monthly payment is larger than your smallest loan, this spreadsheet may encounter issues." sqref="I9">
      <formula1>I9&lt;=-MAX(L3:L6)</formula1>
    </dataValidation>
    <dataValidation type="custom" showInputMessage="1" showErrorMessage="1" errorTitle="Current Balance Required" error="You must enter an Current Balance for the loan, and that balance must be LESS than $0." sqref="L3:L6">
      <formula1>AND(L3&lt;&gt;"",ISNUMBER(L3),L3&lt;0)</formula1>
    </dataValidation>
    <dataValidation type="custom" showInputMessage="1" showErrorMessage="1" errorTitle="Current Balance Required" error="You must enter an Initial Balance for the loan, and that balance must be LESS than $0." sqref="K3:K6">
      <formula1>AND(K3&lt;&gt;"",ISNUMBER(K3),K3&lt;0)</formula1>
    </dataValidation>
    <dataValidation type="custom" showErrorMessage="1" errorTitle="Invalid Name" error="You must enter a loan name, and it must be unique from all other loan names." sqref="C3:C6">
      <formula1>AND(COUNTIF($C$3:$C$6,C3)=1,C3&lt;&gt;"")</formula1>
    </dataValidation>
    <dataValidation type="custom" showErrorMessage="1" errorTitle="Invalid Monthly Payment" error="You must enter a monthly payment, and the payment must be greater than or equal to $0." sqref="I3:I6">
      <formula1>AND(I3&gt;=0,I3&lt;&gt;"")</formula1>
    </dataValidation>
  </dataValidations>
  <pageMargins left="0.25" right="0.25" top="0.75" bottom="0.75" header="0.3" footer="0.3"/>
  <pageSetup scale="41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50" r:id="rId4" name="AddLoanCommandButton">
          <controlPr defaultSize="0" autoLine="0" r:id="rId5">
            <anchor moveWithCells="1">
              <from>
                <xdr:col>1</xdr:col>
                <xdr:colOff>1104900</xdr:colOff>
                <xdr:row>0</xdr:row>
                <xdr:rowOff>47625</xdr:rowOff>
              </from>
              <to>
                <xdr:col>2</xdr:col>
                <xdr:colOff>590550</xdr:colOff>
                <xdr:row>0</xdr:row>
                <xdr:rowOff>333375</xdr:rowOff>
              </to>
            </anchor>
          </controlPr>
        </control>
      </mc:Choice>
      <mc:Fallback>
        <control shapeId="1050" r:id="rId4" name="AddLoanCommandButton"/>
      </mc:Fallback>
    </mc:AlternateContent>
    <mc:AlternateContent xmlns:mc="http://schemas.openxmlformats.org/markup-compatibility/2006">
      <mc:Choice Requires="x14">
        <control shapeId="1075" r:id="rId6" name="CommandButton1">
          <controlPr defaultSize="0" autoLine="0" r:id="rId7">
            <anchor moveWithCells="1" sizeWithCells="1">
              <from>
                <xdr:col>0</xdr:col>
                <xdr:colOff>9525</xdr:colOff>
                <xdr:row>6</xdr:row>
                <xdr:rowOff>0</xdr:rowOff>
              </from>
              <to>
                <xdr:col>0</xdr:col>
                <xdr:colOff>352425</xdr:colOff>
                <xdr:row>6</xdr:row>
                <xdr:rowOff>0</xdr:rowOff>
              </to>
            </anchor>
          </controlPr>
        </control>
      </mc:Choice>
      <mc:Fallback>
        <control shapeId="1075" r:id="rId6" name="CommandButton1"/>
      </mc:Fallback>
    </mc:AlternateContent>
    <mc:AlternateContent xmlns:mc="http://schemas.openxmlformats.org/markup-compatibility/2006">
      <mc:Choice Requires="x14">
        <control shapeId="1076" r:id="rId8" name="CommandButton2">
          <controlPr defaultSize="0" autoLine="0" r:id="rId9">
            <anchor moveWithCells="1" sizeWithCells="1">
              <from>
                <xdr:col>0</xdr:col>
                <xdr:colOff>9525</xdr:colOff>
                <xdr:row>6</xdr:row>
                <xdr:rowOff>0</xdr:rowOff>
              </from>
              <to>
                <xdr:col>0</xdr:col>
                <xdr:colOff>352425</xdr:colOff>
                <xdr:row>6</xdr:row>
                <xdr:rowOff>0</xdr:rowOff>
              </to>
            </anchor>
          </controlPr>
        </control>
      </mc:Choice>
      <mc:Fallback>
        <control shapeId="1076" r:id="rId8" name="CommandButton2"/>
      </mc:Fallback>
    </mc:AlternateContent>
    <mc:AlternateContent xmlns:mc="http://schemas.openxmlformats.org/markup-compatibility/2006">
      <mc:Choice Requires="x14">
        <control shapeId="1077" r:id="rId10" name="CommandButton3">
          <controlPr defaultSize="0" autoLine="0" r:id="rId11">
            <anchor moveWithCells="1" sizeWithCells="1">
              <from>
                <xdr:col>0</xdr:col>
                <xdr:colOff>9525</xdr:colOff>
                <xdr:row>6</xdr:row>
                <xdr:rowOff>0</xdr:rowOff>
              </from>
              <to>
                <xdr:col>0</xdr:col>
                <xdr:colOff>352425</xdr:colOff>
                <xdr:row>6</xdr:row>
                <xdr:rowOff>0</xdr:rowOff>
              </to>
            </anchor>
          </controlPr>
        </control>
      </mc:Choice>
      <mc:Fallback>
        <control shapeId="1077" r:id="rId10" name="CommandButton3"/>
      </mc:Fallback>
    </mc:AlternateContent>
    <mc:AlternateContent xmlns:mc="http://schemas.openxmlformats.org/markup-compatibility/2006">
      <mc:Choice Requires="x14">
        <control shapeId="1078" r:id="rId12" name="CommandButton4">
          <controlPr defaultSize="0" autoLine="0" r:id="rId13">
            <anchor moveWithCells="1" sizeWithCells="1">
              <from>
                <xdr:col>0</xdr:col>
                <xdr:colOff>9525</xdr:colOff>
                <xdr:row>6</xdr:row>
                <xdr:rowOff>0</xdr:rowOff>
              </from>
              <to>
                <xdr:col>0</xdr:col>
                <xdr:colOff>352425</xdr:colOff>
                <xdr:row>6</xdr:row>
                <xdr:rowOff>0</xdr:rowOff>
              </to>
            </anchor>
          </controlPr>
        </control>
      </mc:Choice>
      <mc:Fallback>
        <control shapeId="1078" r:id="rId12" name="CommandButton4"/>
      </mc:Fallback>
    </mc:AlternateContent>
    <mc:AlternateContent xmlns:mc="http://schemas.openxmlformats.org/markup-compatibility/2006">
      <mc:Choice Requires="x14">
        <control shapeId="1079" r:id="rId14" name="CommandButton5">
          <controlPr defaultSize="0" autoLine="0" r:id="rId15">
            <anchor moveWithCells="1" sizeWithCells="1">
              <from>
                <xdr:col>0</xdr:col>
                <xdr:colOff>9525</xdr:colOff>
                <xdr:row>6</xdr:row>
                <xdr:rowOff>0</xdr:rowOff>
              </from>
              <to>
                <xdr:col>0</xdr:col>
                <xdr:colOff>352425</xdr:colOff>
                <xdr:row>6</xdr:row>
                <xdr:rowOff>0</xdr:rowOff>
              </to>
            </anchor>
          </controlPr>
        </control>
      </mc:Choice>
      <mc:Fallback>
        <control shapeId="1079" r:id="rId14" name="CommandButton5"/>
      </mc:Fallback>
    </mc:AlternateContent>
    <mc:AlternateContent xmlns:mc="http://schemas.openxmlformats.org/markup-compatibility/2006">
      <mc:Choice Requires="x14">
        <control shapeId="1080" r:id="rId16" name="CommandButton6">
          <controlPr defaultSize="0" autoLine="0" r:id="rId17">
            <anchor moveWithCells="1" sizeWithCells="1">
              <from>
                <xdr:col>0</xdr:col>
                <xdr:colOff>9525</xdr:colOff>
                <xdr:row>6</xdr:row>
                <xdr:rowOff>0</xdr:rowOff>
              </from>
              <to>
                <xdr:col>0</xdr:col>
                <xdr:colOff>352425</xdr:colOff>
                <xdr:row>6</xdr:row>
                <xdr:rowOff>0</xdr:rowOff>
              </to>
            </anchor>
          </controlPr>
        </control>
      </mc:Choice>
      <mc:Fallback>
        <control shapeId="1080" r:id="rId16" name="CommandButton6"/>
      </mc:Fallback>
    </mc:AlternateContent>
    <mc:AlternateContent xmlns:mc="http://schemas.openxmlformats.org/markup-compatibility/2006">
      <mc:Choice Requires="x14">
        <control shapeId="1081" r:id="rId18" name="CommandButton7">
          <controlPr defaultSize="0" autoLine="0" r:id="rId19">
            <anchor moveWithCells="1" sizeWithCells="1">
              <from>
                <xdr:col>0</xdr:col>
                <xdr:colOff>9525</xdr:colOff>
                <xdr:row>6</xdr:row>
                <xdr:rowOff>0</xdr:rowOff>
              </from>
              <to>
                <xdr:col>0</xdr:col>
                <xdr:colOff>352425</xdr:colOff>
                <xdr:row>6</xdr:row>
                <xdr:rowOff>0</xdr:rowOff>
              </to>
            </anchor>
          </controlPr>
        </control>
      </mc:Choice>
      <mc:Fallback>
        <control shapeId="1081" r:id="rId18" name="CommandButton7"/>
      </mc:Fallback>
    </mc:AlternateContent>
    <mc:AlternateContent xmlns:mc="http://schemas.openxmlformats.org/markup-compatibility/2006">
      <mc:Choice Requires="x14">
        <control shapeId="1082" r:id="rId20" name="CommandButton8">
          <controlPr defaultSize="0" autoLine="0" r:id="rId21">
            <anchor moveWithCells="1" sizeWithCells="1">
              <from>
                <xdr:col>0</xdr:col>
                <xdr:colOff>9525</xdr:colOff>
                <xdr:row>6</xdr:row>
                <xdr:rowOff>0</xdr:rowOff>
              </from>
              <to>
                <xdr:col>0</xdr:col>
                <xdr:colOff>352425</xdr:colOff>
                <xdr:row>6</xdr:row>
                <xdr:rowOff>0</xdr:rowOff>
              </to>
            </anchor>
          </controlPr>
        </control>
      </mc:Choice>
      <mc:Fallback>
        <control shapeId="1082" r:id="rId20" name="CommandButton8"/>
      </mc:Fallback>
    </mc:AlternateContent>
    <mc:AlternateContent xmlns:mc="http://schemas.openxmlformats.org/markup-compatibility/2006">
      <mc:Choice Requires="x14">
        <control shapeId="1083" r:id="rId22" name="CommandButton9">
          <controlPr defaultSize="0" autoLine="0" r:id="rId23">
            <anchor moveWithCells="1" sizeWithCells="1">
              <from>
                <xdr:col>0</xdr:col>
                <xdr:colOff>9525</xdr:colOff>
                <xdr:row>6</xdr:row>
                <xdr:rowOff>0</xdr:rowOff>
              </from>
              <to>
                <xdr:col>0</xdr:col>
                <xdr:colOff>352425</xdr:colOff>
                <xdr:row>6</xdr:row>
                <xdr:rowOff>0</xdr:rowOff>
              </to>
            </anchor>
          </controlPr>
        </control>
      </mc:Choice>
      <mc:Fallback>
        <control shapeId="1083" r:id="rId22" name="CommandButton9"/>
      </mc:Fallback>
    </mc:AlternateContent>
    <mc:AlternateContent xmlns:mc="http://schemas.openxmlformats.org/markup-compatibility/2006">
      <mc:Choice Requires="x14">
        <control shapeId="1084" r:id="rId24" name="CommandButton10">
          <controlPr defaultSize="0" autoLine="0" r:id="rId25">
            <anchor moveWithCells="1" sizeWithCells="1">
              <from>
                <xdr:col>0</xdr:col>
                <xdr:colOff>9525</xdr:colOff>
                <xdr:row>6</xdr:row>
                <xdr:rowOff>0</xdr:rowOff>
              </from>
              <to>
                <xdr:col>0</xdr:col>
                <xdr:colOff>352425</xdr:colOff>
                <xdr:row>6</xdr:row>
                <xdr:rowOff>0</xdr:rowOff>
              </to>
            </anchor>
          </controlPr>
        </control>
      </mc:Choice>
      <mc:Fallback>
        <control shapeId="1084" r:id="rId24" name="CommandButton10"/>
      </mc:Fallback>
    </mc:AlternateContent>
    <mc:AlternateContent xmlns:mc="http://schemas.openxmlformats.org/markup-compatibility/2006">
      <mc:Choice Requires="x14">
        <control shapeId="1086" r:id="rId26" name="CommandButton11">
          <controlPr defaultSize="0" autoLine="0" r:id="rId27">
            <anchor moveWithCells="1" sizeWithCells="1">
              <from>
                <xdr:col>0</xdr:col>
                <xdr:colOff>9525</xdr:colOff>
                <xdr:row>6</xdr:row>
                <xdr:rowOff>0</xdr:rowOff>
              </from>
              <to>
                <xdr:col>0</xdr:col>
                <xdr:colOff>352425</xdr:colOff>
                <xdr:row>6</xdr:row>
                <xdr:rowOff>0</xdr:rowOff>
              </to>
            </anchor>
          </controlPr>
        </control>
      </mc:Choice>
      <mc:Fallback>
        <control shapeId="1086" r:id="rId26" name="CommandButton11"/>
      </mc:Fallback>
    </mc:AlternateContent>
    <mc:AlternateContent xmlns:mc="http://schemas.openxmlformats.org/markup-compatibility/2006">
      <mc:Choice Requires="x14">
        <control shapeId="1087" r:id="rId28" name="CommandButton12">
          <controlPr defaultSize="0" autoLine="0" r:id="rId29">
            <anchor moveWithCells="1" sizeWithCells="1">
              <from>
                <xdr:col>0</xdr:col>
                <xdr:colOff>9525</xdr:colOff>
                <xdr:row>6</xdr:row>
                <xdr:rowOff>0</xdr:rowOff>
              </from>
              <to>
                <xdr:col>0</xdr:col>
                <xdr:colOff>352425</xdr:colOff>
                <xdr:row>6</xdr:row>
                <xdr:rowOff>0</xdr:rowOff>
              </to>
            </anchor>
          </controlPr>
        </control>
      </mc:Choice>
      <mc:Fallback>
        <control shapeId="1087" r:id="rId28" name="CommandButton12"/>
      </mc:Fallback>
    </mc:AlternateContent>
    <mc:AlternateContent xmlns:mc="http://schemas.openxmlformats.org/markup-compatibility/2006">
      <mc:Choice Requires="x14">
        <control shapeId="1088" r:id="rId30" name="CommandButton13">
          <controlPr defaultSize="0" autoLine="0" r:id="rId31">
            <anchor moveWithCells="1" sizeWithCells="1">
              <from>
                <xdr:col>0</xdr:col>
                <xdr:colOff>9525</xdr:colOff>
                <xdr:row>6</xdr:row>
                <xdr:rowOff>0</xdr:rowOff>
              </from>
              <to>
                <xdr:col>0</xdr:col>
                <xdr:colOff>352425</xdr:colOff>
                <xdr:row>6</xdr:row>
                <xdr:rowOff>0</xdr:rowOff>
              </to>
            </anchor>
          </controlPr>
        </control>
      </mc:Choice>
      <mc:Fallback>
        <control shapeId="1088" r:id="rId30" name="CommandButton13"/>
      </mc:Fallback>
    </mc:AlternateContent>
    <mc:AlternateContent xmlns:mc="http://schemas.openxmlformats.org/markup-compatibility/2006">
      <mc:Choice Requires="x14">
        <control shapeId="1089" r:id="rId32" name="CommandButton14">
          <controlPr defaultSize="0" autoLine="0" r:id="rId33">
            <anchor moveWithCells="1" sizeWithCells="1">
              <from>
                <xdr:col>0</xdr:col>
                <xdr:colOff>38100</xdr:colOff>
                <xdr:row>6</xdr:row>
                <xdr:rowOff>0</xdr:rowOff>
              </from>
              <to>
                <xdr:col>1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89" r:id="rId32" name="CommandButton14"/>
      </mc:Fallback>
    </mc:AlternateContent>
    <mc:AlternateContent xmlns:mc="http://schemas.openxmlformats.org/markup-compatibility/2006">
      <mc:Choice Requires="x14">
        <control shapeId="1090" r:id="rId34" name="CommandButton15">
          <controlPr defaultSize="0" autoLine="0" r:id="rId35">
            <anchor moveWithCells="1" sizeWithCells="1">
              <from>
                <xdr:col>0</xdr:col>
                <xdr:colOff>19050</xdr:colOff>
                <xdr:row>6</xdr:row>
                <xdr:rowOff>0</xdr:rowOff>
              </from>
              <to>
                <xdr:col>0</xdr:col>
                <xdr:colOff>361950</xdr:colOff>
                <xdr:row>6</xdr:row>
                <xdr:rowOff>0</xdr:rowOff>
              </to>
            </anchor>
          </controlPr>
        </control>
      </mc:Choice>
      <mc:Fallback>
        <control shapeId="1090" r:id="rId34" name="CommandButton15"/>
      </mc:Fallback>
    </mc:AlternateContent>
    <mc:AlternateContent xmlns:mc="http://schemas.openxmlformats.org/markup-compatibility/2006">
      <mc:Choice Requires="x14">
        <control shapeId="1091" r:id="rId36" name="CommandButton16">
          <controlPr defaultSize="0" autoLine="0" r:id="rId37">
            <anchor moveWithCells="1" sizeWithCells="1">
              <from>
                <xdr:col>0</xdr:col>
                <xdr:colOff>19050</xdr:colOff>
                <xdr:row>6</xdr:row>
                <xdr:rowOff>0</xdr:rowOff>
              </from>
              <to>
                <xdr:col>0</xdr:col>
                <xdr:colOff>361950</xdr:colOff>
                <xdr:row>6</xdr:row>
                <xdr:rowOff>0</xdr:rowOff>
              </to>
            </anchor>
          </controlPr>
        </control>
      </mc:Choice>
      <mc:Fallback>
        <control shapeId="1091" r:id="rId36" name="CommandButton16"/>
      </mc:Fallback>
    </mc:AlternateContent>
    <mc:AlternateContent xmlns:mc="http://schemas.openxmlformats.org/markup-compatibility/2006">
      <mc:Choice Requires="x14">
        <control shapeId="1092" r:id="rId38" name="CommandButton17">
          <controlPr defaultSize="0" autoLine="0" r:id="rId39">
            <anchor moveWithCells="1" sizeWithCells="1">
              <from>
                <xdr:col>0</xdr:col>
                <xdr:colOff>19050</xdr:colOff>
                <xdr:row>6</xdr:row>
                <xdr:rowOff>0</xdr:rowOff>
              </from>
              <to>
                <xdr:col>0</xdr:col>
                <xdr:colOff>361950</xdr:colOff>
                <xdr:row>6</xdr:row>
                <xdr:rowOff>0</xdr:rowOff>
              </to>
            </anchor>
          </controlPr>
        </control>
      </mc:Choice>
      <mc:Fallback>
        <control shapeId="1092" r:id="rId38" name="CommandButton17"/>
      </mc:Fallback>
    </mc:AlternateContent>
    <mc:AlternateContent xmlns:mc="http://schemas.openxmlformats.org/markup-compatibility/2006">
      <mc:Choice Requires="x14">
        <control shapeId="1093" r:id="rId40" name="LoanDelButton">
          <controlPr defaultSize="0" autoLine="0" r:id="rId41">
            <anchor moveWithCells="1" sizeWithCells="1">
              <from>
                <xdr:col>0</xdr:col>
                <xdr:colOff>19050</xdr:colOff>
                <xdr:row>6</xdr:row>
                <xdr:rowOff>0</xdr:rowOff>
              </from>
              <to>
                <xdr:col>0</xdr:col>
                <xdr:colOff>361950</xdr:colOff>
                <xdr:row>6</xdr:row>
                <xdr:rowOff>0</xdr:rowOff>
              </to>
            </anchor>
          </controlPr>
        </control>
      </mc:Choice>
      <mc:Fallback>
        <control shapeId="1093" r:id="rId40" name="LoanDelButton"/>
      </mc:Fallback>
    </mc:AlternateContent>
    <mc:AlternateContent xmlns:mc="http://schemas.openxmlformats.org/markup-compatibility/2006">
      <mc:Choice Requires="x14">
        <control shapeId="1094" r:id="rId42" name="LoanDelButton">
          <controlPr defaultSize="0" autoLine="0" r:id="rId43">
            <anchor moveWithCells="1" sizeWithCells="1">
              <from>
                <xdr:col>0</xdr:col>
                <xdr:colOff>19050</xdr:colOff>
                <xdr:row>6</xdr:row>
                <xdr:rowOff>0</xdr:rowOff>
              </from>
              <to>
                <xdr:col>0</xdr:col>
                <xdr:colOff>361950</xdr:colOff>
                <xdr:row>6</xdr:row>
                <xdr:rowOff>0</xdr:rowOff>
              </to>
            </anchor>
          </controlPr>
        </control>
      </mc:Choice>
      <mc:Fallback>
        <control shapeId="1094" r:id="rId42" name="LoanDelButton"/>
      </mc:Fallback>
    </mc:AlternateContent>
    <mc:AlternateContent xmlns:mc="http://schemas.openxmlformats.org/markup-compatibility/2006">
      <mc:Choice Requires="x14">
        <control shapeId="1095" r:id="rId44" name="CommandButton19">
          <controlPr defaultSize="0" autoLine="0" r:id="rId45">
            <anchor moveWithCells="1" sizeWithCells="1">
              <from>
                <xdr:col>0</xdr:col>
                <xdr:colOff>19050</xdr:colOff>
                <xdr:row>6</xdr:row>
                <xdr:rowOff>0</xdr:rowOff>
              </from>
              <to>
                <xdr:col>0</xdr:col>
                <xdr:colOff>361950</xdr:colOff>
                <xdr:row>6</xdr:row>
                <xdr:rowOff>0</xdr:rowOff>
              </to>
            </anchor>
          </controlPr>
        </control>
      </mc:Choice>
      <mc:Fallback>
        <control shapeId="1095" r:id="rId44" name="CommandButton19"/>
      </mc:Fallback>
    </mc:AlternateContent>
    <mc:AlternateContent xmlns:mc="http://schemas.openxmlformats.org/markup-compatibility/2006">
      <mc:Choice Requires="x14">
        <control shapeId="1097" r:id="rId46" name="RemoveLoanCommandButton20">
          <controlPr defaultSize="0" autoLine="0" r:id="rId47">
            <anchor moveWithCells="1">
              <from>
                <xdr:col>2</xdr:col>
                <xdr:colOff>647700</xdr:colOff>
                <xdr:row>0</xdr:row>
                <xdr:rowOff>47625</xdr:rowOff>
              </from>
              <to>
                <xdr:col>2</xdr:col>
                <xdr:colOff>1571625</xdr:colOff>
                <xdr:row>0</xdr:row>
                <xdr:rowOff>333375</xdr:rowOff>
              </to>
            </anchor>
          </controlPr>
        </control>
      </mc:Choice>
      <mc:Fallback>
        <control shapeId="1097" r:id="rId46" name="RemoveLoanCommandButton20"/>
      </mc:Fallback>
    </mc:AlternateContent>
    <mc:AlternateContent xmlns:mc="http://schemas.openxmlformats.org/markup-compatibility/2006">
      <mc:Choice Requires="x14">
        <control shapeId="1098" r:id="rId48" name="PrintCommandButton20">
          <controlPr defaultSize="0" autoLine="0" r:id="rId49">
            <anchor moveWithCells="1">
              <from>
                <xdr:col>2</xdr:col>
                <xdr:colOff>161925</xdr:colOff>
                <xdr:row>7</xdr:row>
                <xdr:rowOff>85725</xdr:rowOff>
              </from>
              <to>
                <xdr:col>2</xdr:col>
                <xdr:colOff>714375</xdr:colOff>
                <xdr:row>8</xdr:row>
                <xdr:rowOff>180975</xdr:rowOff>
              </to>
            </anchor>
          </controlPr>
        </control>
      </mc:Choice>
      <mc:Fallback>
        <control shapeId="1098" r:id="rId48" name="PrintCommandButton20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ErrorMessage="1" errorTitle="Invalid Interest Subsidy" error="Your interest subsidy must either be Unsubsidized or Subsidized. If you are not sure what the subsidy for this loan is, choose Subsidized.">
          <x14:formula1>
            <xm:f>Variables!$B$5:$C$5</xm:f>
          </x14:formula1>
          <xm:sqref>G3:G6</xm:sqref>
        </x14:dataValidation>
        <x14:dataValidation type="list" allowBlank="1" showInputMessage="1" showErrorMessage="1" errorTitle="Invalid Sort" error="You must sort in ascending or descending order.">
          <x14:formula1>
            <xm:f>Variables!$B$7:$C$7</xm:f>
          </x14:formula1>
          <xm:sqref>G1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"/>
  <sheetViews>
    <sheetView workbookViewId="0">
      <selection activeCell="B3" sqref="B3"/>
    </sheetView>
  </sheetViews>
  <sheetFormatPr defaultRowHeight="12.75" x14ac:dyDescent="0.2"/>
  <cols>
    <col min="1" max="1" width="16.140625" bestFit="1" customWidth="1"/>
    <col min="2" max="2" width="9.140625" customWidth="1"/>
    <col min="3" max="3" width="8.85546875" bestFit="1" customWidth="1"/>
  </cols>
  <sheetData>
    <row r="1" spans="1:8" ht="15" x14ac:dyDescent="0.25">
      <c r="A1" s="64" t="s">
        <v>39</v>
      </c>
      <c r="B1" s="8" t="s">
        <v>30</v>
      </c>
      <c r="H1" s="2"/>
    </row>
    <row r="3" spans="1:8" x14ac:dyDescent="0.2">
      <c r="A3" s="64" t="s">
        <v>40</v>
      </c>
      <c r="B3" s="8" t="s">
        <v>33</v>
      </c>
    </row>
    <row r="5" spans="1:8" x14ac:dyDescent="0.2">
      <c r="A5" s="65" t="s">
        <v>41</v>
      </c>
      <c r="B5" s="9" t="s">
        <v>6</v>
      </c>
      <c r="C5" s="9" t="s">
        <v>5</v>
      </c>
    </row>
    <row r="6" spans="1:8" x14ac:dyDescent="0.2">
      <c r="B6" s="69"/>
    </row>
    <row r="7" spans="1:8" x14ac:dyDescent="0.2">
      <c r="A7" s="66" t="s">
        <v>42</v>
      </c>
      <c r="B7" s="68" t="s">
        <v>36</v>
      </c>
      <c r="C7" s="67" t="s">
        <v>37</v>
      </c>
    </row>
  </sheetData>
  <sheetProtection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Loan Payment Plan</vt:lpstr>
      <vt:lpstr>Variables</vt:lpstr>
      <vt:lpstr>'Loan Payment Plan'!Print_Area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</dc:creator>
  <cp:lastModifiedBy>Alex Laird</cp:lastModifiedBy>
  <cp:revision>0</cp:revision>
  <cp:lastPrinted>2011-07-30T16:32:46Z</cp:lastPrinted>
  <dcterms:created xsi:type="dcterms:W3CDTF">2011-05-27T19:26:33Z</dcterms:created>
  <dcterms:modified xsi:type="dcterms:W3CDTF">2011-09-01T13:44:41Z</dcterms:modified>
</cp:coreProperties>
</file>